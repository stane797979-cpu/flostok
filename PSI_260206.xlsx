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Objects="none" showInkAnnotation="0"/>
  <mc:AlternateContent xmlns:mc="http://schemas.openxmlformats.org/markup-compatibility/2006">
    <mc:Choice Requires="x15">
      <x15ac:absPath xmlns:x15ac="http://schemas.microsoft.com/office/spreadsheetml/2010/11/ac" url="c:\Claude_Project\"/>
    </mc:Choice>
  </mc:AlternateContent>
  <xr:revisionPtr revIDLastSave="0" documentId="13_ncr:1_{9BBCD789-78FC-4EF3-81E3-BCD09248C4E3}" xr6:coauthVersionLast="47" xr6:coauthVersionMax="47" xr10:uidLastSave="{00000000-0000-0000-0000-000000000000}"/>
  <bookViews>
    <workbookView xWindow="28680" yWindow="-5580" windowWidth="38640" windowHeight="21240" tabRatio="699" activeTab="7" xr2:uid="{00000000-000D-0000-FFFF-FFFF00000000}"/>
  </bookViews>
  <sheets>
    <sheet name="Index" sheetId="12" r:id="rId1"/>
    <sheet name="대시보드" sheetId="1" r:id="rId2"/>
    <sheet name="PSI_메인" sheetId="2" r:id="rId3"/>
    <sheet name="안전재고" sheetId="5" r:id="rId4"/>
    <sheet name="ABC-XYZ분석 (2)" sheetId="9" r:id="rId5"/>
    <sheet name="재고분석" sheetId="3" r:id="rId6"/>
    <sheet name="공급물량" sheetId="20" r:id="rId7"/>
    <sheet name="발주리스트" sheetId="21" r:id="rId8"/>
    <sheet name="재고" sheetId="10" r:id="rId9"/>
    <sheet name="입항스케줄" sheetId="11" r:id="rId10"/>
    <sheet name="통합지표" sheetId="19" r:id="rId11"/>
    <sheet name="실출고율" sheetId="13" r:id="rId12"/>
    <sheet name="결품관리" sheetId="18" r:id="rId13"/>
    <sheet name="회전율관리" sheetId="16" r:id="rId14"/>
    <sheet name="납기준수관리" sheetId="15" r:id="rId15"/>
    <sheet name="수요변동성관리" sheetId="17" r:id="rId16"/>
  </sheets>
  <definedNames>
    <definedName name="_xlnm._FilterDatabase" localSheetId="4" hidden="1">'ABC-XYZ분석 (2)'!$A$1:$AV$100</definedName>
    <definedName name="_xlnm._FilterDatabase" localSheetId="2" hidden="1">PSI_메인!$A$3:$CZ$100</definedName>
    <definedName name="_xlnm._FilterDatabase" localSheetId="3" hidden="1">안전재고!$A$1:$O$100</definedName>
    <definedName name="_xlnm._FilterDatabase" localSheetId="9" hidden="1">입항스케줄!$A$1:$U$18</definedName>
    <definedName name="_xlnm._FilterDatabase" localSheetId="8" hidden="1">재고!$A$2:$WSI$100</definedName>
    <definedName name="_xlnm._FilterDatabase" localSheetId="5" hidden="1">재고분석!$B$1:$W$100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" i="2" l="1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5" i="2"/>
  <c r="AK27" i="2"/>
  <c r="AK28" i="2"/>
  <c r="AK29" i="2"/>
  <c r="AK30" i="2"/>
  <c r="AK31" i="2"/>
  <c r="AK32" i="2"/>
  <c r="AK33" i="2"/>
  <c r="AK34" i="2"/>
  <c r="AK36" i="2"/>
  <c r="AK37" i="2"/>
  <c r="AK38" i="2"/>
  <c r="AK39" i="2"/>
  <c r="AK40" i="2"/>
  <c r="AK41" i="2"/>
  <c r="AK42" i="2"/>
  <c r="AK43" i="2"/>
  <c r="AK44" i="2"/>
  <c r="AK45" i="2"/>
  <c r="AK47" i="2"/>
  <c r="AK48" i="2"/>
  <c r="AK49" i="2"/>
  <c r="AK50" i="2"/>
  <c r="AK51" i="2"/>
  <c r="AK52" i="2"/>
  <c r="AK53" i="2"/>
  <c r="AK54" i="2"/>
  <c r="AK55" i="2"/>
  <c r="AK56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2" i="2"/>
  <c r="AK73" i="2"/>
  <c r="AK74" i="2"/>
  <c r="AK75" i="2"/>
  <c r="AK76" i="2"/>
  <c r="AK77" i="2"/>
  <c r="AK78" i="2"/>
  <c r="AK80" i="2"/>
  <c r="AK82" i="2"/>
  <c r="AK83" i="2"/>
  <c r="AK84" i="2"/>
  <c r="AK86" i="2"/>
  <c r="AK87" i="2"/>
  <c r="AK88" i="2"/>
  <c r="AK89" i="2"/>
  <c r="AK92" i="2"/>
  <c r="AK93" i="2"/>
  <c r="AK94" i="2"/>
  <c r="AK95" i="2"/>
  <c r="AK96" i="2"/>
  <c r="AK97" i="2"/>
  <c r="AK98" i="2"/>
  <c r="AK99" i="2"/>
  <c r="AK100" i="2"/>
  <c r="AK102" i="2"/>
  <c r="AK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5" i="2"/>
  <c r="AL27" i="2"/>
  <c r="AL28" i="2"/>
  <c r="AL29" i="2"/>
  <c r="AL30" i="2"/>
  <c r="AL31" i="2"/>
  <c r="AL32" i="2"/>
  <c r="AL33" i="2"/>
  <c r="AL34" i="2"/>
  <c r="AL36" i="2"/>
  <c r="AL37" i="2"/>
  <c r="AL38" i="2"/>
  <c r="AL39" i="2"/>
  <c r="AL40" i="2"/>
  <c r="AL41" i="2"/>
  <c r="AL42" i="2"/>
  <c r="AL43" i="2"/>
  <c r="AL44" i="2"/>
  <c r="AL45" i="2"/>
  <c r="AL47" i="2"/>
  <c r="AL48" i="2"/>
  <c r="AL49" i="2"/>
  <c r="AL50" i="2"/>
  <c r="AL51" i="2"/>
  <c r="AL52" i="2"/>
  <c r="AL53" i="2"/>
  <c r="AL54" i="2"/>
  <c r="AL55" i="2"/>
  <c r="AL56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2" i="2"/>
  <c r="AL73" i="2"/>
  <c r="AL74" i="2"/>
  <c r="AL75" i="2"/>
  <c r="AL76" i="2"/>
  <c r="AL77" i="2"/>
  <c r="AL78" i="2"/>
  <c r="AL80" i="2"/>
  <c r="AL82" i="2"/>
  <c r="AL83" i="2"/>
  <c r="AL84" i="2"/>
  <c r="AL86" i="2"/>
  <c r="AL87" i="2"/>
  <c r="AL88" i="2"/>
  <c r="AL89" i="2"/>
  <c r="AL92" i="2"/>
  <c r="AL93" i="2"/>
  <c r="AL94" i="2"/>
  <c r="AL95" i="2"/>
  <c r="AL96" i="2"/>
  <c r="AL97" i="2"/>
  <c r="AL98" i="2"/>
  <c r="AL99" i="2"/>
  <c r="AL100" i="2"/>
  <c r="AL102" i="2"/>
  <c r="AL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5" i="2"/>
  <c r="AD27" i="2"/>
  <c r="AD28" i="2"/>
  <c r="AD29" i="2"/>
  <c r="AD30" i="2"/>
  <c r="AD31" i="2"/>
  <c r="AD32" i="2"/>
  <c r="AD33" i="2"/>
  <c r="AD34" i="2"/>
  <c r="AD36" i="2"/>
  <c r="AD37" i="2"/>
  <c r="AD38" i="2"/>
  <c r="AD39" i="2"/>
  <c r="AD40" i="2"/>
  <c r="AD41" i="2"/>
  <c r="AD42" i="2"/>
  <c r="AD43" i="2"/>
  <c r="AD44" i="2"/>
  <c r="AD45" i="2"/>
  <c r="AD47" i="2"/>
  <c r="AD48" i="2"/>
  <c r="AD49" i="2"/>
  <c r="AD50" i="2"/>
  <c r="AD51" i="2"/>
  <c r="AD52" i="2"/>
  <c r="AD53" i="2"/>
  <c r="AD54" i="2"/>
  <c r="AD55" i="2"/>
  <c r="AD56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2" i="2"/>
  <c r="AD73" i="2"/>
  <c r="AD74" i="2"/>
  <c r="AD75" i="2"/>
  <c r="AD76" i="2"/>
  <c r="AD77" i="2"/>
  <c r="AD78" i="2"/>
  <c r="AD80" i="2"/>
  <c r="AD82" i="2"/>
  <c r="AD83" i="2"/>
  <c r="AD84" i="2"/>
  <c r="AD86" i="2"/>
  <c r="AD87" i="2"/>
  <c r="AD88" i="2"/>
  <c r="AD89" i="2"/>
  <c r="AD92" i="2"/>
  <c r="AD93" i="2"/>
  <c r="AD94" i="2"/>
  <c r="AD95" i="2"/>
  <c r="AD96" i="2"/>
  <c r="AD97" i="2"/>
  <c r="AD98" i="2"/>
  <c r="AD99" i="2"/>
  <c r="AD100" i="2"/>
  <c r="AD102" i="2"/>
  <c r="AD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5" i="2"/>
  <c r="AC27" i="2"/>
  <c r="AC28" i="2"/>
  <c r="AC29" i="2"/>
  <c r="AC30" i="2"/>
  <c r="AC31" i="2"/>
  <c r="AC32" i="2"/>
  <c r="AC33" i="2"/>
  <c r="AC34" i="2"/>
  <c r="AC36" i="2"/>
  <c r="AC37" i="2"/>
  <c r="AC38" i="2"/>
  <c r="AC39" i="2"/>
  <c r="AC40" i="2"/>
  <c r="AC41" i="2"/>
  <c r="AC42" i="2"/>
  <c r="AC43" i="2"/>
  <c r="AC44" i="2"/>
  <c r="AC45" i="2"/>
  <c r="AC47" i="2"/>
  <c r="AC48" i="2"/>
  <c r="AC49" i="2"/>
  <c r="AC50" i="2"/>
  <c r="AC51" i="2"/>
  <c r="AC52" i="2"/>
  <c r="AC53" i="2"/>
  <c r="AC54" i="2"/>
  <c r="AC55" i="2"/>
  <c r="AC56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2" i="2"/>
  <c r="AC73" i="2"/>
  <c r="AC74" i="2"/>
  <c r="AC75" i="2"/>
  <c r="AC76" i="2"/>
  <c r="AC77" i="2"/>
  <c r="AC78" i="2"/>
  <c r="AC80" i="2"/>
  <c r="AC82" i="2"/>
  <c r="AC83" i="2"/>
  <c r="AC84" i="2"/>
  <c r="AC86" i="2"/>
  <c r="AC87" i="2"/>
  <c r="AC88" i="2"/>
  <c r="AC89" i="2"/>
  <c r="AC92" i="2"/>
  <c r="AC93" i="2"/>
  <c r="AC94" i="2"/>
  <c r="AC95" i="2"/>
  <c r="AC96" i="2"/>
  <c r="AC97" i="2"/>
  <c r="AC98" i="2"/>
  <c r="AC99" i="2"/>
  <c r="AC100" i="2"/>
  <c r="AC102" i="2"/>
  <c r="AC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5" i="2"/>
  <c r="V27" i="2"/>
  <c r="V28" i="2"/>
  <c r="V29" i="2"/>
  <c r="V30" i="2"/>
  <c r="V31" i="2"/>
  <c r="V32" i="2"/>
  <c r="V33" i="2"/>
  <c r="V34" i="2"/>
  <c r="V36" i="2"/>
  <c r="V37" i="2"/>
  <c r="V38" i="2"/>
  <c r="V39" i="2"/>
  <c r="V40" i="2"/>
  <c r="V41" i="2"/>
  <c r="V42" i="2"/>
  <c r="V43" i="2"/>
  <c r="V44" i="2"/>
  <c r="V45" i="2"/>
  <c r="V47" i="2"/>
  <c r="V48" i="2"/>
  <c r="V49" i="2"/>
  <c r="V50" i="2"/>
  <c r="V51" i="2"/>
  <c r="V52" i="2"/>
  <c r="V53" i="2"/>
  <c r="V54" i="2"/>
  <c r="V55" i="2"/>
  <c r="V56" i="2"/>
  <c r="V59" i="2"/>
  <c r="V60" i="2"/>
  <c r="V61" i="2"/>
  <c r="V62" i="2"/>
  <c r="V63" i="2"/>
  <c r="V64" i="2"/>
  <c r="V65" i="2"/>
  <c r="V66" i="2"/>
  <c r="V67" i="2"/>
  <c r="V68" i="2"/>
  <c r="V69" i="2"/>
  <c r="V70" i="2"/>
  <c r="V72" i="2"/>
  <c r="V73" i="2"/>
  <c r="V74" i="2"/>
  <c r="V75" i="2"/>
  <c r="V76" i="2"/>
  <c r="V77" i="2"/>
  <c r="V78" i="2"/>
  <c r="V80" i="2"/>
  <c r="V82" i="2"/>
  <c r="V83" i="2"/>
  <c r="V84" i="2"/>
  <c r="V86" i="2"/>
  <c r="V87" i="2"/>
  <c r="V88" i="2"/>
  <c r="V89" i="2"/>
  <c r="V92" i="2"/>
  <c r="V93" i="2"/>
  <c r="V94" i="2"/>
  <c r="V95" i="2"/>
  <c r="V96" i="2"/>
  <c r="V97" i="2"/>
  <c r="V98" i="2"/>
  <c r="V99" i="2"/>
  <c r="V100" i="2"/>
  <c r="V102" i="2"/>
  <c r="V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5" i="2"/>
  <c r="U27" i="2"/>
  <c r="U28" i="2"/>
  <c r="U29" i="2"/>
  <c r="U30" i="2"/>
  <c r="U31" i="2"/>
  <c r="U32" i="2"/>
  <c r="U33" i="2"/>
  <c r="U34" i="2"/>
  <c r="U36" i="2"/>
  <c r="U37" i="2"/>
  <c r="U38" i="2"/>
  <c r="U39" i="2"/>
  <c r="U40" i="2"/>
  <c r="U41" i="2"/>
  <c r="U42" i="2"/>
  <c r="U43" i="2"/>
  <c r="U44" i="2"/>
  <c r="U45" i="2"/>
  <c r="U47" i="2"/>
  <c r="U48" i="2"/>
  <c r="U49" i="2"/>
  <c r="U50" i="2"/>
  <c r="U51" i="2"/>
  <c r="U52" i="2"/>
  <c r="U53" i="2"/>
  <c r="U54" i="2"/>
  <c r="U55" i="2"/>
  <c r="U56" i="2"/>
  <c r="U59" i="2"/>
  <c r="U60" i="2"/>
  <c r="U61" i="2"/>
  <c r="U62" i="2"/>
  <c r="U63" i="2"/>
  <c r="U64" i="2"/>
  <c r="U65" i="2"/>
  <c r="U66" i="2"/>
  <c r="U67" i="2"/>
  <c r="U68" i="2"/>
  <c r="U69" i="2"/>
  <c r="U70" i="2"/>
  <c r="U72" i="2"/>
  <c r="U73" i="2"/>
  <c r="U74" i="2"/>
  <c r="U75" i="2"/>
  <c r="U76" i="2"/>
  <c r="U77" i="2"/>
  <c r="U78" i="2"/>
  <c r="U80" i="2"/>
  <c r="U82" i="2"/>
  <c r="U83" i="2"/>
  <c r="U84" i="2"/>
  <c r="U86" i="2"/>
  <c r="U87" i="2"/>
  <c r="U88" i="2"/>
  <c r="U89" i="2"/>
  <c r="U92" i="2"/>
  <c r="U93" i="2"/>
  <c r="U94" i="2"/>
  <c r="U95" i="2"/>
  <c r="U96" i="2"/>
  <c r="U97" i="2"/>
  <c r="U98" i="2"/>
  <c r="U99" i="2"/>
  <c r="U100" i="2"/>
  <c r="U102" i="2"/>
  <c r="U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7" i="2"/>
  <c r="N28" i="2"/>
  <c r="N29" i="2"/>
  <c r="N30" i="2"/>
  <c r="N31" i="2"/>
  <c r="N32" i="2"/>
  <c r="N33" i="2"/>
  <c r="N34" i="2"/>
  <c r="N36" i="2"/>
  <c r="N37" i="2"/>
  <c r="N38" i="2"/>
  <c r="N39" i="2"/>
  <c r="N40" i="2"/>
  <c r="N41" i="2"/>
  <c r="N42" i="2"/>
  <c r="N43" i="2"/>
  <c r="N44" i="2"/>
  <c r="N45" i="2"/>
  <c r="N47" i="2"/>
  <c r="N48" i="2"/>
  <c r="N49" i="2"/>
  <c r="N50" i="2"/>
  <c r="N51" i="2"/>
  <c r="N52" i="2"/>
  <c r="N53" i="2"/>
  <c r="N54" i="2"/>
  <c r="N55" i="2"/>
  <c r="N56" i="2"/>
  <c r="N59" i="2"/>
  <c r="N60" i="2"/>
  <c r="N61" i="2"/>
  <c r="N62" i="2"/>
  <c r="N63" i="2"/>
  <c r="N64" i="2"/>
  <c r="N65" i="2"/>
  <c r="N66" i="2"/>
  <c r="N67" i="2"/>
  <c r="N68" i="2"/>
  <c r="N69" i="2"/>
  <c r="N70" i="2"/>
  <c r="N72" i="2"/>
  <c r="N73" i="2"/>
  <c r="N74" i="2"/>
  <c r="N75" i="2"/>
  <c r="N76" i="2"/>
  <c r="N77" i="2"/>
  <c r="N78" i="2"/>
  <c r="N80" i="2"/>
  <c r="N82" i="2"/>
  <c r="N83" i="2"/>
  <c r="N84" i="2"/>
  <c r="N86" i="2"/>
  <c r="N87" i="2"/>
  <c r="N88" i="2"/>
  <c r="N89" i="2"/>
  <c r="N92" i="2"/>
  <c r="N93" i="2"/>
  <c r="N94" i="2"/>
  <c r="N95" i="2"/>
  <c r="N96" i="2"/>
  <c r="N97" i="2"/>
  <c r="N98" i="2"/>
  <c r="N99" i="2"/>
  <c r="N100" i="2"/>
  <c r="N102" i="2"/>
  <c r="N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5" i="2"/>
  <c r="M27" i="2"/>
  <c r="M28" i="2"/>
  <c r="M29" i="2"/>
  <c r="M30" i="2"/>
  <c r="M31" i="2"/>
  <c r="M32" i="2"/>
  <c r="M33" i="2"/>
  <c r="M34" i="2"/>
  <c r="M36" i="2"/>
  <c r="M37" i="2"/>
  <c r="M38" i="2"/>
  <c r="M39" i="2"/>
  <c r="M40" i="2"/>
  <c r="M41" i="2"/>
  <c r="M42" i="2"/>
  <c r="M43" i="2"/>
  <c r="M44" i="2"/>
  <c r="M45" i="2"/>
  <c r="M47" i="2"/>
  <c r="M48" i="2"/>
  <c r="M49" i="2"/>
  <c r="M50" i="2"/>
  <c r="M51" i="2"/>
  <c r="M52" i="2"/>
  <c r="M53" i="2"/>
  <c r="M54" i="2"/>
  <c r="M55" i="2"/>
  <c r="M56" i="2"/>
  <c r="M59" i="2"/>
  <c r="M60" i="2"/>
  <c r="M61" i="2"/>
  <c r="M62" i="2"/>
  <c r="M63" i="2"/>
  <c r="M64" i="2"/>
  <c r="M65" i="2"/>
  <c r="M66" i="2"/>
  <c r="M67" i="2"/>
  <c r="M68" i="2"/>
  <c r="M69" i="2"/>
  <c r="M70" i="2"/>
  <c r="M72" i="2"/>
  <c r="M73" i="2"/>
  <c r="M74" i="2"/>
  <c r="M75" i="2"/>
  <c r="M76" i="2"/>
  <c r="M77" i="2"/>
  <c r="M78" i="2"/>
  <c r="M80" i="2"/>
  <c r="M82" i="2"/>
  <c r="M83" i="2"/>
  <c r="M84" i="2"/>
  <c r="M86" i="2"/>
  <c r="M87" i="2"/>
  <c r="M88" i="2"/>
  <c r="M89" i="2"/>
  <c r="M92" i="2"/>
  <c r="M93" i="2"/>
  <c r="M94" i="2"/>
  <c r="M95" i="2"/>
  <c r="M96" i="2"/>
  <c r="M97" i="2"/>
  <c r="M98" i="2"/>
  <c r="M99" i="2"/>
  <c r="M100" i="2"/>
  <c r="M102" i="2"/>
  <c r="M4" i="2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33" i="11"/>
  <c r="U34" i="11"/>
  <c r="U35" i="11"/>
  <c r="U36" i="11"/>
  <c r="U37" i="11"/>
  <c r="U38" i="11"/>
  <c r="U39" i="11"/>
  <c r="U40" i="11"/>
  <c r="U41" i="11"/>
  <c r="U42" i="11"/>
  <c r="U43" i="11"/>
  <c r="U44" i="11"/>
  <c r="U45" i="11"/>
  <c r="U46" i="11"/>
  <c r="U47" i="11"/>
  <c r="U48" i="11"/>
  <c r="U49" i="11"/>
  <c r="U50" i="11"/>
  <c r="U51" i="11"/>
  <c r="U52" i="11"/>
  <c r="U53" i="11"/>
  <c r="U54" i="11"/>
  <c r="U55" i="11"/>
  <c r="U56" i="11"/>
  <c r="U57" i="11"/>
  <c r="U58" i="11"/>
  <c r="U59" i="11"/>
  <c r="U60" i="11"/>
  <c r="U61" i="11"/>
  <c r="U62" i="11"/>
  <c r="U63" i="11"/>
  <c r="U64" i="11"/>
  <c r="U65" i="11"/>
  <c r="U66" i="11"/>
  <c r="U67" i="11"/>
  <c r="U68" i="11"/>
  <c r="U69" i="11"/>
  <c r="U70" i="11"/>
  <c r="U71" i="11"/>
  <c r="U72" i="11"/>
  <c r="U73" i="11"/>
  <c r="U74" i="11"/>
  <c r="U75" i="11"/>
  <c r="U76" i="11"/>
  <c r="U77" i="11"/>
  <c r="U78" i="11"/>
  <c r="U79" i="11"/>
  <c r="U80" i="11"/>
  <c r="U81" i="11"/>
  <c r="U82" i="11"/>
  <c r="U83" i="11"/>
  <c r="U84" i="11"/>
  <c r="U85" i="11"/>
  <c r="U86" i="11"/>
  <c r="U87" i="11"/>
  <c r="U88" i="11"/>
  <c r="U89" i="11"/>
  <c r="U90" i="11"/>
  <c r="U91" i="11"/>
  <c r="U92" i="11"/>
  <c r="U93" i="11"/>
  <c r="U94" i="11"/>
  <c r="U95" i="11"/>
  <c r="U96" i="11"/>
  <c r="U97" i="11"/>
  <c r="U98" i="11"/>
  <c r="U99" i="11"/>
  <c r="U100" i="11"/>
  <c r="U101" i="11"/>
  <c r="U102" i="11"/>
  <c r="U103" i="11"/>
  <c r="U104" i="11"/>
  <c r="U105" i="11"/>
  <c r="U106" i="11"/>
  <c r="U107" i="11"/>
  <c r="U108" i="11"/>
  <c r="U109" i="11"/>
  <c r="U110" i="11"/>
  <c r="U111" i="11"/>
  <c r="U112" i="11"/>
  <c r="U113" i="11"/>
  <c r="U114" i="11"/>
  <c r="U115" i="11"/>
  <c r="U116" i="11"/>
  <c r="U117" i="11"/>
  <c r="U118" i="11"/>
  <c r="U119" i="11"/>
  <c r="U120" i="11"/>
  <c r="U121" i="11"/>
  <c r="U122" i="11"/>
  <c r="U123" i="11"/>
  <c r="U124" i="11"/>
  <c r="U125" i="11"/>
  <c r="U126" i="11"/>
  <c r="U127" i="11"/>
  <c r="U128" i="11"/>
  <c r="U129" i="11"/>
  <c r="U130" i="11"/>
  <c r="U131" i="11"/>
  <c r="U132" i="11"/>
  <c r="U133" i="11"/>
  <c r="U134" i="11"/>
  <c r="U135" i="11"/>
  <c r="U136" i="11"/>
  <c r="U137" i="11"/>
  <c r="U138" i="11"/>
  <c r="U139" i="11"/>
  <c r="U140" i="11"/>
  <c r="U141" i="11"/>
  <c r="U142" i="11"/>
  <c r="U143" i="11"/>
  <c r="U144" i="11"/>
  <c r="U145" i="11"/>
  <c r="U146" i="11"/>
  <c r="U147" i="11"/>
  <c r="U148" i="11"/>
  <c r="U149" i="11"/>
  <c r="U150" i="11"/>
  <c r="U151" i="11"/>
  <c r="U152" i="11"/>
  <c r="U153" i="11"/>
  <c r="U154" i="11"/>
  <c r="U155" i="11"/>
  <c r="U156" i="11"/>
  <c r="U157" i="11"/>
  <c r="U158" i="11"/>
  <c r="U159" i="11"/>
  <c r="U160" i="11"/>
  <c r="U161" i="11"/>
  <c r="U162" i="11"/>
  <c r="U163" i="11"/>
  <c r="U164" i="11"/>
  <c r="U165" i="11"/>
  <c r="U166" i="11"/>
  <c r="U167" i="11"/>
  <c r="U168" i="11"/>
  <c r="U169" i="11"/>
  <c r="U170" i="11"/>
  <c r="U171" i="11"/>
  <c r="U172" i="11"/>
  <c r="U173" i="11"/>
  <c r="U174" i="11"/>
  <c r="U175" i="11"/>
  <c r="U176" i="11"/>
  <c r="U177" i="11"/>
  <c r="U178" i="11"/>
  <c r="U179" i="11"/>
  <c r="U180" i="11"/>
  <c r="U181" i="11"/>
  <c r="U182" i="11"/>
  <c r="U183" i="11"/>
  <c r="U184" i="11"/>
  <c r="U185" i="11"/>
  <c r="U186" i="11"/>
  <c r="U187" i="11"/>
  <c r="U188" i="11"/>
  <c r="U189" i="11"/>
  <c r="U190" i="11"/>
  <c r="U191" i="11"/>
  <c r="U192" i="11"/>
  <c r="U193" i="11"/>
  <c r="U194" i="11"/>
  <c r="U195" i="11"/>
  <c r="U196" i="11"/>
  <c r="U197" i="11"/>
  <c r="U198" i="11"/>
  <c r="U199" i="11"/>
  <c r="U200" i="11"/>
  <c r="U201" i="11"/>
  <c r="U202" i="11"/>
  <c r="U203" i="11"/>
  <c r="U204" i="11"/>
  <c r="U205" i="11"/>
  <c r="U206" i="11"/>
  <c r="U207" i="11"/>
  <c r="U208" i="11"/>
  <c r="U209" i="11"/>
  <c r="U210" i="11"/>
  <c r="U211" i="11"/>
  <c r="U212" i="11"/>
  <c r="U213" i="11"/>
  <c r="U214" i="11"/>
  <c r="U215" i="11"/>
  <c r="U216" i="11"/>
  <c r="U217" i="11"/>
  <c r="U218" i="11"/>
  <c r="U219" i="11"/>
  <c r="U220" i="11"/>
  <c r="U221" i="11"/>
  <c r="U222" i="11"/>
  <c r="U223" i="11"/>
  <c r="U224" i="11"/>
  <c r="U225" i="11"/>
  <c r="U226" i="11"/>
  <c r="U227" i="11"/>
  <c r="U228" i="11"/>
  <c r="U229" i="11"/>
  <c r="U230" i="11"/>
  <c r="U231" i="11"/>
  <c r="U232" i="11"/>
  <c r="U233" i="11"/>
  <c r="U234" i="11"/>
  <c r="U235" i="11"/>
  <c r="U236" i="11"/>
  <c r="U237" i="11"/>
  <c r="U238" i="11"/>
  <c r="U239" i="11"/>
  <c r="U240" i="11"/>
  <c r="U241" i="11"/>
  <c r="U242" i="11"/>
  <c r="U243" i="11"/>
  <c r="U244" i="11"/>
  <c r="U245" i="11"/>
  <c r="U246" i="11"/>
  <c r="U247" i="11"/>
  <c r="U248" i="11"/>
  <c r="U249" i="11"/>
  <c r="U250" i="11"/>
  <c r="U251" i="11"/>
  <c r="U252" i="11"/>
  <c r="U253" i="11"/>
  <c r="U254" i="11"/>
  <c r="U255" i="11"/>
  <c r="U256" i="11"/>
  <c r="U257" i="11"/>
  <c r="U258" i="11"/>
  <c r="U259" i="11"/>
  <c r="U260" i="11"/>
  <c r="U261" i="11"/>
  <c r="U262" i="11"/>
  <c r="U263" i="11"/>
  <c r="U264" i="11"/>
  <c r="U265" i="11"/>
  <c r="U266" i="11"/>
  <c r="U267" i="11"/>
  <c r="U268" i="11"/>
  <c r="U269" i="11"/>
  <c r="U270" i="11"/>
  <c r="U271" i="11"/>
  <c r="U272" i="11"/>
  <c r="U273" i="11"/>
  <c r="U274" i="11"/>
  <c r="U275" i="11"/>
  <c r="U276" i="11"/>
  <c r="U277" i="11"/>
  <c r="U278" i="11"/>
  <c r="U279" i="11"/>
  <c r="U280" i="11"/>
  <c r="U281" i="11"/>
  <c r="U282" i="11"/>
  <c r="U283" i="11"/>
  <c r="U284" i="11"/>
  <c r="U285" i="11"/>
  <c r="U286" i="11"/>
  <c r="U287" i="11"/>
  <c r="U288" i="11"/>
  <c r="U289" i="11"/>
  <c r="U290" i="11"/>
  <c r="U291" i="11"/>
  <c r="U292" i="11"/>
  <c r="U293" i="11"/>
  <c r="U294" i="11"/>
  <c r="U295" i="11"/>
  <c r="U296" i="11"/>
  <c r="U297" i="11"/>
  <c r="U298" i="11"/>
  <c r="U299" i="11"/>
  <c r="U300" i="11"/>
  <c r="U301" i="11"/>
  <c r="U302" i="11"/>
  <c r="U303" i="11"/>
  <c r="U304" i="11"/>
  <c r="U305" i="11"/>
  <c r="U306" i="11"/>
  <c r="U307" i="11"/>
  <c r="U308" i="11"/>
  <c r="U309" i="11"/>
  <c r="U310" i="11"/>
  <c r="U311" i="11"/>
  <c r="U312" i="11"/>
  <c r="U313" i="11"/>
  <c r="U314" i="11"/>
  <c r="U315" i="11"/>
  <c r="U316" i="11"/>
  <c r="U317" i="11"/>
  <c r="U318" i="11"/>
  <c r="U319" i="11"/>
  <c r="U320" i="11"/>
  <c r="U321" i="11"/>
  <c r="U322" i="11"/>
  <c r="U323" i="11"/>
  <c r="U324" i="11"/>
  <c r="U325" i="11"/>
  <c r="U326" i="11"/>
  <c r="U327" i="11"/>
  <c r="U328" i="11"/>
  <c r="U329" i="11"/>
  <c r="U330" i="11"/>
  <c r="U331" i="11"/>
  <c r="U332" i="11"/>
  <c r="U333" i="11"/>
  <c r="U334" i="11"/>
  <c r="U335" i="11"/>
  <c r="U336" i="11"/>
  <c r="U337" i="11"/>
  <c r="U338" i="11"/>
  <c r="U339" i="11"/>
  <c r="U340" i="11"/>
  <c r="U341" i="11"/>
  <c r="U342" i="11"/>
  <c r="U343" i="11"/>
  <c r="U344" i="11"/>
  <c r="U345" i="11"/>
  <c r="U346" i="11"/>
  <c r="U347" i="11"/>
  <c r="U348" i="11"/>
  <c r="U349" i="11"/>
  <c r="U350" i="11"/>
  <c r="U351" i="11"/>
  <c r="U352" i="11"/>
  <c r="U353" i="11"/>
  <c r="U354" i="11"/>
  <c r="U355" i="11"/>
  <c r="U356" i="11"/>
  <c r="U357" i="11"/>
  <c r="U358" i="11"/>
  <c r="U359" i="11"/>
  <c r="U360" i="11"/>
  <c r="U361" i="11"/>
  <c r="U362" i="11"/>
  <c r="U363" i="11"/>
  <c r="U364" i="11"/>
  <c r="U365" i="11"/>
  <c r="U366" i="11"/>
  <c r="U367" i="11"/>
  <c r="U368" i="11"/>
  <c r="U369" i="11"/>
  <c r="U370" i="11"/>
  <c r="U371" i="11"/>
  <c r="U372" i="11"/>
  <c r="U373" i="11"/>
  <c r="U374" i="11"/>
  <c r="U375" i="11"/>
  <c r="U376" i="11"/>
  <c r="U377" i="11"/>
  <c r="U378" i="11"/>
  <c r="U379" i="11"/>
  <c r="U380" i="11"/>
  <c r="U381" i="11"/>
  <c r="U382" i="11"/>
  <c r="U383" i="11"/>
  <c r="U384" i="11"/>
  <c r="U385" i="11"/>
  <c r="U386" i="11"/>
  <c r="U387" i="11"/>
  <c r="U388" i="11"/>
  <c r="U389" i="11"/>
  <c r="U390" i="11"/>
  <c r="U391" i="11"/>
  <c r="U392" i="11"/>
  <c r="U393" i="11"/>
  <c r="U394" i="11"/>
  <c r="U395" i="11"/>
  <c r="U396" i="11"/>
  <c r="U397" i="11"/>
  <c r="U398" i="11"/>
  <c r="U399" i="11"/>
  <c r="U400" i="11"/>
  <c r="U401" i="11"/>
  <c r="U402" i="11"/>
  <c r="U403" i="11"/>
  <c r="U404" i="11"/>
  <c r="U405" i="11"/>
  <c r="U406" i="11"/>
  <c r="U407" i="11"/>
  <c r="U408" i="11"/>
  <c r="U409" i="11"/>
  <c r="U410" i="11"/>
  <c r="U411" i="11"/>
  <c r="U412" i="11"/>
  <c r="U413" i="11"/>
  <c r="U414" i="11"/>
  <c r="U415" i="11"/>
  <c r="U416" i="11"/>
  <c r="U417" i="11"/>
  <c r="U418" i="11"/>
  <c r="U419" i="11"/>
  <c r="U420" i="11"/>
  <c r="U421" i="11"/>
  <c r="U422" i="11"/>
  <c r="U423" i="11"/>
  <c r="U424" i="11"/>
  <c r="U425" i="11"/>
  <c r="U426" i="11"/>
  <c r="U427" i="11"/>
  <c r="U428" i="11"/>
  <c r="U429" i="11"/>
  <c r="U430" i="11"/>
  <c r="U431" i="11"/>
  <c r="U432" i="11"/>
  <c r="U433" i="11"/>
  <c r="U434" i="11"/>
  <c r="U435" i="11"/>
  <c r="U436" i="11"/>
  <c r="U437" i="11"/>
  <c r="U438" i="11"/>
  <c r="U439" i="11"/>
  <c r="U440" i="11"/>
  <c r="U441" i="11"/>
  <c r="U442" i="11"/>
  <c r="U443" i="11"/>
  <c r="U444" i="11"/>
  <c r="U445" i="11"/>
  <c r="U446" i="11"/>
  <c r="U447" i="11"/>
  <c r="U448" i="11"/>
  <c r="U449" i="11"/>
  <c r="U450" i="11"/>
  <c r="U451" i="11"/>
  <c r="U452" i="11"/>
  <c r="U453" i="11"/>
  <c r="U454" i="11"/>
  <c r="U455" i="11"/>
  <c r="U456" i="11"/>
  <c r="U457" i="11"/>
  <c r="U458" i="11"/>
  <c r="U459" i="11"/>
  <c r="U460" i="11"/>
  <c r="U461" i="11"/>
  <c r="U462" i="11"/>
  <c r="U463" i="11"/>
  <c r="U464" i="11"/>
  <c r="U465" i="11"/>
  <c r="U466" i="11"/>
  <c r="U467" i="11"/>
  <c r="U468" i="11"/>
  <c r="U469" i="11"/>
  <c r="U470" i="11"/>
  <c r="U471" i="11"/>
  <c r="U472" i="11"/>
  <c r="U473" i="11"/>
  <c r="U474" i="11"/>
  <c r="U475" i="11"/>
  <c r="U476" i="11"/>
  <c r="U477" i="11"/>
  <c r="U478" i="11"/>
  <c r="U479" i="11"/>
  <c r="U480" i="11"/>
  <c r="U481" i="11"/>
  <c r="U482" i="11"/>
  <c r="U483" i="11"/>
  <c r="U484" i="11"/>
  <c r="U485" i="11"/>
  <c r="U486" i="11"/>
  <c r="U487" i="11"/>
  <c r="U488" i="11"/>
  <c r="U489" i="11"/>
  <c r="U490" i="11"/>
  <c r="U491" i="11"/>
  <c r="U492" i="11"/>
  <c r="U493" i="11"/>
  <c r="U494" i="11"/>
  <c r="U495" i="11"/>
  <c r="U496" i="11"/>
  <c r="U497" i="11"/>
  <c r="U498" i="11"/>
  <c r="U499" i="11"/>
  <c r="U500" i="11"/>
  <c r="U501" i="11"/>
  <c r="U502" i="11"/>
  <c r="U503" i="11"/>
  <c r="U504" i="11"/>
  <c r="U505" i="11"/>
  <c r="U506" i="11"/>
  <c r="U507" i="11"/>
  <c r="U508" i="11"/>
  <c r="U509" i="11"/>
  <c r="U510" i="11"/>
  <c r="U511" i="11"/>
  <c r="U512" i="11"/>
  <c r="U513" i="11"/>
  <c r="U514" i="11"/>
  <c r="U515" i="11"/>
  <c r="U516" i="11"/>
  <c r="U517" i="11"/>
  <c r="U518" i="11"/>
  <c r="U519" i="11"/>
  <c r="U520" i="11"/>
  <c r="U521" i="11"/>
  <c r="U522" i="11"/>
  <c r="U523" i="11"/>
  <c r="U524" i="11"/>
  <c r="U525" i="11"/>
  <c r="U526" i="11"/>
  <c r="U527" i="11"/>
  <c r="U528" i="11"/>
  <c r="U529" i="11"/>
  <c r="U530" i="11"/>
  <c r="U531" i="11"/>
  <c r="U532" i="11"/>
  <c r="U533" i="11"/>
  <c r="U534" i="11"/>
  <c r="U535" i="11"/>
  <c r="U536" i="11"/>
  <c r="U537" i="11"/>
  <c r="U538" i="11"/>
  <c r="U539" i="11"/>
  <c r="U540" i="11"/>
  <c r="U541" i="11"/>
  <c r="U542" i="11"/>
  <c r="U543" i="11"/>
  <c r="U544" i="11"/>
  <c r="U545" i="11"/>
  <c r="U546" i="11"/>
  <c r="U547" i="11"/>
  <c r="U548" i="11"/>
  <c r="U549" i="11"/>
  <c r="U550" i="11"/>
  <c r="U551" i="11"/>
  <c r="U552" i="11"/>
  <c r="U553" i="11"/>
  <c r="U554" i="11"/>
  <c r="U555" i="11"/>
  <c r="U556" i="11"/>
  <c r="U557" i="11"/>
  <c r="U558" i="11"/>
  <c r="U559" i="11"/>
  <c r="U560" i="11"/>
  <c r="U561" i="11"/>
  <c r="U562" i="11"/>
  <c r="U563" i="11"/>
  <c r="U564" i="11"/>
  <c r="U565" i="11"/>
  <c r="U566" i="11"/>
  <c r="U567" i="11"/>
  <c r="U568" i="11"/>
  <c r="U569" i="11"/>
  <c r="U570" i="11"/>
  <c r="U571" i="11"/>
  <c r="U572" i="11"/>
  <c r="U573" i="11"/>
  <c r="U574" i="11"/>
  <c r="U575" i="11"/>
  <c r="U576" i="11"/>
  <c r="U577" i="11"/>
  <c r="U578" i="11"/>
  <c r="U579" i="11"/>
  <c r="U580" i="11"/>
  <c r="U581" i="11"/>
  <c r="U582" i="11"/>
  <c r="U583" i="11"/>
  <c r="U584" i="11"/>
  <c r="U585" i="11"/>
  <c r="U586" i="11"/>
  <c r="U587" i="11"/>
  <c r="U588" i="11"/>
  <c r="U589" i="11"/>
  <c r="U590" i="11"/>
  <c r="U591" i="11"/>
  <c r="U592" i="11"/>
  <c r="U593" i="11"/>
  <c r="U594" i="11"/>
  <c r="U595" i="11"/>
  <c r="U596" i="11"/>
  <c r="U597" i="11"/>
  <c r="U598" i="11"/>
  <c r="U599" i="11"/>
  <c r="U600" i="11"/>
  <c r="U601" i="11"/>
  <c r="U602" i="11"/>
  <c r="U603" i="11"/>
  <c r="U604" i="11"/>
  <c r="U605" i="11"/>
  <c r="U606" i="11"/>
  <c r="U607" i="11"/>
  <c r="U608" i="11"/>
  <c r="U609" i="11"/>
  <c r="U610" i="11"/>
  <c r="U611" i="11"/>
  <c r="U612" i="11"/>
  <c r="U613" i="11"/>
  <c r="U614" i="11"/>
  <c r="U615" i="11"/>
  <c r="U616" i="11"/>
  <c r="U617" i="11"/>
  <c r="U618" i="11"/>
  <c r="U619" i="11"/>
  <c r="U620" i="11"/>
  <c r="U621" i="11"/>
  <c r="U622" i="11"/>
  <c r="U623" i="11"/>
  <c r="U624" i="11"/>
  <c r="U625" i="11"/>
  <c r="U626" i="11"/>
  <c r="U627" i="11"/>
  <c r="U628" i="11"/>
  <c r="U629" i="11"/>
  <c r="U630" i="11"/>
  <c r="U631" i="11"/>
  <c r="U632" i="11"/>
  <c r="U633" i="11"/>
  <c r="U634" i="11"/>
  <c r="U635" i="11"/>
  <c r="U636" i="11"/>
  <c r="U637" i="11"/>
  <c r="U638" i="11"/>
  <c r="U639" i="11"/>
  <c r="U640" i="11"/>
  <c r="U641" i="11"/>
  <c r="U642" i="11"/>
  <c r="U643" i="11"/>
  <c r="U644" i="11"/>
  <c r="U645" i="11"/>
  <c r="U646" i="11"/>
  <c r="U647" i="11"/>
  <c r="U648" i="11"/>
  <c r="U649" i="11"/>
  <c r="U650" i="11"/>
  <c r="U651" i="11"/>
  <c r="U652" i="11"/>
  <c r="U653" i="11"/>
  <c r="U654" i="11"/>
  <c r="U655" i="11"/>
  <c r="U656" i="11"/>
  <c r="U657" i="11"/>
  <c r="U658" i="11"/>
  <c r="U659" i="11"/>
  <c r="U660" i="11"/>
  <c r="U661" i="11"/>
  <c r="U662" i="11"/>
  <c r="U663" i="11"/>
  <c r="U664" i="11"/>
  <c r="U665" i="11"/>
  <c r="U666" i="11"/>
  <c r="U667" i="11"/>
  <c r="U668" i="11"/>
  <c r="U669" i="11"/>
  <c r="U670" i="11"/>
  <c r="U671" i="11"/>
  <c r="U672" i="11"/>
  <c r="U673" i="11"/>
  <c r="U674" i="11"/>
  <c r="U675" i="11"/>
  <c r="U676" i="11"/>
  <c r="U677" i="11"/>
  <c r="U678" i="11"/>
  <c r="U679" i="11"/>
  <c r="U680" i="11"/>
  <c r="U681" i="11"/>
  <c r="U682" i="11"/>
  <c r="U683" i="11"/>
  <c r="U684" i="11"/>
  <c r="U685" i="11"/>
  <c r="U686" i="11"/>
  <c r="U687" i="11"/>
  <c r="U688" i="11"/>
  <c r="U689" i="11"/>
  <c r="U690" i="11"/>
  <c r="U691" i="11"/>
  <c r="U692" i="11"/>
  <c r="U693" i="11"/>
  <c r="U694" i="11"/>
  <c r="U695" i="11"/>
  <c r="U696" i="11"/>
  <c r="U697" i="11"/>
  <c r="U698" i="11"/>
  <c r="U699" i="11"/>
  <c r="U700" i="11"/>
  <c r="U701" i="11"/>
  <c r="U702" i="11"/>
  <c r="U703" i="11"/>
  <c r="U704" i="11"/>
  <c r="U705" i="11"/>
  <c r="U706" i="11"/>
  <c r="U707" i="11"/>
  <c r="U708" i="11"/>
  <c r="U709" i="11"/>
  <c r="U710" i="11"/>
  <c r="U711" i="11"/>
  <c r="U712" i="11"/>
  <c r="U713" i="11"/>
  <c r="U714" i="11"/>
  <c r="U715" i="11"/>
  <c r="U716" i="11"/>
  <c r="U717" i="11"/>
  <c r="U718" i="11"/>
  <c r="U719" i="11"/>
  <c r="U720" i="11"/>
  <c r="U721" i="11"/>
  <c r="U722" i="11"/>
  <c r="U723" i="11"/>
  <c r="U724" i="11"/>
  <c r="U725" i="11"/>
  <c r="U726" i="11"/>
  <c r="U727" i="11"/>
  <c r="U728" i="11"/>
  <c r="U729" i="11"/>
  <c r="U730" i="11"/>
  <c r="U731" i="11"/>
  <c r="U732" i="11"/>
  <c r="U733" i="11"/>
  <c r="U734" i="11"/>
  <c r="U735" i="11"/>
  <c r="U736" i="11"/>
  <c r="U737" i="11"/>
  <c r="U738" i="11"/>
  <c r="U739" i="11"/>
  <c r="U740" i="11"/>
  <c r="U741" i="11"/>
  <c r="U742" i="11"/>
  <c r="U743" i="11"/>
  <c r="U744" i="11"/>
  <c r="U745" i="11"/>
  <c r="U746" i="11"/>
  <c r="U747" i="11"/>
  <c r="U748" i="11"/>
  <c r="U749" i="11"/>
  <c r="U750" i="11"/>
  <c r="U751" i="11"/>
  <c r="U752" i="11"/>
  <c r="U753" i="11"/>
  <c r="U754" i="11"/>
  <c r="U755" i="11"/>
  <c r="U756" i="11"/>
  <c r="U757" i="11"/>
  <c r="U758" i="11"/>
  <c r="U759" i="11"/>
  <c r="U760" i="11"/>
  <c r="U761" i="11"/>
  <c r="U762" i="11"/>
  <c r="U763" i="11"/>
  <c r="U764" i="11"/>
  <c r="U765" i="11"/>
  <c r="U766" i="11"/>
  <c r="U767" i="11"/>
  <c r="U768" i="11"/>
  <c r="U769" i="11"/>
  <c r="U770" i="11"/>
  <c r="U771" i="11"/>
  <c r="U772" i="11"/>
  <c r="U773" i="11"/>
  <c r="U774" i="11"/>
  <c r="U775" i="11"/>
  <c r="U776" i="11"/>
  <c r="U777" i="11"/>
  <c r="U778" i="11"/>
  <c r="U779" i="11"/>
  <c r="U780" i="11"/>
  <c r="U781" i="11"/>
  <c r="U782" i="11"/>
  <c r="U783" i="11"/>
  <c r="U784" i="11"/>
  <c r="U785" i="11"/>
  <c r="U786" i="11"/>
  <c r="U787" i="11"/>
  <c r="U788" i="11"/>
  <c r="U789" i="11"/>
  <c r="U790" i="11"/>
  <c r="U791" i="11"/>
  <c r="U792" i="11"/>
  <c r="U793" i="11"/>
  <c r="U794" i="11"/>
  <c r="U795" i="11"/>
  <c r="U796" i="11"/>
  <c r="U797" i="11"/>
  <c r="U798" i="11"/>
  <c r="U799" i="11"/>
  <c r="U800" i="11"/>
  <c r="U801" i="11"/>
  <c r="U802" i="11"/>
  <c r="U803" i="11"/>
  <c r="U804" i="11"/>
  <c r="U805" i="11"/>
  <c r="U806" i="11"/>
  <c r="U807" i="11"/>
  <c r="U808" i="11"/>
  <c r="U809" i="11"/>
  <c r="U810" i="11"/>
  <c r="U811" i="11"/>
  <c r="U812" i="11"/>
  <c r="U813" i="11"/>
  <c r="U814" i="11"/>
  <c r="U815" i="11"/>
  <c r="U816" i="11"/>
  <c r="U817" i="11"/>
  <c r="U818" i="11"/>
  <c r="U819" i="11"/>
  <c r="U820" i="11"/>
  <c r="U821" i="11"/>
  <c r="U822" i="11"/>
  <c r="U823" i="11"/>
  <c r="U824" i="11"/>
  <c r="U825" i="11"/>
  <c r="U826" i="11"/>
  <c r="U827" i="11"/>
  <c r="U828" i="11"/>
  <c r="U829" i="11"/>
  <c r="U830" i="11"/>
  <c r="U831" i="11"/>
  <c r="U832" i="11"/>
  <c r="U833" i="11"/>
  <c r="U834" i="11"/>
  <c r="U835" i="11"/>
  <c r="U836" i="11"/>
  <c r="U837" i="11"/>
  <c r="U838" i="11"/>
  <c r="U839" i="11"/>
  <c r="U840" i="11"/>
  <c r="U841" i="11"/>
  <c r="U842" i="11"/>
  <c r="U843" i="11"/>
  <c r="U844" i="11"/>
  <c r="U845" i="11"/>
  <c r="U846" i="11"/>
  <c r="U847" i="11"/>
  <c r="U848" i="11"/>
  <c r="U849" i="11"/>
  <c r="U850" i="11"/>
  <c r="U851" i="11"/>
  <c r="U852" i="11"/>
  <c r="U853" i="11"/>
  <c r="U854" i="11"/>
  <c r="U855" i="11"/>
  <c r="U856" i="11"/>
  <c r="U857" i="11"/>
  <c r="U858" i="11"/>
  <c r="U859" i="11"/>
  <c r="U860" i="11"/>
  <c r="U861" i="11"/>
  <c r="U862" i="11"/>
  <c r="U863" i="11"/>
  <c r="U864" i="11"/>
  <c r="U865" i="11"/>
  <c r="U866" i="11"/>
  <c r="U867" i="11"/>
  <c r="U868" i="11"/>
  <c r="U869" i="11"/>
  <c r="U870" i="11"/>
  <c r="U871" i="11"/>
  <c r="U872" i="11"/>
  <c r="U873" i="11"/>
  <c r="U874" i="11"/>
  <c r="U875" i="11"/>
  <c r="U876" i="11"/>
  <c r="U877" i="11"/>
  <c r="U878" i="11"/>
  <c r="U879" i="11"/>
  <c r="U880" i="11"/>
  <c r="U881" i="11"/>
  <c r="U882" i="11"/>
  <c r="U883" i="11"/>
  <c r="U884" i="11"/>
  <c r="U885" i="11"/>
  <c r="U886" i="11"/>
  <c r="U887" i="11"/>
  <c r="U888" i="11"/>
  <c r="U889" i="11"/>
  <c r="U890" i="11"/>
  <c r="U891" i="11"/>
  <c r="U892" i="11"/>
  <c r="U893" i="11"/>
  <c r="U894" i="11"/>
  <c r="U895" i="11"/>
  <c r="U896" i="11"/>
  <c r="U897" i="11"/>
  <c r="U898" i="11"/>
  <c r="U899" i="11"/>
  <c r="U900" i="11"/>
  <c r="U901" i="11"/>
  <c r="U902" i="11"/>
  <c r="U903" i="11"/>
  <c r="U904" i="11"/>
  <c r="U905" i="11"/>
  <c r="U906" i="11"/>
  <c r="U907" i="11"/>
  <c r="U908" i="11"/>
  <c r="U909" i="11"/>
  <c r="U910" i="11"/>
  <c r="U911" i="11"/>
  <c r="U912" i="11"/>
  <c r="U913" i="11"/>
  <c r="U914" i="11"/>
  <c r="U915" i="11"/>
  <c r="U916" i="11"/>
  <c r="U917" i="11"/>
  <c r="U918" i="11"/>
  <c r="U919" i="11"/>
  <c r="U920" i="11"/>
  <c r="U921" i="11"/>
  <c r="U922" i="11"/>
  <c r="U923" i="11"/>
  <c r="U924" i="11"/>
  <c r="U925" i="11"/>
  <c r="U926" i="11"/>
  <c r="U927" i="11"/>
  <c r="U928" i="11"/>
  <c r="U929" i="11"/>
  <c r="U930" i="11"/>
  <c r="U931" i="11"/>
  <c r="U932" i="11"/>
  <c r="U933" i="11"/>
  <c r="U934" i="11"/>
  <c r="U935" i="11"/>
  <c r="U936" i="11"/>
  <c r="U937" i="11"/>
  <c r="U938" i="11"/>
  <c r="U939" i="11"/>
  <c r="U940" i="11"/>
  <c r="U941" i="11"/>
  <c r="U942" i="11"/>
  <c r="U943" i="11"/>
  <c r="U944" i="11"/>
  <c r="U945" i="11"/>
  <c r="U946" i="11"/>
  <c r="U947" i="11"/>
  <c r="U948" i="11"/>
  <c r="U949" i="11"/>
  <c r="U950" i="11"/>
  <c r="U951" i="11"/>
  <c r="U952" i="11"/>
  <c r="U953" i="11"/>
  <c r="U954" i="11"/>
  <c r="U955" i="11"/>
  <c r="U956" i="11"/>
  <c r="U957" i="11"/>
  <c r="U958" i="11"/>
  <c r="U959" i="11"/>
  <c r="U960" i="11"/>
  <c r="U961" i="11"/>
  <c r="U962" i="11"/>
  <c r="U963" i="11"/>
  <c r="U964" i="11"/>
  <c r="U965" i="11"/>
  <c r="U966" i="11"/>
  <c r="U967" i="11"/>
  <c r="U968" i="11"/>
  <c r="U969" i="11"/>
  <c r="U970" i="11"/>
  <c r="U971" i="11"/>
  <c r="U972" i="11"/>
  <c r="U973" i="11"/>
  <c r="U974" i="11"/>
  <c r="U975" i="11"/>
  <c r="U976" i="11"/>
  <c r="U977" i="11"/>
  <c r="U978" i="11"/>
  <c r="U979" i="11"/>
  <c r="U980" i="11"/>
  <c r="U981" i="11"/>
  <c r="U982" i="11"/>
  <c r="U983" i="11"/>
  <c r="U984" i="11"/>
  <c r="U985" i="11"/>
  <c r="U986" i="11"/>
  <c r="U987" i="11"/>
  <c r="U988" i="11"/>
  <c r="U989" i="11"/>
  <c r="U990" i="11"/>
  <c r="U991" i="11"/>
  <c r="U992" i="11"/>
  <c r="U993" i="11"/>
  <c r="U994" i="11"/>
  <c r="U995" i="11"/>
  <c r="U996" i="11"/>
  <c r="U997" i="11"/>
  <c r="U998" i="11"/>
  <c r="U999" i="11"/>
  <c r="U1000" i="11"/>
  <c r="U3" i="11"/>
  <c r="U101" i="2" s="1"/>
  <c r="U4" i="11"/>
  <c r="AC58" i="2" s="1"/>
  <c r="U5" i="11"/>
  <c r="U6" i="11"/>
  <c r="AK90" i="2" s="1"/>
  <c r="U7" i="11"/>
  <c r="AC26" i="2" s="1"/>
  <c r="U8" i="11"/>
  <c r="U9" i="11"/>
  <c r="U10" i="11"/>
  <c r="AC57" i="2" s="1"/>
  <c r="U11" i="11"/>
  <c r="AC24" i="2" s="1"/>
  <c r="U12" i="11"/>
  <c r="U13" i="11"/>
  <c r="U14" i="11"/>
  <c r="AK79" i="2" s="1"/>
  <c r="U15" i="11"/>
  <c r="AK91" i="2" s="1"/>
  <c r="U16" i="11"/>
  <c r="U17" i="11"/>
  <c r="U18" i="11"/>
  <c r="AC71" i="2" s="1"/>
  <c r="V2" i="11"/>
  <c r="AD85" i="2" s="1"/>
  <c r="V3" i="11"/>
  <c r="AL101" i="2" s="1"/>
  <c r="V4" i="11"/>
  <c r="V58" i="2" s="1"/>
  <c r="V5" i="11"/>
  <c r="V6" i="11"/>
  <c r="V90" i="2" s="1"/>
  <c r="V7" i="11"/>
  <c r="AD26" i="2" s="1"/>
  <c r="V8" i="11"/>
  <c r="V9" i="11"/>
  <c r="V10" i="11"/>
  <c r="V57" i="2" s="1"/>
  <c r="V11" i="11"/>
  <c r="AD24" i="2" s="1"/>
  <c r="V12" i="11"/>
  <c r="V13" i="11"/>
  <c r="V14" i="11"/>
  <c r="V79" i="2" s="1"/>
  <c r="V15" i="11"/>
  <c r="V91" i="2" s="1"/>
  <c r="V16" i="11"/>
  <c r="V17" i="11"/>
  <c r="V18" i="11"/>
  <c r="V71" i="2" s="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718" i="11"/>
  <c r="V719" i="11"/>
  <c r="V720" i="11"/>
  <c r="V721" i="11"/>
  <c r="V722" i="11"/>
  <c r="V723" i="11"/>
  <c r="V724" i="11"/>
  <c r="V725" i="11"/>
  <c r="V726" i="11"/>
  <c r="V727" i="11"/>
  <c r="V728" i="11"/>
  <c r="V729" i="11"/>
  <c r="V730" i="11"/>
  <c r="V731" i="11"/>
  <c r="V732" i="11"/>
  <c r="V733" i="11"/>
  <c r="V734" i="11"/>
  <c r="V735" i="11"/>
  <c r="V736" i="11"/>
  <c r="V737" i="11"/>
  <c r="V738" i="11"/>
  <c r="V739" i="11"/>
  <c r="V740" i="11"/>
  <c r="V741" i="11"/>
  <c r="V742" i="11"/>
  <c r="V743" i="11"/>
  <c r="V744" i="11"/>
  <c r="V745" i="11"/>
  <c r="V746" i="11"/>
  <c r="V747" i="11"/>
  <c r="V748" i="11"/>
  <c r="V749" i="11"/>
  <c r="V750" i="11"/>
  <c r="V751" i="11"/>
  <c r="V752" i="11"/>
  <c r="V753" i="11"/>
  <c r="V754" i="11"/>
  <c r="V755" i="11"/>
  <c r="V756" i="11"/>
  <c r="V757" i="11"/>
  <c r="V758" i="11"/>
  <c r="V759" i="11"/>
  <c r="V760" i="11"/>
  <c r="V761" i="11"/>
  <c r="V762" i="11"/>
  <c r="V763" i="11"/>
  <c r="V764" i="11"/>
  <c r="V765" i="11"/>
  <c r="V766" i="11"/>
  <c r="V767" i="11"/>
  <c r="V768" i="11"/>
  <c r="V769" i="11"/>
  <c r="V770" i="11"/>
  <c r="V771" i="11"/>
  <c r="V772" i="11"/>
  <c r="V773" i="11"/>
  <c r="V774" i="11"/>
  <c r="V775" i="11"/>
  <c r="V776" i="11"/>
  <c r="V777" i="11"/>
  <c r="V778" i="11"/>
  <c r="V779" i="11"/>
  <c r="V780" i="11"/>
  <c r="V781" i="11"/>
  <c r="V782" i="11"/>
  <c r="V783" i="11"/>
  <c r="V784" i="11"/>
  <c r="V785" i="11"/>
  <c r="V786" i="11"/>
  <c r="V787" i="11"/>
  <c r="V788" i="11"/>
  <c r="V789" i="11"/>
  <c r="V790" i="11"/>
  <c r="V791" i="11"/>
  <c r="V792" i="11"/>
  <c r="V793" i="11"/>
  <c r="V794" i="11"/>
  <c r="V795" i="11"/>
  <c r="V796" i="11"/>
  <c r="V797" i="11"/>
  <c r="V798" i="11"/>
  <c r="V799" i="11"/>
  <c r="V800" i="11"/>
  <c r="V801" i="11"/>
  <c r="V802" i="11"/>
  <c r="V803" i="11"/>
  <c r="V804" i="11"/>
  <c r="V805" i="11"/>
  <c r="V806" i="11"/>
  <c r="V807" i="11"/>
  <c r="V808" i="11"/>
  <c r="V809" i="11"/>
  <c r="V810" i="11"/>
  <c r="V811" i="11"/>
  <c r="V812" i="11"/>
  <c r="V813" i="11"/>
  <c r="V814" i="11"/>
  <c r="V815" i="11"/>
  <c r="V816" i="11"/>
  <c r="V817" i="11"/>
  <c r="V818" i="11"/>
  <c r="V819" i="11"/>
  <c r="V820" i="11"/>
  <c r="V821" i="11"/>
  <c r="V822" i="11"/>
  <c r="V823" i="11"/>
  <c r="V824" i="11"/>
  <c r="V825" i="11"/>
  <c r="V826" i="11"/>
  <c r="V827" i="11"/>
  <c r="V828" i="11"/>
  <c r="V829" i="11"/>
  <c r="V830" i="11"/>
  <c r="V831" i="11"/>
  <c r="V832" i="11"/>
  <c r="V833" i="11"/>
  <c r="V834" i="11"/>
  <c r="V835" i="11"/>
  <c r="V836" i="11"/>
  <c r="V837" i="11"/>
  <c r="V838" i="11"/>
  <c r="V839" i="11"/>
  <c r="V840" i="11"/>
  <c r="V841" i="11"/>
  <c r="V842" i="11"/>
  <c r="V843" i="11"/>
  <c r="V844" i="11"/>
  <c r="V845" i="11"/>
  <c r="V846" i="11"/>
  <c r="V847" i="11"/>
  <c r="V848" i="11"/>
  <c r="V849" i="11"/>
  <c r="V850" i="11"/>
  <c r="V851" i="11"/>
  <c r="V852" i="11"/>
  <c r="V853" i="11"/>
  <c r="V854" i="11"/>
  <c r="V855" i="11"/>
  <c r="V856" i="11"/>
  <c r="V857" i="11"/>
  <c r="V858" i="11"/>
  <c r="V859" i="11"/>
  <c r="V860" i="11"/>
  <c r="V861" i="11"/>
  <c r="V862" i="11"/>
  <c r="V863" i="11"/>
  <c r="V864" i="11"/>
  <c r="V865" i="11"/>
  <c r="V866" i="11"/>
  <c r="V867" i="11"/>
  <c r="V868" i="11"/>
  <c r="V869" i="11"/>
  <c r="V870" i="11"/>
  <c r="V871" i="11"/>
  <c r="V872" i="11"/>
  <c r="V873" i="11"/>
  <c r="V874" i="11"/>
  <c r="V875" i="11"/>
  <c r="V876" i="11"/>
  <c r="V877" i="11"/>
  <c r="V878" i="11"/>
  <c r="V879" i="11"/>
  <c r="V880" i="11"/>
  <c r="V881" i="11"/>
  <c r="V882" i="11"/>
  <c r="V883" i="11"/>
  <c r="V884" i="11"/>
  <c r="V885" i="11"/>
  <c r="V886" i="11"/>
  <c r="V887" i="11"/>
  <c r="V888" i="11"/>
  <c r="V889" i="11"/>
  <c r="V890" i="11"/>
  <c r="V891" i="11"/>
  <c r="V892" i="11"/>
  <c r="V893" i="11"/>
  <c r="V894" i="11"/>
  <c r="V895" i="11"/>
  <c r="V896" i="11"/>
  <c r="V897" i="11"/>
  <c r="V898" i="11"/>
  <c r="V899" i="11"/>
  <c r="V900" i="11"/>
  <c r="V901" i="11"/>
  <c r="V902" i="11"/>
  <c r="V903" i="11"/>
  <c r="V904" i="11"/>
  <c r="V905" i="11"/>
  <c r="V906" i="11"/>
  <c r="V907" i="11"/>
  <c r="V908" i="11"/>
  <c r="V909" i="11"/>
  <c r="V910" i="11"/>
  <c r="V911" i="11"/>
  <c r="V912" i="11"/>
  <c r="V913" i="11"/>
  <c r="V914" i="11"/>
  <c r="V915" i="11"/>
  <c r="V916" i="11"/>
  <c r="V917" i="11"/>
  <c r="V918" i="11"/>
  <c r="V919" i="11"/>
  <c r="V920" i="11"/>
  <c r="V921" i="11"/>
  <c r="V922" i="11"/>
  <c r="V923" i="11"/>
  <c r="V924" i="11"/>
  <c r="V925" i="11"/>
  <c r="V926" i="11"/>
  <c r="V927" i="11"/>
  <c r="V928" i="11"/>
  <c r="V929" i="11"/>
  <c r="V930" i="11"/>
  <c r="V931" i="11"/>
  <c r="V932" i="11"/>
  <c r="V933" i="11"/>
  <c r="V934" i="11"/>
  <c r="V935" i="11"/>
  <c r="V936" i="11"/>
  <c r="V937" i="11"/>
  <c r="V938" i="11"/>
  <c r="V939" i="11"/>
  <c r="V940" i="11"/>
  <c r="V941" i="11"/>
  <c r="V942" i="11"/>
  <c r="V943" i="11"/>
  <c r="V944" i="11"/>
  <c r="V945" i="11"/>
  <c r="V946" i="11"/>
  <c r="V947" i="11"/>
  <c r="V948" i="11"/>
  <c r="V949" i="11"/>
  <c r="V950" i="11"/>
  <c r="V951" i="11"/>
  <c r="V952" i="11"/>
  <c r="V953" i="11"/>
  <c r="V954" i="11"/>
  <c r="V955" i="11"/>
  <c r="V956" i="11"/>
  <c r="V957" i="11"/>
  <c r="V958" i="11"/>
  <c r="V959" i="11"/>
  <c r="V960" i="11"/>
  <c r="V961" i="11"/>
  <c r="V962" i="11"/>
  <c r="V963" i="11"/>
  <c r="V964" i="11"/>
  <c r="V965" i="11"/>
  <c r="V966" i="11"/>
  <c r="V967" i="11"/>
  <c r="V968" i="11"/>
  <c r="V969" i="11"/>
  <c r="V970" i="11"/>
  <c r="V971" i="11"/>
  <c r="V972" i="11"/>
  <c r="V973" i="11"/>
  <c r="V974" i="11"/>
  <c r="V975" i="11"/>
  <c r="V976" i="11"/>
  <c r="V977" i="11"/>
  <c r="V978" i="11"/>
  <c r="V979" i="11"/>
  <c r="V980" i="11"/>
  <c r="V981" i="11"/>
  <c r="V982" i="11"/>
  <c r="V983" i="11"/>
  <c r="V984" i="11"/>
  <c r="V985" i="11"/>
  <c r="V986" i="11"/>
  <c r="V987" i="11"/>
  <c r="V988" i="11"/>
  <c r="V989" i="11"/>
  <c r="V990" i="11"/>
  <c r="V991" i="11"/>
  <c r="V992" i="11"/>
  <c r="V993" i="11"/>
  <c r="V994" i="11"/>
  <c r="V995" i="11"/>
  <c r="V996" i="11"/>
  <c r="V997" i="11"/>
  <c r="V998" i="11"/>
  <c r="V999" i="11"/>
  <c r="V1000" i="11"/>
  <c r="U2" i="11"/>
  <c r="AC85" i="2" s="1"/>
  <c r="CU102" i="2"/>
  <c r="CM102" i="2"/>
  <c r="CE102" i="2"/>
  <c r="BW102" i="2"/>
  <c r="BO102" i="2"/>
  <c r="BG102" i="2"/>
  <c r="AY102" i="2"/>
  <c r="AQ102" i="2"/>
  <c r="AI102" i="2"/>
  <c r="AA102" i="2"/>
  <c r="G102" i="2"/>
  <c r="CZ102" i="2" s="1"/>
  <c r="D102" i="2"/>
  <c r="CU101" i="2"/>
  <c r="CM101" i="2"/>
  <c r="CE101" i="2"/>
  <c r="BW101" i="2"/>
  <c r="BO101" i="2"/>
  <c r="BG101" i="2"/>
  <c r="AY101" i="2"/>
  <c r="AQ101" i="2"/>
  <c r="AI101" i="2"/>
  <c r="AA101" i="2"/>
  <c r="G101" i="2"/>
  <c r="CZ101" i="2" s="1"/>
  <c r="D101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AD35" i="2" l="1"/>
  <c r="AC81" i="2"/>
  <c r="V46" i="2"/>
  <c r="AC35" i="2"/>
  <c r="U26" i="2"/>
  <c r="AL26" i="2"/>
  <c r="N35" i="2"/>
  <c r="N71" i="2"/>
  <c r="AD71" i="2"/>
  <c r="V81" i="2"/>
  <c r="V35" i="2"/>
  <c r="AC46" i="2"/>
  <c r="V101" i="2"/>
  <c r="AK101" i="2"/>
  <c r="M91" i="2"/>
  <c r="M79" i="2"/>
  <c r="N58" i="2"/>
  <c r="N46" i="2"/>
  <c r="U85" i="2"/>
  <c r="AC91" i="2"/>
  <c r="AC79" i="2"/>
  <c r="AD58" i="2"/>
  <c r="AD46" i="2"/>
  <c r="AL85" i="2"/>
  <c r="M90" i="2"/>
  <c r="N81" i="2"/>
  <c r="N57" i="2"/>
  <c r="U24" i="2"/>
  <c r="AC90" i="2"/>
  <c r="AD81" i="2"/>
  <c r="AD57" i="2"/>
  <c r="AL24" i="2"/>
  <c r="M101" i="2"/>
  <c r="U71" i="2"/>
  <c r="U35" i="2"/>
  <c r="V26" i="2"/>
  <c r="AC101" i="2"/>
  <c r="AL71" i="2"/>
  <c r="AL35" i="2"/>
  <c r="AK26" i="2"/>
  <c r="N91" i="2"/>
  <c r="N79" i="2"/>
  <c r="U58" i="2"/>
  <c r="U46" i="2"/>
  <c r="V85" i="2"/>
  <c r="AD91" i="2"/>
  <c r="AD79" i="2"/>
  <c r="AL58" i="2"/>
  <c r="AL46" i="2"/>
  <c r="AK85" i="2"/>
  <c r="N90" i="2"/>
  <c r="U81" i="2"/>
  <c r="U57" i="2"/>
  <c r="V24" i="2"/>
  <c r="AD90" i="2"/>
  <c r="AL81" i="2"/>
  <c r="AL57" i="2"/>
  <c r="AK24" i="2"/>
  <c r="M26" i="2"/>
  <c r="N101" i="2"/>
  <c r="P101" i="2" s="1"/>
  <c r="AD101" i="2"/>
  <c r="AF101" i="2" s="1"/>
  <c r="AK71" i="2"/>
  <c r="AK35" i="2"/>
  <c r="M85" i="2"/>
  <c r="U91" i="2"/>
  <c r="U79" i="2"/>
  <c r="AL91" i="2"/>
  <c r="AL79" i="2"/>
  <c r="AK58" i="2"/>
  <c r="AK46" i="2"/>
  <c r="M24" i="2"/>
  <c r="U90" i="2"/>
  <c r="AL90" i="2"/>
  <c r="AK81" i="2"/>
  <c r="AK57" i="2"/>
  <c r="M71" i="2"/>
  <c r="M35" i="2"/>
  <c r="N26" i="2"/>
  <c r="M58" i="2"/>
  <c r="M46" i="2"/>
  <c r="N85" i="2"/>
  <c r="M81" i="2"/>
  <c r="M57" i="2"/>
  <c r="N24" i="2"/>
  <c r="O101" i="2"/>
  <c r="CJ102" i="2"/>
  <c r="CB102" i="2"/>
  <c r="AE102" i="2"/>
  <c r="BC102" i="2"/>
  <c r="AF102" i="2"/>
  <c r="BD102" i="2"/>
  <c r="CI102" i="2"/>
  <c r="AM102" i="2"/>
  <c r="BL102" i="2"/>
  <c r="CQ102" i="2"/>
  <c r="P102" i="2"/>
  <c r="CR102" i="2"/>
  <c r="BS102" i="2"/>
  <c r="AN102" i="2"/>
  <c r="W102" i="2"/>
  <c r="AU102" i="2"/>
  <c r="BT102" i="2"/>
  <c r="X102" i="2"/>
  <c r="AV102" i="2"/>
  <c r="CY102" i="2"/>
  <c r="BK102" i="2"/>
  <c r="O102" i="2"/>
  <c r="CA102" i="2"/>
  <c r="AE101" i="2"/>
  <c r="BC101" i="2"/>
  <c r="BD101" i="2"/>
  <c r="CI101" i="2"/>
  <c r="CJ101" i="2"/>
  <c r="BK101" i="2"/>
  <c r="AM101" i="2"/>
  <c r="BL101" i="2"/>
  <c r="AN101" i="2"/>
  <c r="CQ101" i="2"/>
  <c r="CR101" i="2"/>
  <c r="BS101" i="2"/>
  <c r="W101" i="2"/>
  <c r="AU101" i="2"/>
  <c r="BT101" i="2"/>
  <c r="CB101" i="2"/>
  <c r="X101" i="2"/>
  <c r="AV101" i="2"/>
  <c r="CY101" i="2"/>
  <c r="CA101" i="2"/>
  <c r="AE2" i="9"/>
  <c r="E17" i="17" l="1"/>
  <c r="D5" i="19"/>
  <c r="D4" i="19"/>
  <c r="D3" i="19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10" i="18"/>
  <c r="F3" i="16"/>
  <c r="F4" i="16"/>
  <c r="F5" i="16"/>
  <c r="H5" i="16"/>
  <c r="H4" i="16"/>
  <c r="H3" i="16"/>
  <c r="D5" i="16"/>
  <c r="D4" i="16"/>
  <c r="D3" i="16"/>
  <c r="D1048576" i="16"/>
  <c r="C5" i="18"/>
  <c r="K10" i="18"/>
  <c r="K9" i="18"/>
  <c r="G9" i="18"/>
  <c r="D17" i="17"/>
  <c r="C17" i="17"/>
  <c r="E3" i="17"/>
  <c r="F3" i="17"/>
  <c r="G3" i="17" s="1"/>
  <c r="F4" i="17"/>
  <c r="G4" i="17" s="1"/>
  <c r="F5" i="17"/>
  <c r="G5" i="17" s="1"/>
  <c r="E5" i="17"/>
  <c r="E4" i="17"/>
  <c r="G6" i="16"/>
  <c r="G7" i="16" s="1"/>
  <c r="H7" i="16" s="1"/>
  <c r="E6" i="16"/>
  <c r="C6" i="16"/>
  <c r="E7" i="13"/>
  <c r="J8" i="13"/>
  <c r="E13" i="13" s="1"/>
  <c r="I8" i="13"/>
  <c r="E12" i="13" s="1"/>
  <c r="G8" i="13"/>
  <c r="D13" i="13" s="1"/>
  <c r="F8" i="13"/>
  <c r="D12" i="13" s="1"/>
  <c r="D8" i="13"/>
  <c r="C13" i="13" s="1"/>
  <c r="C8" i="13"/>
  <c r="C12" i="13" s="1"/>
  <c r="E6" i="13"/>
  <c r="H7" i="13"/>
  <c r="H6" i="13"/>
  <c r="K7" i="13"/>
  <c r="K6" i="13"/>
  <c r="K5" i="13"/>
  <c r="H5" i="13"/>
  <c r="E5" i="13"/>
  <c r="M4" i="15"/>
  <c r="M3" i="15"/>
  <c r="M5" i="15"/>
  <c r="J4" i="15"/>
  <c r="J3" i="15"/>
  <c r="L5" i="15"/>
  <c r="K5" i="15"/>
  <c r="J5" i="15"/>
  <c r="L4" i="15"/>
  <c r="K4" i="15"/>
  <c r="L3" i="15"/>
  <c r="K3" i="15"/>
  <c r="K4" i="13"/>
  <c r="H4" i="13"/>
  <c r="E4" i="13"/>
  <c r="AE98" i="9"/>
  <c r="AE100" i="9"/>
  <c r="AD100" i="9"/>
  <c r="Y100" i="9"/>
  <c r="X100" i="9"/>
  <c r="W100" i="9"/>
  <c r="Z100" i="9" s="1"/>
  <c r="AE99" i="9"/>
  <c r="AD99" i="9"/>
  <c r="Y99" i="9"/>
  <c r="X99" i="9"/>
  <c r="W99" i="9"/>
  <c r="Z99" i="9" s="1"/>
  <c r="AD98" i="9"/>
  <c r="Y98" i="9"/>
  <c r="X98" i="9"/>
  <c r="W98" i="9"/>
  <c r="Z98" i="9" s="1"/>
  <c r="AE97" i="9"/>
  <c r="E97" i="5" s="1"/>
  <c r="AD97" i="9"/>
  <c r="Y97" i="9"/>
  <c r="X97" i="9"/>
  <c r="W97" i="9"/>
  <c r="Z97" i="9" s="1"/>
  <c r="AE96" i="9"/>
  <c r="AD96" i="9"/>
  <c r="Y96" i="9"/>
  <c r="X96" i="9"/>
  <c r="W96" i="9"/>
  <c r="Z96" i="9" s="1"/>
  <c r="AE95" i="9"/>
  <c r="AD95" i="9"/>
  <c r="Y95" i="9"/>
  <c r="X95" i="9"/>
  <c r="W95" i="9"/>
  <c r="Z95" i="9" s="1"/>
  <c r="AE94" i="9"/>
  <c r="AD94" i="9"/>
  <c r="Y94" i="9"/>
  <c r="X94" i="9"/>
  <c r="W94" i="9"/>
  <c r="Z94" i="9" s="1"/>
  <c r="AE93" i="9"/>
  <c r="AD93" i="9"/>
  <c r="Y93" i="9"/>
  <c r="X93" i="9"/>
  <c r="W93" i="9"/>
  <c r="Z93" i="9" s="1"/>
  <c r="AE92" i="9"/>
  <c r="AD92" i="9"/>
  <c r="Y92" i="9"/>
  <c r="X92" i="9"/>
  <c r="W92" i="9"/>
  <c r="Z92" i="9" s="1"/>
  <c r="AE91" i="9"/>
  <c r="AD91" i="9"/>
  <c r="Y91" i="9"/>
  <c r="X91" i="9"/>
  <c r="W91" i="9"/>
  <c r="Z91" i="9" s="1"/>
  <c r="AE90" i="9"/>
  <c r="AD90" i="9"/>
  <c r="Y90" i="9"/>
  <c r="X90" i="9"/>
  <c r="W90" i="9"/>
  <c r="Z90" i="9" s="1"/>
  <c r="AE89" i="9"/>
  <c r="AD89" i="9"/>
  <c r="Y89" i="9"/>
  <c r="X89" i="9"/>
  <c r="W89" i="9"/>
  <c r="Z89" i="9" s="1"/>
  <c r="AE88" i="9"/>
  <c r="AD88" i="9"/>
  <c r="Y88" i="9"/>
  <c r="X88" i="9"/>
  <c r="W88" i="9"/>
  <c r="Z88" i="9" s="1"/>
  <c r="AE87" i="9"/>
  <c r="AD87" i="9"/>
  <c r="Y87" i="9"/>
  <c r="X87" i="9"/>
  <c r="W87" i="9"/>
  <c r="Z87" i="9" s="1"/>
  <c r="AE86" i="9"/>
  <c r="AD86" i="9"/>
  <c r="Y86" i="9"/>
  <c r="X86" i="9"/>
  <c r="W86" i="9"/>
  <c r="Z86" i="9" s="1"/>
  <c r="AE85" i="9"/>
  <c r="AD85" i="9"/>
  <c r="Y85" i="9"/>
  <c r="X85" i="9"/>
  <c r="W85" i="9"/>
  <c r="Z85" i="9" s="1"/>
  <c r="AE84" i="9"/>
  <c r="AD84" i="9"/>
  <c r="Y84" i="9"/>
  <c r="X84" i="9"/>
  <c r="W84" i="9"/>
  <c r="Z84" i="9" s="1"/>
  <c r="AE83" i="9"/>
  <c r="AD83" i="9"/>
  <c r="Y83" i="9"/>
  <c r="X83" i="9"/>
  <c r="W83" i="9"/>
  <c r="Z83" i="9" s="1"/>
  <c r="AE82" i="9"/>
  <c r="AD82" i="9"/>
  <c r="Y82" i="9"/>
  <c r="X82" i="9"/>
  <c r="W82" i="9"/>
  <c r="Z82" i="9" s="1"/>
  <c r="AE81" i="9"/>
  <c r="AD81" i="9"/>
  <c r="Y81" i="9"/>
  <c r="X81" i="9"/>
  <c r="W81" i="9"/>
  <c r="Z81" i="9" s="1"/>
  <c r="AE80" i="9"/>
  <c r="AD80" i="9"/>
  <c r="Y80" i="9"/>
  <c r="X80" i="9"/>
  <c r="W80" i="9"/>
  <c r="Z80" i="9" s="1"/>
  <c r="AE79" i="9"/>
  <c r="AD79" i="9"/>
  <c r="Y79" i="9"/>
  <c r="X79" i="9"/>
  <c r="W79" i="9"/>
  <c r="Z79" i="9" s="1"/>
  <c r="AE78" i="9"/>
  <c r="AD78" i="9"/>
  <c r="Y78" i="9"/>
  <c r="X78" i="9"/>
  <c r="W78" i="9"/>
  <c r="Z78" i="9" s="1"/>
  <c r="AE77" i="9"/>
  <c r="AD77" i="9"/>
  <c r="Y77" i="9"/>
  <c r="X77" i="9"/>
  <c r="W77" i="9"/>
  <c r="Z77" i="9" s="1"/>
  <c r="AE76" i="9"/>
  <c r="AD76" i="9"/>
  <c r="Y76" i="9"/>
  <c r="X76" i="9"/>
  <c r="W76" i="9"/>
  <c r="Z76" i="9" s="1"/>
  <c r="AE75" i="9"/>
  <c r="AD75" i="9"/>
  <c r="Y75" i="9"/>
  <c r="X75" i="9"/>
  <c r="W75" i="9"/>
  <c r="Z75" i="9" s="1"/>
  <c r="AE74" i="9"/>
  <c r="AD74" i="9"/>
  <c r="Y74" i="9"/>
  <c r="X74" i="9"/>
  <c r="W74" i="9"/>
  <c r="Z74" i="9" s="1"/>
  <c r="AE73" i="9"/>
  <c r="AD73" i="9"/>
  <c r="Y73" i="9"/>
  <c r="X73" i="9"/>
  <c r="W73" i="9"/>
  <c r="Z73" i="9" s="1"/>
  <c r="AE72" i="9"/>
  <c r="AD72" i="9"/>
  <c r="Y72" i="9"/>
  <c r="X72" i="9"/>
  <c r="W72" i="9"/>
  <c r="Z72" i="9" s="1"/>
  <c r="AE71" i="9"/>
  <c r="AD71" i="9"/>
  <c r="Y71" i="9"/>
  <c r="X71" i="9"/>
  <c r="W71" i="9"/>
  <c r="Z71" i="9" s="1"/>
  <c r="AE70" i="9"/>
  <c r="AD70" i="9"/>
  <c r="Y70" i="9"/>
  <c r="X70" i="9"/>
  <c r="W70" i="9"/>
  <c r="Z70" i="9" s="1"/>
  <c r="AE69" i="9"/>
  <c r="AD69" i="9"/>
  <c r="Y69" i="9"/>
  <c r="X69" i="9"/>
  <c r="W69" i="9"/>
  <c r="Z69" i="9" s="1"/>
  <c r="AE68" i="9"/>
  <c r="AD68" i="9"/>
  <c r="Y68" i="9"/>
  <c r="X68" i="9"/>
  <c r="W68" i="9"/>
  <c r="Z68" i="9" s="1"/>
  <c r="AE67" i="9"/>
  <c r="AD67" i="9"/>
  <c r="Y67" i="9"/>
  <c r="X67" i="9"/>
  <c r="W67" i="9"/>
  <c r="Z67" i="9" s="1"/>
  <c r="AE66" i="9"/>
  <c r="AD66" i="9"/>
  <c r="Y66" i="9"/>
  <c r="X66" i="9"/>
  <c r="W66" i="9"/>
  <c r="Z66" i="9" s="1"/>
  <c r="AE65" i="9"/>
  <c r="AD65" i="9"/>
  <c r="Y65" i="9"/>
  <c r="X65" i="9"/>
  <c r="W65" i="9"/>
  <c r="Z65" i="9" s="1"/>
  <c r="AE64" i="9"/>
  <c r="AD64" i="9"/>
  <c r="Y64" i="9"/>
  <c r="X64" i="9"/>
  <c r="W64" i="9"/>
  <c r="Z64" i="9" s="1"/>
  <c r="AE63" i="9"/>
  <c r="AD63" i="9"/>
  <c r="Y63" i="9"/>
  <c r="X63" i="9"/>
  <c r="W63" i="9"/>
  <c r="Z63" i="9" s="1"/>
  <c r="AE62" i="9"/>
  <c r="AD62" i="9"/>
  <c r="Y62" i="9"/>
  <c r="X62" i="9"/>
  <c r="W62" i="9"/>
  <c r="Z62" i="9" s="1"/>
  <c r="AE61" i="9"/>
  <c r="AD61" i="9"/>
  <c r="Y61" i="9"/>
  <c r="X61" i="9"/>
  <c r="W61" i="9"/>
  <c r="Z61" i="9" s="1"/>
  <c r="AE60" i="9"/>
  <c r="AD60" i="9"/>
  <c r="Y60" i="9"/>
  <c r="X60" i="9"/>
  <c r="W60" i="9"/>
  <c r="Z60" i="9" s="1"/>
  <c r="AE59" i="9"/>
  <c r="AD59" i="9"/>
  <c r="Y59" i="9"/>
  <c r="X59" i="9"/>
  <c r="W59" i="9"/>
  <c r="Z59" i="9" s="1"/>
  <c r="AE58" i="9"/>
  <c r="AD58" i="9"/>
  <c r="Y58" i="9"/>
  <c r="X58" i="9"/>
  <c r="W58" i="9"/>
  <c r="Z58" i="9" s="1"/>
  <c r="AE57" i="9"/>
  <c r="AD57" i="9"/>
  <c r="Y57" i="9"/>
  <c r="X57" i="9"/>
  <c r="W57" i="9"/>
  <c r="Z57" i="9" s="1"/>
  <c r="AE56" i="9"/>
  <c r="AD56" i="9"/>
  <c r="Y56" i="9"/>
  <c r="X56" i="9"/>
  <c r="W56" i="9"/>
  <c r="Z56" i="9" s="1"/>
  <c r="AE55" i="9"/>
  <c r="AD55" i="9"/>
  <c r="Y55" i="9"/>
  <c r="X55" i="9"/>
  <c r="W55" i="9"/>
  <c r="Z55" i="9" s="1"/>
  <c r="AE54" i="9"/>
  <c r="AD54" i="9"/>
  <c r="Y54" i="9"/>
  <c r="X54" i="9"/>
  <c r="W54" i="9"/>
  <c r="Z54" i="9" s="1"/>
  <c r="AE53" i="9"/>
  <c r="AD53" i="9"/>
  <c r="Y53" i="9"/>
  <c r="X53" i="9"/>
  <c r="W53" i="9"/>
  <c r="Z53" i="9" s="1"/>
  <c r="AE52" i="9"/>
  <c r="AD52" i="9"/>
  <c r="Y52" i="9"/>
  <c r="X52" i="9"/>
  <c r="W52" i="9"/>
  <c r="Z52" i="9" s="1"/>
  <c r="AE51" i="9"/>
  <c r="AD51" i="9"/>
  <c r="Y51" i="9"/>
  <c r="X51" i="9"/>
  <c r="W51" i="9"/>
  <c r="Z51" i="9" s="1"/>
  <c r="AE50" i="9"/>
  <c r="AD50" i="9"/>
  <c r="Y50" i="9"/>
  <c r="X50" i="9"/>
  <c r="W50" i="9"/>
  <c r="Z50" i="9" s="1"/>
  <c r="AE49" i="9"/>
  <c r="AD49" i="9"/>
  <c r="Y49" i="9"/>
  <c r="X49" i="9"/>
  <c r="W49" i="9"/>
  <c r="Z49" i="9" s="1"/>
  <c r="AE48" i="9"/>
  <c r="AD48" i="9"/>
  <c r="Y48" i="9"/>
  <c r="X48" i="9"/>
  <c r="W48" i="9"/>
  <c r="Z48" i="9" s="1"/>
  <c r="AE47" i="9"/>
  <c r="AD47" i="9"/>
  <c r="Y47" i="9"/>
  <c r="X47" i="9"/>
  <c r="W47" i="9"/>
  <c r="Z47" i="9" s="1"/>
  <c r="AE46" i="9"/>
  <c r="AD46" i="9"/>
  <c r="Y46" i="9"/>
  <c r="X46" i="9"/>
  <c r="W46" i="9"/>
  <c r="Z46" i="9" s="1"/>
  <c r="AE45" i="9"/>
  <c r="AD45" i="9"/>
  <c r="Y45" i="9"/>
  <c r="X45" i="9"/>
  <c r="W45" i="9"/>
  <c r="Z45" i="9" s="1"/>
  <c r="AE44" i="9"/>
  <c r="AD44" i="9"/>
  <c r="Y44" i="9"/>
  <c r="X44" i="9"/>
  <c r="W44" i="9"/>
  <c r="Z44" i="9" s="1"/>
  <c r="AE43" i="9"/>
  <c r="AD43" i="9"/>
  <c r="Y43" i="9"/>
  <c r="X43" i="9"/>
  <c r="W43" i="9"/>
  <c r="Z43" i="9" s="1"/>
  <c r="AE42" i="9"/>
  <c r="AD42" i="9"/>
  <c r="Y42" i="9"/>
  <c r="X42" i="9"/>
  <c r="W42" i="9"/>
  <c r="Z42" i="9" s="1"/>
  <c r="AE41" i="9"/>
  <c r="AD41" i="9"/>
  <c r="Y41" i="9"/>
  <c r="X41" i="9"/>
  <c r="W41" i="9"/>
  <c r="Z41" i="9" s="1"/>
  <c r="AE40" i="9"/>
  <c r="AD40" i="9"/>
  <c r="Y40" i="9"/>
  <c r="X40" i="9"/>
  <c r="W40" i="9"/>
  <c r="Z40" i="9" s="1"/>
  <c r="AE39" i="9"/>
  <c r="AD39" i="9"/>
  <c r="Y39" i="9"/>
  <c r="X39" i="9"/>
  <c r="W39" i="9"/>
  <c r="Z39" i="9" s="1"/>
  <c r="AE38" i="9"/>
  <c r="AD38" i="9"/>
  <c r="Y38" i="9"/>
  <c r="X38" i="9"/>
  <c r="W38" i="9"/>
  <c r="Z38" i="9" s="1"/>
  <c r="AE37" i="9"/>
  <c r="AD37" i="9"/>
  <c r="Y37" i="9"/>
  <c r="X37" i="9"/>
  <c r="W37" i="9"/>
  <c r="Z37" i="9" s="1"/>
  <c r="AE36" i="9"/>
  <c r="AD36" i="9"/>
  <c r="Y36" i="9"/>
  <c r="X36" i="9"/>
  <c r="W36" i="9"/>
  <c r="Z36" i="9" s="1"/>
  <c r="AE35" i="9"/>
  <c r="AD35" i="9"/>
  <c r="Y35" i="9"/>
  <c r="X35" i="9"/>
  <c r="W35" i="9"/>
  <c r="Z35" i="9" s="1"/>
  <c r="AE34" i="9"/>
  <c r="AD34" i="9"/>
  <c r="Y34" i="9"/>
  <c r="X34" i="9"/>
  <c r="W34" i="9"/>
  <c r="Z34" i="9" s="1"/>
  <c r="AE33" i="9"/>
  <c r="AD33" i="9"/>
  <c r="Y33" i="9"/>
  <c r="X33" i="9"/>
  <c r="W33" i="9"/>
  <c r="Z33" i="9" s="1"/>
  <c r="AE32" i="9"/>
  <c r="AD32" i="9"/>
  <c r="Y32" i="9"/>
  <c r="X32" i="9"/>
  <c r="W32" i="9"/>
  <c r="Z32" i="9" s="1"/>
  <c r="AE31" i="9"/>
  <c r="AD31" i="9"/>
  <c r="Y31" i="9"/>
  <c r="X31" i="9"/>
  <c r="W31" i="9"/>
  <c r="Z31" i="9" s="1"/>
  <c r="AE30" i="9"/>
  <c r="AD30" i="9"/>
  <c r="Y30" i="9"/>
  <c r="X30" i="9"/>
  <c r="W30" i="9"/>
  <c r="Z30" i="9" s="1"/>
  <c r="AE29" i="9"/>
  <c r="AD29" i="9"/>
  <c r="Y29" i="9"/>
  <c r="X29" i="9"/>
  <c r="W29" i="9"/>
  <c r="Z29" i="9" s="1"/>
  <c r="AE28" i="9"/>
  <c r="AD28" i="9"/>
  <c r="Y28" i="9"/>
  <c r="X28" i="9"/>
  <c r="W28" i="9"/>
  <c r="Z28" i="9" s="1"/>
  <c r="AE27" i="9"/>
  <c r="AD27" i="9"/>
  <c r="Y27" i="9"/>
  <c r="X27" i="9"/>
  <c r="W27" i="9"/>
  <c r="Z27" i="9" s="1"/>
  <c r="AE26" i="9"/>
  <c r="AD26" i="9"/>
  <c r="Y26" i="9"/>
  <c r="X26" i="9"/>
  <c r="W26" i="9"/>
  <c r="Z26" i="9" s="1"/>
  <c r="AE25" i="9"/>
  <c r="AD25" i="9"/>
  <c r="Y25" i="9"/>
  <c r="X25" i="9"/>
  <c r="W25" i="9"/>
  <c r="Z25" i="9" s="1"/>
  <c r="AE24" i="9"/>
  <c r="AD24" i="9"/>
  <c r="Y24" i="9"/>
  <c r="X24" i="9"/>
  <c r="W24" i="9"/>
  <c r="Z24" i="9" s="1"/>
  <c r="AE23" i="9"/>
  <c r="AD23" i="9"/>
  <c r="Y23" i="9"/>
  <c r="X23" i="9"/>
  <c r="W23" i="9"/>
  <c r="Z23" i="9" s="1"/>
  <c r="AE22" i="9"/>
  <c r="AD22" i="9"/>
  <c r="Y22" i="9"/>
  <c r="X22" i="9"/>
  <c r="W22" i="9"/>
  <c r="Z22" i="9" s="1"/>
  <c r="AE21" i="9"/>
  <c r="AD21" i="9"/>
  <c r="Y21" i="9"/>
  <c r="X21" i="9"/>
  <c r="W21" i="9"/>
  <c r="Z21" i="9" s="1"/>
  <c r="AE20" i="9"/>
  <c r="AD20" i="9"/>
  <c r="Y20" i="9"/>
  <c r="X20" i="9"/>
  <c r="W20" i="9"/>
  <c r="Z20" i="9" s="1"/>
  <c r="AE19" i="9"/>
  <c r="AD19" i="9"/>
  <c r="Y19" i="9"/>
  <c r="X19" i="9"/>
  <c r="W19" i="9"/>
  <c r="Z19" i="9" s="1"/>
  <c r="AE18" i="9"/>
  <c r="AD18" i="9"/>
  <c r="Y18" i="9"/>
  <c r="X18" i="9"/>
  <c r="W18" i="9"/>
  <c r="Z18" i="9" s="1"/>
  <c r="AE17" i="9"/>
  <c r="AD17" i="9"/>
  <c r="Y17" i="9"/>
  <c r="X17" i="9"/>
  <c r="W17" i="9"/>
  <c r="Z17" i="9" s="1"/>
  <c r="AE16" i="9"/>
  <c r="AD16" i="9"/>
  <c r="Y16" i="9"/>
  <c r="X16" i="9"/>
  <c r="W16" i="9"/>
  <c r="Z16" i="9" s="1"/>
  <c r="AE15" i="9"/>
  <c r="AD15" i="9"/>
  <c r="Y15" i="9"/>
  <c r="X15" i="9"/>
  <c r="W15" i="9"/>
  <c r="Z15" i="9" s="1"/>
  <c r="AE14" i="9"/>
  <c r="AD14" i="9"/>
  <c r="Y14" i="9"/>
  <c r="X14" i="9"/>
  <c r="W14" i="9"/>
  <c r="Z14" i="9" s="1"/>
  <c r="AE13" i="9"/>
  <c r="AD13" i="9"/>
  <c r="Y13" i="9"/>
  <c r="X13" i="9"/>
  <c r="W13" i="9"/>
  <c r="Z13" i="9" s="1"/>
  <c r="AE12" i="9"/>
  <c r="AD12" i="9"/>
  <c r="Y12" i="9"/>
  <c r="X12" i="9"/>
  <c r="W12" i="9"/>
  <c r="Z12" i="9" s="1"/>
  <c r="AP11" i="9"/>
  <c r="AO11" i="9"/>
  <c r="AN11" i="9"/>
  <c r="AM11" i="9"/>
  <c r="AE11" i="9"/>
  <c r="AD11" i="9"/>
  <c r="Y11" i="9"/>
  <c r="X11" i="9"/>
  <c r="W11" i="9"/>
  <c r="Z11" i="9" s="1"/>
  <c r="BL11" i="9"/>
  <c r="AE10" i="9"/>
  <c r="AD10" i="9"/>
  <c r="Y10" i="9"/>
  <c r="X10" i="9"/>
  <c r="W10" i="9"/>
  <c r="Z10" i="9" s="1"/>
  <c r="BL10" i="9"/>
  <c r="AE9" i="9"/>
  <c r="AD9" i="9"/>
  <c r="Y9" i="9"/>
  <c r="X9" i="9"/>
  <c r="W9" i="9"/>
  <c r="Z9" i="9" s="1"/>
  <c r="BL9" i="9"/>
  <c r="AE8" i="9"/>
  <c r="AD8" i="9"/>
  <c r="Y8" i="9"/>
  <c r="X8" i="9"/>
  <c r="W8" i="9"/>
  <c r="Z8" i="9" s="1"/>
  <c r="BL8" i="9"/>
  <c r="AE7" i="9"/>
  <c r="AD7" i="9"/>
  <c r="Y7" i="9"/>
  <c r="X7" i="9"/>
  <c r="W7" i="9"/>
  <c r="Z7" i="9" s="1"/>
  <c r="BL7" i="9"/>
  <c r="AE6" i="9"/>
  <c r="AD6" i="9"/>
  <c r="Y6" i="9"/>
  <c r="X6" i="9"/>
  <c r="W6" i="9"/>
  <c r="Z6" i="9" s="1"/>
  <c r="BL6" i="9"/>
  <c r="AE5" i="9"/>
  <c r="AD5" i="9"/>
  <c r="Y5" i="9"/>
  <c r="X5" i="9"/>
  <c r="W5" i="9"/>
  <c r="Z5" i="9" s="1"/>
  <c r="BL5" i="9"/>
  <c r="AE4" i="9"/>
  <c r="AD4" i="9"/>
  <c r="Y4" i="9"/>
  <c r="X4" i="9"/>
  <c r="W4" i="9"/>
  <c r="Z4" i="9" s="1"/>
  <c r="BL4" i="9"/>
  <c r="AE3" i="9"/>
  <c r="AD3" i="9"/>
  <c r="Y3" i="9"/>
  <c r="X3" i="9"/>
  <c r="W3" i="9"/>
  <c r="Z3" i="9" s="1"/>
  <c r="BL3" i="9"/>
  <c r="AD2" i="9"/>
  <c r="AF2" i="9" s="1"/>
  <c r="Y2" i="9"/>
  <c r="X2" i="9"/>
  <c r="W2" i="9"/>
  <c r="Z2" i="9" s="1"/>
  <c r="CU100" i="2"/>
  <c r="CM100" i="2"/>
  <c r="CE100" i="2"/>
  <c r="BW100" i="2"/>
  <c r="BO100" i="2"/>
  <c r="BG100" i="2"/>
  <c r="AY100" i="2"/>
  <c r="AQ100" i="2"/>
  <c r="AI100" i="2"/>
  <c r="AA100" i="2"/>
  <c r="CU99" i="2"/>
  <c r="CM99" i="2"/>
  <c r="CE99" i="2"/>
  <c r="BW99" i="2"/>
  <c r="BO99" i="2"/>
  <c r="BG99" i="2"/>
  <c r="AY99" i="2"/>
  <c r="AQ99" i="2"/>
  <c r="AI99" i="2"/>
  <c r="AA99" i="2"/>
  <c r="CU98" i="2"/>
  <c r="CM98" i="2"/>
  <c r="CE98" i="2"/>
  <c r="BW98" i="2"/>
  <c r="BO98" i="2"/>
  <c r="BG98" i="2"/>
  <c r="AY98" i="2"/>
  <c r="AQ98" i="2"/>
  <c r="AI98" i="2"/>
  <c r="AA98" i="2"/>
  <c r="CU97" i="2"/>
  <c r="CM97" i="2"/>
  <c r="CE97" i="2"/>
  <c r="BW97" i="2"/>
  <c r="BO97" i="2"/>
  <c r="BG97" i="2"/>
  <c r="AY97" i="2"/>
  <c r="AQ97" i="2"/>
  <c r="AI97" i="2"/>
  <c r="AA97" i="2"/>
  <c r="CU96" i="2"/>
  <c r="CM96" i="2"/>
  <c r="CE96" i="2"/>
  <c r="BW96" i="2"/>
  <c r="BO96" i="2"/>
  <c r="BG96" i="2"/>
  <c r="AY96" i="2"/>
  <c r="AQ96" i="2"/>
  <c r="AI96" i="2"/>
  <c r="AA96" i="2"/>
  <c r="CU95" i="2"/>
  <c r="CM95" i="2"/>
  <c r="CE95" i="2"/>
  <c r="BW95" i="2"/>
  <c r="BO95" i="2"/>
  <c r="BG95" i="2"/>
  <c r="AY95" i="2"/>
  <c r="AQ95" i="2"/>
  <c r="AI95" i="2"/>
  <c r="AA95" i="2"/>
  <c r="CU94" i="2"/>
  <c r="CM94" i="2"/>
  <c r="CE94" i="2"/>
  <c r="BW94" i="2"/>
  <c r="BO94" i="2"/>
  <c r="BG94" i="2"/>
  <c r="AY94" i="2"/>
  <c r="AQ94" i="2"/>
  <c r="AI94" i="2"/>
  <c r="AA94" i="2"/>
  <c r="CU93" i="2"/>
  <c r="CM93" i="2"/>
  <c r="CE93" i="2"/>
  <c r="BW93" i="2"/>
  <c r="BO93" i="2"/>
  <c r="BG93" i="2"/>
  <c r="AY93" i="2"/>
  <c r="AQ93" i="2"/>
  <c r="AI93" i="2"/>
  <c r="AA93" i="2"/>
  <c r="CU92" i="2"/>
  <c r="CM92" i="2"/>
  <c r="CE92" i="2"/>
  <c r="BW92" i="2"/>
  <c r="BO92" i="2"/>
  <c r="BG92" i="2"/>
  <c r="AY92" i="2"/>
  <c r="AQ92" i="2"/>
  <c r="AI92" i="2"/>
  <c r="AA92" i="2"/>
  <c r="CU91" i="2"/>
  <c r="CM91" i="2"/>
  <c r="CE91" i="2"/>
  <c r="BW91" i="2"/>
  <c r="BO91" i="2"/>
  <c r="BG91" i="2"/>
  <c r="AY91" i="2"/>
  <c r="AQ91" i="2"/>
  <c r="AI91" i="2"/>
  <c r="AA91" i="2"/>
  <c r="CU90" i="2"/>
  <c r="CM90" i="2"/>
  <c r="CE90" i="2"/>
  <c r="BW90" i="2"/>
  <c r="BO90" i="2"/>
  <c r="BG90" i="2"/>
  <c r="AY90" i="2"/>
  <c r="AQ90" i="2"/>
  <c r="AI90" i="2"/>
  <c r="AA90" i="2"/>
  <c r="CU89" i="2"/>
  <c r="CM89" i="2"/>
  <c r="CE89" i="2"/>
  <c r="BW89" i="2"/>
  <c r="BO89" i="2"/>
  <c r="BG89" i="2"/>
  <c r="AY89" i="2"/>
  <c r="AQ89" i="2"/>
  <c r="AI89" i="2"/>
  <c r="AA89" i="2"/>
  <c r="CU88" i="2"/>
  <c r="CM88" i="2"/>
  <c r="CE88" i="2"/>
  <c r="BW88" i="2"/>
  <c r="BO88" i="2"/>
  <c r="BG88" i="2"/>
  <c r="AY88" i="2"/>
  <c r="AQ88" i="2"/>
  <c r="AI88" i="2"/>
  <c r="AA88" i="2"/>
  <c r="CU87" i="2"/>
  <c r="CM87" i="2"/>
  <c r="CE87" i="2"/>
  <c r="BW87" i="2"/>
  <c r="BO87" i="2"/>
  <c r="BG87" i="2"/>
  <c r="AY87" i="2"/>
  <c r="AQ87" i="2"/>
  <c r="AI87" i="2"/>
  <c r="AA87" i="2"/>
  <c r="CU86" i="2"/>
  <c r="CM86" i="2"/>
  <c r="CE86" i="2"/>
  <c r="BW86" i="2"/>
  <c r="BO86" i="2"/>
  <c r="BG86" i="2"/>
  <c r="AY86" i="2"/>
  <c r="AQ86" i="2"/>
  <c r="AI86" i="2"/>
  <c r="AA86" i="2"/>
  <c r="CU85" i="2"/>
  <c r="CM85" i="2"/>
  <c r="CE85" i="2"/>
  <c r="BW85" i="2"/>
  <c r="BO85" i="2"/>
  <c r="BG85" i="2"/>
  <c r="AY85" i="2"/>
  <c r="AQ85" i="2"/>
  <c r="AI85" i="2"/>
  <c r="AA85" i="2"/>
  <c r="CU84" i="2"/>
  <c r="CM84" i="2"/>
  <c r="CE84" i="2"/>
  <c r="BW84" i="2"/>
  <c r="BO84" i="2"/>
  <c r="BG84" i="2"/>
  <c r="AY84" i="2"/>
  <c r="AQ84" i="2"/>
  <c r="AI84" i="2"/>
  <c r="AA84" i="2"/>
  <c r="CU83" i="2"/>
  <c r="CM83" i="2"/>
  <c r="CE83" i="2"/>
  <c r="BW83" i="2"/>
  <c r="BO83" i="2"/>
  <c r="BG83" i="2"/>
  <c r="AY83" i="2"/>
  <c r="AQ83" i="2"/>
  <c r="AI83" i="2"/>
  <c r="AA83" i="2"/>
  <c r="CU82" i="2"/>
  <c r="CM82" i="2"/>
  <c r="CE82" i="2"/>
  <c r="BW82" i="2"/>
  <c r="BO82" i="2"/>
  <c r="BG82" i="2"/>
  <c r="AY82" i="2"/>
  <c r="AQ82" i="2"/>
  <c r="AI82" i="2"/>
  <c r="AA82" i="2"/>
  <c r="CU81" i="2"/>
  <c r="CM81" i="2"/>
  <c r="CE81" i="2"/>
  <c r="BW81" i="2"/>
  <c r="BO81" i="2"/>
  <c r="BG81" i="2"/>
  <c r="AY81" i="2"/>
  <c r="AQ81" i="2"/>
  <c r="AI81" i="2"/>
  <c r="AA81" i="2"/>
  <c r="CU80" i="2"/>
  <c r="CM80" i="2"/>
  <c r="CE80" i="2"/>
  <c r="BW80" i="2"/>
  <c r="BO80" i="2"/>
  <c r="BG80" i="2"/>
  <c r="AY80" i="2"/>
  <c r="AQ80" i="2"/>
  <c r="AI80" i="2"/>
  <c r="AA80" i="2"/>
  <c r="CU79" i="2"/>
  <c r="CM79" i="2"/>
  <c r="CE79" i="2"/>
  <c r="BW79" i="2"/>
  <c r="BO79" i="2"/>
  <c r="BG79" i="2"/>
  <c r="AY79" i="2"/>
  <c r="AQ79" i="2"/>
  <c r="AI79" i="2"/>
  <c r="AA79" i="2"/>
  <c r="CU78" i="2"/>
  <c r="CM78" i="2"/>
  <c r="CE78" i="2"/>
  <c r="BW78" i="2"/>
  <c r="BO78" i="2"/>
  <c r="BG78" i="2"/>
  <c r="AY78" i="2"/>
  <c r="AQ78" i="2"/>
  <c r="AI78" i="2"/>
  <c r="AA78" i="2"/>
  <c r="CU77" i="2"/>
  <c r="CM77" i="2"/>
  <c r="CE77" i="2"/>
  <c r="BW77" i="2"/>
  <c r="BO77" i="2"/>
  <c r="BG77" i="2"/>
  <c r="AY77" i="2"/>
  <c r="AQ77" i="2"/>
  <c r="AI77" i="2"/>
  <c r="AA77" i="2"/>
  <c r="CU76" i="2"/>
  <c r="CM76" i="2"/>
  <c r="CE76" i="2"/>
  <c r="BW76" i="2"/>
  <c r="BO76" i="2"/>
  <c r="BG76" i="2"/>
  <c r="AY76" i="2"/>
  <c r="AQ76" i="2"/>
  <c r="AI76" i="2"/>
  <c r="AA76" i="2"/>
  <c r="CU75" i="2"/>
  <c r="CM75" i="2"/>
  <c r="CE75" i="2"/>
  <c r="BW75" i="2"/>
  <c r="BO75" i="2"/>
  <c r="BG75" i="2"/>
  <c r="AY75" i="2"/>
  <c r="AQ75" i="2"/>
  <c r="AI75" i="2"/>
  <c r="AA75" i="2"/>
  <c r="CU74" i="2"/>
  <c r="CM74" i="2"/>
  <c r="CE74" i="2"/>
  <c r="BW74" i="2"/>
  <c r="BO74" i="2"/>
  <c r="BG74" i="2"/>
  <c r="AY74" i="2"/>
  <c r="AQ74" i="2"/>
  <c r="AI74" i="2"/>
  <c r="AA74" i="2"/>
  <c r="CU73" i="2"/>
  <c r="CM73" i="2"/>
  <c r="CE73" i="2"/>
  <c r="BW73" i="2"/>
  <c r="BO73" i="2"/>
  <c r="BG73" i="2"/>
  <c r="AY73" i="2"/>
  <c r="AQ73" i="2"/>
  <c r="AI73" i="2"/>
  <c r="AA73" i="2"/>
  <c r="CU72" i="2"/>
  <c r="CM72" i="2"/>
  <c r="CE72" i="2"/>
  <c r="BW72" i="2"/>
  <c r="BO72" i="2"/>
  <c r="BG72" i="2"/>
  <c r="AY72" i="2"/>
  <c r="AQ72" i="2"/>
  <c r="AI72" i="2"/>
  <c r="AA72" i="2"/>
  <c r="CU71" i="2"/>
  <c r="CM71" i="2"/>
  <c r="CE71" i="2"/>
  <c r="BW71" i="2"/>
  <c r="BO71" i="2"/>
  <c r="BG71" i="2"/>
  <c r="AY71" i="2"/>
  <c r="AQ71" i="2"/>
  <c r="AI71" i="2"/>
  <c r="AA71" i="2"/>
  <c r="CU70" i="2"/>
  <c r="CM70" i="2"/>
  <c r="CE70" i="2"/>
  <c r="BW70" i="2"/>
  <c r="BO70" i="2"/>
  <c r="BG70" i="2"/>
  <c r="AY70" i="2"/>
  <c r="AQ70" i="2"/>
  <c r="AI70" i="2"/>
  <c r="AA70" i="2"/>
  <c r="CU69" i="2"/>
  <c r="CM69" i="2"/>
  <c r="CE69" i="2"/>
  <c r="BW69" i="2"/>
  <c r="BO69" i="2"/>
  <c r="BG69" i="2"/>
  <c r="AY69" i="2"/>
  <c r="AQ69" i="2"/>
  <c r="AI69" i="2"/>
  <c r="AA69" i="2"/>
  <c r="CU68" i="2"/>
  <c r="CM68" i="2"/>
  <c r="CE68" i="2"/>
  <c r="BW68" i="2"/>
  <c r="BO68" i="2"/>
  <c r="BG68" i="2"/>
  <c r="AY68" i="2"/>
  <c r="AQ68" i="2"/>
  <c r="AI68" i="2"/>
  <c r="AA68" i="2"/>
  <c r="CU67" i="2"/>
  <c r="CM67" i="2"/>
  <c r="CE67" i="2"/>
  <c r="BW67" i="2"/>
  <c r="BO67" i="2"/>
  <c r="BG67" i="2"/>
  <c r="AY67" i="2"/>
  <c r="AQ67" i="2"/>
  <c r="AI67" i="2"/>
  <c r="AA67" i="2"/>
  <c r="CU66" i="2"/>
  <c r="CM66" i="2"/>
  <c r="CE66" i="2"/>
  <c r="BW66" i="2"/>
  <c r="BO66" i="2"/>
  <c r="BG66" i="2"/>
  <c r="AY66" i="2"/>
  <c r="AQ66" i="2"/>
  <c r="AI66" i="2"/>
  <c r="AA66" i="2"/>
  <c r="CU65" i="2"/>
  <c r="CM65" i="2"/>
  <c r="CE65" i="2"/>
  <c r="BW65" i="2"/>
  <c r="BO65" i="2"/>
  <c r="BG65" i="2"/>
  <c r="AY65" i="2"/>
  <c r="AQ65" i="2"/>
  <c r="AI65" i="2"/>
  <c r="AA65" i="2"/>
  <c r="CU64" i="2"/>
  <c r="CM64" i="2"/>
  <c r="CE64" i="2"/>
  <c r="BW64" i="2"/>
  <c r="BO64" i="2"/>
  <c r="BG64" i="2"/>
  <c r="AY64" i="2"/>
  <c r="AQ64" i="2"/>
  <c r="AI64" i="2"/>
  <c r="AA64" i="2"/>
  <c r="CU63" i="2"/>
  <c r="CM63" i="2"/>
  <c r="CE63" i="2"/>
  <c r="BW63" i="2"/>
  <c r="BO63" i="2"/>
  <c r="BG63" i="2"/>
  <c r="AY63" i="2"/>
  <c r="AQ63" i="2"/>
  <c r="AI63" i="2"/>
  <c r="AA63" i="2"/>
  <c r="CU62" i="2"/>
  <c r="CM62" i="2"/>
  <c r="CE62" i="2"/>
  <c r="BW62" i="2"/>
  <c r="BO62" i="2"/>
  <c r="BG62" i="2"/>
  <c r="AY62" i="2"/>
  <c r="AQ62" i="2"/>
  <c r="AI62" i="2"/>
  <c r="AA62" i="2"/>
  <c r="CU61" i="2"/>
  <c r="CM61" i="2"/>
  <c r="CE61" i="2"/>
  <c r="BW61" i="2"/>
  <c r="BO61" i="2"/>
  <c r="BG61" i="2"/>
  <c r="AY61" i="2"/>
  <c r="AQ61" i="2"/>
  <c r="AI61" i="2"/>
  <c r="AA61" i="2"/>
  <c r="CU60" i="2"/>
  <c r="CM60" i="2"/>
  <c r="CE60" i="2"/>
  <c r="BW60" i="2"/>
  <c r="BO60" i="2"/>
  <c r="BG60" i="2"/>
  <c r="AY60" i="2"/>
  <c r="AQ60" i="2"/>
  <c r="AI60" i="2"/>
  <c r="AA60" i="2"/>
  <c r="CU59" i="2"/>
  <c r="CM59" i="2"/>
  <c r="CE59" i="2"/>
  <c r="BW59" i="2"/>
  <c r="BO59" i="2"/>
  <c r="BG59" i="2"/>
  <c r="AY59" i="2"/>
  <c r="AQ59" i="2"/>
  <c r="AI59" i="2"/>
  <c r="AA59" i="2"/>
  <c r="CU58" i="2"/>
  <c r="CM58" i="2"/>
  <c r="CE58" i="2"/>
  <c r="BW58" i="2"/>
  <c r="BO58" i="2"/>
  <c r="BG58" i="2"/>
  <c r="AY58" i="2"/>
  <c r="AQ58" i="2"/>
  <c r="AI58" i="2"/>
  <c r="AA58" i="2"/>
  <c r="CU57" i="2"/>
  <c r="CM57" i="2"/>
  <c r="CE57" i="2"/>
  <c r="BW57" i="2"/>
  <c r="BO57" i="2"/>
  <c r="BG57" i="2"/>
  <c r="AY57" i="2"/>
  <c r="AQ57" i="2"/>
  <c r="AI57" i="2"/>
  <c r="AA57" i="2"/>
  <c r="CU56" i="2"/>
  <c r="CM56" i="2"/>
  <c r="CE56" i="2"/>
  <c r="BW56" i="2"/>
  <c r="BO56" i="2"/>
  <c r="BG56" i="2"/>
  <c r="AY56" i="2"/>
  <c r="AQ56" i="2"/>
  <c r="AI56" i="2"/>
  <c r="AA56" i="2"/>
  <c r="CU55" i="2"/>
  <c r="CM55" i="2"/>
  <c r="CE55" i="2"/>
  <c r="BW55" i="2"/>
  <c r="BO55" i="2"/>
  <c r="BG55" i="2"/>
  <c r="AY55" i="2"/>
  <c r="AQ55" i="2"/>
  <c r="AI55" i="2"/>
  <c r="AA55" i="2"/>
  <c r="CU54" i="2"/>
  <c r="CM54" i="2"/>
  <c r="CE54" i="2"/>
  <c r="BW54" i="2"/>
  <c r="BO54" i="2"/>
  <c r="BG54" i="2"/>
  <c r="AY54" i="2"/>
  <c r="AQ54" i="2"/>
  <c r="AI54" i="2"/>
  <c r="AA54" i="2"/>
  <c r="CU53" i="2"/>
  <c r="CM53" i="2"/>
  <c r="CE53" i="2"/>
  <c r="BW53" i="2"/>
  <c r="BO53" i="2"/>
  <c r="BG53" i="2"/>
  <c r="AY53" i="2"/>
  <c r="AQ53" i="2"/>
  <c r="AI53" i="2"/>
  <c r="AA53" i="2"/>
  <c r="CU52" i="2"/>
  <c r="CM52" i="2"/>
  <c r="CE52" i="2"/>
  <c r="BW52" i="2"/>
  <c r="BO52" i="2"/>
  <c r="BG52" i="2"/>
  <c r="AY52" i="2"/>
  <c r="AQ52" i="2"/>
  <c r="AI52" i="2"/>
  <c r="AA52" i="2"/>
  <c r="CU51" i="2"/>
  <c r="CM51" i="2"/>
  <c r="CE51" i="2"/>
  <c r="BW51" i="2"/>
  <c r="BO51" i="2"/>
  <c r="BG51" i="2"/>
  <c r="AY51" i="2"/>
  <c r="AQ51" i="2"/>
  <c r="AI51" i="2"/>
  <c r="AA51" i="2"/>
  <c r="CU50" i="2"/>
  <c r="CM50" i="2"/>
  <c r="CE50" i="2"/>
  <c r="BW50" i="2"/>
  <c r="BO50" i="2"/>
  <c r="BG50" i="2"/>
  <c r="AY50" i="2"/>
  <c r="AQ50" i="2"/>
  <c r="AI50" i="2"/>
  <c r="AA50" i="2"/>
  <c r="CU49" i="2"/>
  <c r="CM49" i="2"/>
  <c r="CE49" i="2"/>
  <c r="BW49" i="2"/>
  <c r="BO49" i="2"/>
  <c r="BG49" i="2"/>
  <c r="AY49" i="2"/>
  <c r="AQ49" i="2"/>
  <c r="AI49" i="2"/>
  <c r="AA49" i="2"/>
  <c r="CU48" i="2"/>
  <c r="CM48" i="2"/>
  <c r="CE48" i="2"/>
  <c r="BW48" i="2"/>
  <c r="BO48" i="2"/>
  <c r="BG48" i="2"/>
  <c r="AY48" i="2"/>
  <c r="AQ48" i="2"/>
  <c r="AI48" i="2"/>
  <c r="AA48" i="2"/>
  <c r="CU47" i="2"/>
  <c r="CM47" i="2"/>
  <c r="CE47" i="2"/>
  <c r="BW47" i="2"/>
  <c r="BO47" i="2"/>
  <c r="BG47" i="2"/>
  <c r="AY47" i="2"/>
  <c r="AQ47" i="2"/>
  <c r="AI47" i="2"/>
  <c r="AA47" i="2"/>
  <c r="CU46" i="2"/>
  <c r="CM46" i="2"/>
  <c r="CE46" i="2"/>
  <c r="BW46" i="2"/>
  <c r="BO46" i="2"/>
  <c r="BG46" i="2"/>
  <c r="AY46" i="2"/>
  <c r="AQ46" i="2"/>
  <c r="AI46" i="2"/>
  <c r="AA46" i="2"/>
  <c r="CU45" i="2"/>
  <c r="CM45" i="2"/>
  <c r="CE45" i="2"/>
  <c r="BW45" i="2"/>
  <c r="BO45" i="2"/>
  <c r="BG45" i="2"/>
  <c r="AY45" i="2"/>
  <c r="AQ45" i="2"/>
  <c r="AI45" i="2"/>
  <c r="AA45" i="2"/>
  <c r="CU44" i="2"/>
  <c r="CM44" i="2"/>
  <c r="CE44" i="2"/>
  <c r="BW44" i="2"/>
  <c r="BO44" i="2"/>
  <c r="BG44" i="2"/>
  <c r="AY44" i="2"/>
  <c r="AQ44" i="2"/>
  <c r="AI44" i="2"/>
  <c r="AA44" i="2"/>
  <c r="CU43" i="2"/>
  <c r="CM43" i="2"/>
  <c r="CE43" i="2"/>
  <c r="BW43" i="2"/>
  <c r="BO43" i="2"/>
  <c r="BG43" i="2"/>
  <c r="AY43" i="2"/>
  <c r="AQ43" i="2"/>
  <c r="AI43" i="2"/>
  <c r="AA43" i="2"/>
  <c r="CU42" i="2"/>
  <c r="CM42" i="2"/>
  <c r="CE42" i="2"/>
  <c r="BW42" i="2"/>
  <c r="BO42" i="2"/>
  <c r="BG42" i="2"/>
  <c r="AY42" i="2"/>
  <c r="AQ42" i="2"/>
  <c r="AI42" i="2"/>
  <c r="AA42" i="2"/>
  <c r="CU41" i="2"/>
  <c r="CM41" i="2"/>
  <c r="CE41" i="2"/>
  <c r="BW41" i="2"/>
  <c r="BO41" i="2"/>
  <c r="BG41" i="2"/>
  <c r="AY41" i="2"/>
  <c r="AQ41" i="2"/>
  <c r="AI41" i="2"/>
  <c r="AA41" i="2"/>
  <c r="CU40" i="2"/>
  <c r="CM40" i="2"/>
  <c r="CE40" i="2"/>
  <c r="BW40" i="2"/>
  <c r="BO40" i="2"/>
  <c r="BG40" i="2"/>
  <c r="AY40" i="2"/>
  <c r="AQ40" i="2"/>
  <c r="AI40" i="2"/>
  <c r="AA40" i="2"/>
  <c r="CU39" i="2"/>
  <c r="CM39" i="2"/>
  <c r="CE39" i="2"/>
  <c r="BW39" i="2"/>
  <c r="BO39" i="2"/>
  <c r="BG39" i="2"/>
  <c r="AY39" i="2"/>
  <c r="AQ39" i="2"/>
  <c r="AI39" i="2"/>
  <c r="AA39" i="2"/>
  <c r="CU38" i="2"/>
  <c r="CM38" i="2"/>
  <c r="CE38" i="2"/>
  <c r="BW38" i="2"/>
  <c r="BO38" i="2"/>
  <c r="BG38" i="2"/>
  <c r="AY38" i="2"/>
  <c r="AQ38" i="2"/>
  <c r="AI38" i="2"/>
  <c r="AA38" i="2"/>
  <c r="CU37" i="2"/>
  <c r="CM37" i="2"/>
  <c r="CE37" i="2"/>
  <c r="BW37" i="2"/>
  <c r="BO37" i="2"/>
  <c r="BG37" i="2"/>
  <c r="AY37" i="2"/>
  <c r="AQ37" i="2"/>
  <c r="AI37" i="2"/>
  <c r="AA37" i="2"/>
  <c r="CU36" i="2"/>
  <c r="CM36" i="2"/>
  <c r="CE36" i="2"/>
  <c r="BW36" i="2"/>
  <c r="BO36" i="2"/>
  <c r="BG36" i="2"/>
  <c r="AY36" i="2"/>
  <c r="AQ36" i="2"/>
  <c r="AI36" i="2"/>
  <c r="AA36" i="2"/>
  <c r="CU35" i="2"/>
  <c r="CM35" i="2"/>
  <c r="CE35" i="2"/>
  <c r="BW35" i="2"/>
  <c r="BO35" i="2"/>
  <c r="BG35" i="2"/>
  <c r="AY35" i="2"/>
  <c r="AQ35" i="2"/>
  <c r="AI35" i="2"/>
  <c r="AA35" i="2"/>
  <c r="CU34" i="2"/>
  <c r="CM34" i="2"/>
  <c r="CE34" i="2"/>
  <c r="BW34" i="2"/>
  <c r="BO34" i="2"/>
  <c r="BG34" i="2"/>
  <c r="AY34" i="2"/>
  <c r="AQ34" i="2"/>
  <c r="AI34" i="2"/>
  <c r="AA34" i="2"/>
  <c r="CU33" i="2"/>
  <c r="CM33" i="2"/>
  <c r="CE33" i="2"/>
  <c r="BW33" i="2"/>
  <c r="BO33" i="2"/>
  <c r="BG33" i="2"/>
  <c r="AY33" i="2"/>
  <c r="AQ33" i="2"/>
  <c r="AI33" i="2"/>
  <c r="AA33" i="2"/>
  <c r="CU32" i="2"/>
  <c r="CM32" i="2"/>
  <c r="CE32" i="2"/>
  <c r="BW32" i="2"/>
  <c r="BO32" i="2"/>
  <c r="BG32" i="2"/>
  <c r="AY32" i="2"/>
  <c r="AQ32" i="2"/>
  <c r="AI32" i="2"/>
  <c r="AA32" i="2"/>
  <c r="CU31" i="2"/>
  <c r="CM31" i="2"/>
  <c r="CE31" i="2"/>
  <c r="BW31" i="2"/>
  <c r="BO31" i="2"/>
  <c r="BG31" i="2"/>
  <c r="AY31" i="2"/>
  <c r="AQ31" i="2"/>
  <c r="AI31" i="2"/>
  <c r="AA31" i="2"/>
  <c r="CU30" i="2"/>
  <c r="CM30" i="2"/>
  <c r="CE30" i="2"/>
  <c r="BW30" i="2"/>
  <c r="BO30" i="2"/>
  <c r="BG30" i="2"/>
  <c r="AY30" i="2"/>
  <c r="AQ30" i="2"/>
  <c r="AI30" i="2"/>
  <c r="AA30" i="2"/>
  <c r="CU29" i="2"/>
  <c r="CM29" i="2"/>
  <c r="CE29" i="2"/>
  <c r="BW29" i="2"/>
  <c r="BO29" i="2"/>
  <c r="BG29" i="2"/>
  <c r="AY29" i="2"/>
  <c r="AQ29" i="2"/>
  <c r="AI29" i="2"/>
  <c r="AA29" i="2"/>
  <c r="CU28" i="2"/>
  <c r="CM28" i="2"/>
  <c r="CE28" i="2"/>
  <c r="BW28" i="2"/>
  <c r="BO28" i="2"/>
  <c r="BG28" i="2"/>
  <c r="AY28" i="2"/>
  <c r="AQ28" i="2"/>
  <c r="AI28" i="2"/>
  <c r="AA28" i="2"/>
  <c r="CU27" i="2"/>
  <c r="CM27" i="2"/>
  <c r="CE27" i="2"/>
  <c r="BW27" i="2"/>
  <c r="BO27" i="2"/>
  <c r="BG27" i="2"/>
  <c r="AY27" i="2"/>
  <c r="AQ27" i="2"/>
  <c r="AI27" i="2"/>
  <c r="AA27" i="2"/>
  <c r="CU26" i="2"/>
  <c r="CM26" i="2"/>
  <c r="CE26" i="2"/>
  <c r="BW26" i="2"/>
  <c r="BO26" i="2"/>
  <c r="BG26" i="2"/>
  <c r="AY26" i="2"/>
  <c r="AQ26" i="2"/>
  <c r="AI26" i="2"/>
  <c r="AA26" i="2"/>
  <c r="CU25" i="2"/>
  <c r="CM25" i="2"/>
  <c r="CE25" i="2"/>
  <c r="BW25" i="2"/>
  <c r="BO25" i="2"/>
  <c r="BG25" i="2"/>
  <c r="AY25" i="2"/>
  <c r="AQ25" i="2"/>
  <c r="AI25" i="2"/>
  <c r="AA25" i="2"/>
  <c r="CU24" i="2"/>
  <c r="CM24" i="2"/>
  <c r="CE24" i="2"/>
  <c r="BW24" i="2"/>
  <c r="BO24" i="2"/>
  <c r="BG24" i="2"/>
  <c r="AY24" i="2"/>
  <c r="AQ24" i="2"/>
  <c r="AI24" i="2"/>
  <c r="AA24" i="2"/>
  <c r="CU23" i="2"/>
  <c r="CM23" i="2"/>
  <c r="CE23" i="2"/>
  <c r="BW23" i="2"/>
  <c r="BO23" i="2"/>
  <c r="BG23" i="2"/>
  <c r="AY23" i="2"/>
  <c r="AQ23" i="2"/>
  <c r="AI23" i="2"/>
  <c r="AA23" i="2"/>
  <c r="CU22" i="2"/>
  <c r="CM22" i="2"/>
  <c r="CE22" i="2"/>
  <c r="BW22" i="2"/>
  <c r="BO22" i="2"/>
  <c r="BG22" i="2"/>
  <c r="AY22" i="2"/>
  <c r="AQ22" i="2"/>
  <c r="AI22" i="2"/>
  <c r="AA22" i="2"/>
  <c r="CU21" i="2"/>
  <c r="CM21" i="2"/>
  <c r="CE21" i="2"/>
  <c r="BW21" i="2"/>
  <c r="BO21" i="2"/>
  <c r="BG21" i="2"/>
  <c r="AY21" i="2"/>
  <c r="AQ21" i="2"/>
  <c r="AI21" i="2"/>
  <c r="AA21" i="2"/>
  <c r="CU20" i="2"/>
  <c r="CM20" i="2"/>
  <c r="CE20" i="2"/>
  <c r="BW20" i="2"/>
  <c r="BO20" i="2"/>
  <c r="BG20" i="2"/>
  <c r="AY20" i="2"/>
  <c r="AQ20" i="2"/>
  <c r="AI20" i="2"/>
  <c r="AA20" i="2"/>
  <c r="CU19" i="2"/>
  <c r="CM19" i="2"/>
  <c r="CE19" i="2"/>
  <c r="BW19" i="2"/>
  <c r="BO19" i="2"/>
  <c r="BG19" i="2"/>
  <c r="AY19" i="2"/>
  <c r="AQ19" i="2"/>
  <c r="AI19" i="2"/>
  <c r="AA19" i="2"/>
  <c r="CU18" i="2"/>
  <c r="CM18" i="2"/>
  <c r="CE18" i="2"/>
  <c r="BW18" i="2"/>
  <c r="BO18" i="2"/>
  <c r="BG18" i="2"/>
  <c r="AY18" i="2"/>
  <c r="AQ18" i="2"/>
  <c r="AI18" i="2"/>
  <c r="AA18" i="2"/>
  <c r="CU17" i="2"/>
  <c r="CM17" i="2"/>
  <c r="CE17" i="2"/>
  <c r="BW17" i="2"/>
  <c r="BO17" i="2"/>
  <c r="BG17" i="2"/>
  <c r="AY17" i="2"/>
  <c r="AQ17" i="2"/>
  <c r="AI17" i="2"/>
  <c r="AA17" i="2"/>
  <c r="CU16" i="2"/>
  <c r="CM16" i="2"/>
  <c r="CE16" i="2"/>
  <c r="BW16" i="2"/>
  <c r="BO16" i="2"/>
  <c r="BG16" i="2"/>
  <c r="AY16" i="2"/>
  <c r="AQ16" i="2"/>
  <c r="AI16" i="2"/>
  <c r="AA16" i="2"/>
  <c r="CU15" i="2"/>
  <c r="CM15" i="2"/>
  <c r="CE15" i="2"/>
  <c r="BW15" i="2"/>
  <c r="BO15" i="2"/>
  <c r="BG15" i="2"/>
  <c r="AY15" i="2"/>
  <c r="AQ15" i="2"/>
  <c r="AI15" i="2"/>
  <c r="AA15" i="2"/>
  <c r="CU14" i="2"/>
  <c r="CM14" i="2"/>
  <c r="CE14" i="2"/>
  <c r="BW14" i="2"/>
  <c r="BO14" i="2"/>
  <c r="BG14" i="2"/>
  <c r="AY14" i="2"/>
  <c r="AQ14" i="2"/>
  <c r="AI14" i="2"/>
  <c r="AA14" i="2"/>
  <c r="CU13" i="2"/>
  <c r="CM13" i="2"/>
  <c r="CE13" i="2"/>
  <c r="BW13" i="2"/>
  <c r="BO13" i="2"/>
  <c r="BG13" i="2"/>
  <c r="AY13" i="2"/>
  <c r="AQ13" i="2"/>
  <c r="AI13" i="2"/>
  <c r="AA13" i="2"/>
  <c r="CU12" i="2"/>
  <c r="CM12" i="2"/>
  <c r="CE12" i="2"/>
  <c r="BW12" i="2"/>
  <c r="BO12" i="2"/>
  <c r="BG12" i="2"/>
  <c r="AY12" i="2"/>
  <c r="AQ12" i="2"/>
  <c r="AI12" i="2"/>
  <c r="AA12" i="2"/>
  <c r="CU11" i="2"/>
  <c r="CM11" i="2"/>
  <c r="CE11" i="2"/>
  <c r="BW11" i="2"/>
  <c r="BO11" i="2"/>
  <c r="BG11" i="2"/>
  <c r="AY11" i="2"/>
  <c r="AQ11" i="2"/>
  <c r="AI11" i="2"/>
  <c r="AA11" i="2"/>
  <c r="CU10" i="2"/>
  <c r="CM10" i="2"/>
  <c r="CE10" i="2"/>
  <c r="BW10" i="2"/>
  <c r="BO10" i="2"/>
  <c r="BG10" i="2"/>
  <c r="AY10" i="2"/>
  <c r="AQ10" i="2"/>
  <c r="AI10" i="2"/>
  <c r="AA10" i="2"/>
  <c r="CU9" i="2"/>
  <c r="CM9" i="2"/>
  <c r="CE9" i="2"/>
  <c r="BW9" i="2"/>
  <c r="BO9" i="2"/>
  <c r="BG9" i="2"/>
  <c r="AY9" i="2"/>
  <c r="AQ9" i="2"/>
  <c r="AI9" i="2"/>
  <c r="AA9" i="2"/>
  <c r="CU8" i="2"/>
  <c r="CM8" i="2"/>
  <c r="CE8" i="2"/>
  <c r="BW8" i="2"/>
  <c r="BO8" i="2"/>
  <c r="BG8" i="2"/>
  <c r="AY8" i="2"/>
  <c r="AQ8" i="2"/>
  <c r="AI8" i="2"/>
  <c r="AA8" i="2"/>
  <c r="CU7" i="2"/>
  <c r="CM7" i="2"/>
  <c r="CE7" i="2"/>
  <c r="BW7" i="2"/>
  <c r="BO7" i="2"/>
  <c r="BG7" i="2"/>
  <c r="AY7" i="2"/>
  <c r="AQ7" i="2"/>
  <c r="AI7" i="2"/>
  <c r="AA7" i="2"/>
  <c r="CU6" i="2"/>
  <c r="CM6" i="2"/>
  <c r="CE6" i="2"/>
  <c r="BW6" i="2"/>
  <c r="BO6" i="2"/>
  <c r="BG6" i="2"/>
  <c r="AY6" i="2"/>
  <c r="AQ6" i="2"/>
  <c r="AI6" i="2"/>
  <c r="AA6" i="2"/>
  <c r="CU5" i="2"/>
  <c r="CM5" i="2"/>
  <c r="CE5" i="2"/>
  <c r="BW5" i="2"/>
  <c r="BO5" i="2"/>
  <c r="BG5" i="2"/>
  <c r="AY5" i="2"/>
  <c r="AQ5" i="2"/>
  <c r="AI5" i="2"/>
  <c r="AA5" i="2"/>
  <c r="CU4" i="2"/>
  <c r="CM4" i="2"/>
  <c r="CE4" i="2"/>
  <c r="BW4" i="2"/>
  <c r="BO4" i="2"/>
  <c r="BG4" i="2"/>
  <c r="AY4" i="2"/>
  <c r="AQ4" i="2"/>
  <c r="AI4" i="2"/>
  <c r="AA4" i="2"/>
  <c r="O5" i="15" l="1"/>
  <c r="P5" i="15" s="1"/>
  <c r="F5" i="19"/>
  <c r="O3" i="15"/>
  <c r="E5" i="19"/>
  <c r="E99" i="5"/>
  <c r="AA23" i="9"/>
  <c r="AA35" i="9"/>
  <c r="AF44" i="9"/>
  <c r="AG44" i="9" s="1"/>
  <c r="F46" i="2" s="1"/>
  <c r="AF56" i="9"/>
  <c r="AG56" i="9" s="1"/>
  <c r="F58" i="2" s="1"/>
  <c r="E68" i="5"/>
  <c r="E98" i="5"/>
  <c r="AF62" i="9"/>
  <c r="AG62" i="9" s="1"/>
  <c r="F64" i="2" s="1"/>
  <c r="AA100" i="9"/>
  <c r="AA18" i="9"/>
  <c r="AA30" i="9"/>
  <c r="AA42" i="9"/>
  <c r="AA54" i="9"/>
  <c r="AA66" i="9"/>
  <c r="AA78" i="9"/>
  <c r="AA90" i="9"/>
  <c r="AA16" i="9"/>
  <c r="AA28" i="9"/>
  <c r="AA40" i="9"/>
  <c r="AA52" i="9"/>
  <c r="AA64" i="9"/>
  <c r="AA76" i="9"/>
  <c r="AA88" i="9"/>
  <c r="AA4" i="9"/>
  <c r="AA6" i="9"/>
  <c r="AA8" i="9"/>
  <c r="AA10" i="9"/>
  <c r="AA21" i="9"/>
  <c r="AA33" i="9"/>
  <c r="AA45" i="9"/>
  <c r="AA57" i="9"/>
  <c r="AA69" i="9"/>
  <c r="AA81" i="9"/>
  <c r="AA93" i="9"/>
  <c r="AA47" i="9"/>
  <c r="AA2" i="9"/>
  <c r="AA14" i="9"/>
  <c r="AA26" i="9"/>
  <c r="AA38" i="9"/>
  <c r="AA50" i="9"/>
  <c r="AA62" i="9"/>
  <c r="AA74" i="9"/>
  <c r="AA86" i="9"/>
  <c r="AA98" i="9"/>
  <c r="AA19" i="9"/>
  <c r="AA31" i="9"/>
  <c r="AA43" i="9"/>
  <c r="AA55" i="9"/>
  <c r="AA67" i="9"/>
  <c r="AA79" i="9"/>
  <c r="AA91" i="9"/>
  <c r="AA59" i="9"/>
  <c r="AA12" i="9"/>
  <c r="AA24" i="9"/>
  <c r="AA36" i="9"/>
  <c r="AA48" i="9"/>
  <c r="AA60" i="9"/>
  <c r="AA72" i="9"/>
  <c r="AA84" i="9"/>
  <c r="AA96" i="9"/>
  <c r="AA83" i="9"/>
  <c r="AA17" i="9"/>
  <c r="AA29" i="9"/>
  <c r="AA41" i="9"/>
  <c r="AA53" i="9"/>
  <c r="AA65" i="9"/>
  <c r="AA77" i="9"/>
  <c r="AA89" i="9"/>
  <c r="AA22" i="9"/>
  <c r="AA34" i="9"/>
  <c r="AA46" i="9"/>
  <c r="AA58" i="9"/>
  <c r="AA70" i="9"/>
  <c r="AA82" i="9"/>
  <c r="AA94" i="9"/>
  <c r="AA99" i="9"/>
  <c r="AA3" i="9"/>
  <c r="AA5" i="9"/>
  <c r="AA7" i="9"/>
  <c r="AA9" i="9"/>
  <c r="AA11" i="9"/>
  <c r="AA15" i="9"/>
  <c r="AA27" i="9"/>
  <c r="AA39" i="9"/>
  <c r="AA51" i="9"/>
  <c r="AA63" i="9"/>
  <c r="AA75" i="9"/>
  <c r="AA87" i="9"/>
  <c r="AA95" i="9"/>
  <c r="AA20" i="9"/>
  <c r="AA32" i="9"/>
  <c r="AA44" i="9"/>
  <c r="AA56" i="9"/>
  <c r="AA68" i="9"/>
  <c r="AA80" i="9"/>
  <c r="AA92" i="9"/>
  <c r="AA71" i="9"/>
  <c r="AA13" i="9"/>
  <c r="AF22" i="9"/>
  <c r="AG22" i="9" s="1"/>
  <c r="F24" i="2" s="1"/>
  <c r="AA25" i="9"/>
  <c r="AA37" i="9"/>
  <c r="AA49" i="9"/>
  <c r="AA61" i="9"/>
  <c r="AA73" i="9"/>
  <c r="AA85" i="9"/>
  <c r="AF94" i="9"/>
  <c r="AG94" i="9" s="1"/>
  <c r="F96" i="2" s="1"/>
  <c r="AA97" i="9"/>
  <c r="AF29" i="9"/>
  <c r="AG29" i="9" s="1"/>
  <c r="F31" i="2" s="1"/>
  <c r="AF3" i="9"/>
  <c r="AG3" i="9" s="1"/>
  <c r="F5" i="2" s="1"/>
  <c r="AF71" i="9"/>
  <c r="AG71" i="9" s="1"/>
  <c r="F73" i="2" s="1"/>
  <c r="AF81" i="9"/>
  <c r="AG81" i="9" s="1"/>
  <c r="F83" i="2" s="1"/>
  <c r="AF15" i="9"/>
  <c r="AG15" i="9" s="1"/>
  <c r="F17" i="2" s="1"/>
  <c r="AF65" i="9"/>
  <c r="AG65" i="9" s="1"/>
  <c r="F67" i="2" s="1"/>
  <c r="AF13" i="9"/>
  <c r="AG13" i="9" s="1"/>
  <c r="F15" i="2" s="1"/>
  <c r="AF63" i="9"/>
  <c r="AG63" i="9" s="1"/>
  <c r="F65" i="2" s="1"/>
  <c r="AF83" i="9"/>
  <c r="AG83" i="9" s="1"/>
  <c r="F85" i="2" s="1"/>
  <c r="AF28" i="9"/>
  <c r="AG28" i="9" s="1"/>
  <c r="F30" i="2" s="1"/>
  <c r="AF48" i="9"/>
  <c r="AG48" i="9" s="1"/>
  <c r="F50" i="2" s="1"/>
  <c r="AF58" i="9"/>
  <c r="AG58" i="9" s="1"/>
  <c r="F60" i="2" s="1"/>
  <c r="AF68" i="9"/>
  <c r="AG68" i="9" s="1"/>
  <c r="F70" i="2" s="1"/>
  <c r="AF78" i="9"/>
  <c r="AG78" i="9" s="1"/>
  <c r="F80" i="2" s="1"/>
  <c r="AF88" i="9"/>
  <c r="AG88" i="9" s="1"/>
  <c r="F90" i="2" s="1"/>
  <c r="AF95" i="9"/>
  <c r="AG95" i="9" s="1"/>
  <c r="F97" i="2" s="1"/>
  <c r="AF99" i="9"/>
  <c r="AG99" i="9" s="1"/>
  <c r="F101" i="2" s="1"/>
  <c r="AF59" i="9"/>
  <c r="AG59" i="9" s="1"/>
  <c r="F61" i="2" s="1"/>
  <c r="AF69" i="9"/>
  <c r="AG69" i="9" s="1"/>
  <c r="F71" i="2" s="1"/>
  <c r="AF79" i="9"/>
  <c r="AG79" i="9" s="1"/>
  <c r="F81" i="2" s="1"/>
  <c r="AF89" i="9"/>
  <c r="AG89" i="9" s="1"/>
  <c r="F91" i="2" s="1"/>
  <c r="AF96" i="9"/>
  <c r="AG96" i="9" s="1"/>
  <c r="F98" i="2" s="1"/>
  <c r="AF20" i="9"/>
  <c r="AG20" i="9" s="1"/>
  <c r="F22" i="2" s="1"/>
  <c r="AF30" i="9"/>
  <c r="AG30" i="9" s="1"/>
  <c r="F32" i="2" s="1"/>
  <c r="AF40" i="9"/>
  <c r="AG40" i="9" s="1"/>
  <c r="F42" i="2" s="1"/>
  <c r="AF50" i="9"/>
  <c r="AG50" i="9" s="1"/>
  <c r="F52" i="2" s="1"/>
  <c r="AF80" i="9"/>
  <c r="AG80" i="9" s="1"/>
  <c r="F82" i="2" s="1"/>
  <c r="AF37" i="9"/>
  <c r="AG37" i="9" s="1"/>
  <c r="F39" i="2" s="1"/>
  <c r="AF87" i="9"/>
  <c r="AG87" i="9" s="1"/>
  <c r="F89" i="2" s="1"/>
  <c r="AF42" i="9"/>
  <c r="AG42" i="9" s="1"/>
  <c r="F44" i="2" s="1"/>
  <c r="AF98" i="9"/>
  <c r="AG98" i="9" s="1"/>
  <c r="F100" i="2" s="1"/>
  <c r="AF12" i="9"/>
  <c r="AG12" i="9" s="1"/>
  <c r="F14" i="2" s="1"/>
  <c r="AF100" i="9"/>
  <c r="AG100" i="9" s="1"/>
  <c r="F102" i="2" s="1"/>
  <c r="H17" i="17"/>
  <c r="H15" i="17"/>
  <c r="H16" i="17"/>
  <c r="H14" i="17"/>
  <c r="G15" i="17"/>
  <c r="G16" i="17"/>
  <c r="G17" i="17"/>
  <c r="G14" i="17"/>
  <c r="F15" i="17"/>
  <c r="F16" i="17"/>
  <c r="F17" i="17"/>
  <c r="F14" i="17"/>
  <c r="F4" i="19"/>
  <c r="E7" i="16"/>
  <c r="F6" i="16"/>
  <c r="M9" i="16" s="1"/>
  <c r="F3" i="19"/>
  <c r="C7" i="16"/>
  <c r="D6" i="16"/>
  <c r="M8" i="16" s="1"/>
  <c r="L8" i="16"/>
  <c r="H6" i="16"/>
  <c r="M10" i="16" s="1"/>
  <c r="L10" i="16"/>
  <c r="L9" i="16"/>
  <c r="K8" i="13"/>
  <c r="E14" i="13" s="1"/>
  <c r="C5" i="19" s="1"/>
  <c r="H8" i="13"/>
  <c r="D14" i="13" s="1"/>
  <c r="C4" i="19" s="1"/>
  <c r="E8" i="13"/>
  <c r="C14" i="13" s="1"/>
  <c r="C3" i="19" s="1"/>
  <c r="O4" i="15"/>
  <c r="N5" i="15"/>
  <c r="N4" i="15"/>
  <c r="N3" i="15"/>
  <c r="AF41" i="9"/>
  <c r="AG41" i="9" s="1"/>
  <c r="F43" i="2" s="1"/>
  <c r="AF18" i="9"/>
  <c r="AG18" i="9" s="1"/>
  <c r="F20" i="2" s="1"/>
  <c r="AF47" i="9"/>
  <c r="AG47" i="9" s="1"/>
  <c r="F49" i="2" s="1"/>
  <c r="AF86" i="9"/>
  <c r="AG86" i="9" s="1"/>
  <c r="F88" i="2" s="1"/>
  <c r="AF27" i="9"/>
  <c r="AG27" i="9" s="1"/>
  <c r="F29" i="2" s="1"/>
  <c r="AF97" i="9"/>
  <c r="AG97" i="9" s="1"/>
  <c r="F99" i="2" s="1"/>
  <c r="AF82" i="9"/>
  <c r="AG82" i="9" s="1"/>
  <c r="F84" i="2" s="1"/>
  <c r="AF26" i="9"/>
  <c r="AG26" i="9" s="1"/>
  <c r="F28" i="2" s="1"/>
  <c r="AF73" i="9"/>
  <c r="AG73" i="9" s="1"/>
  <c r="F75" i="2" s="1"/>
  <c r="AF10" i="9"/>
  <c r="AG10" i="9" s="1"/>
  <c r="F12" i="2" s="1"/>
  <c r="AF55" i="9"/>
  <c r="AG55" i="9" s="1"/>
  <c r="F57" i="2" s="1"/>
  <c r="AF76" i="9"/>
  <c r="AG76" i="9" s="1"/>
  <c r="F78" i="2" s="1"/>
  <c r="AF38" i="9"/>
  <c r="AG38" i="9" s="1"/>
  <c r="F40" i="2" s="1"/>
  <c r="AF60" i="9"/>
  <c r="AG60" i="9" s="1"/>
  <c r="F62" i="2" s="1"/>
  <c r="AF7" i="9"/>
  <c r="AG7" i="9" s="1"/>
  <c r="F9" i="2" s="1"/>
  <c r="AF14" i="9"/>
  <c r="AG14" i="9" s="1"/>
  <c r="F16" i="2" s="1"/>
  <c r="AF43" i="9"/>
  <c r="AG43" i="9" s="1"/>
  <c r="F45" i="2" s="1"/>
  <c r="AF91" i="9"/>
  <c r="AG91" i="9" s="1"/>
  <c r="F93" i="2" s="1"/>
  <c r="AF52" i="9"/>
  <c r="AG52" i="9" s="1"/>
  <c r="F54" i="2" s="1"/>
  <c r="AF17" i="9"/>
  <c r="AG17" i="9" s="1"/>
  <c r="F19" i="2" s="1"/>
  <c r="AF24" i="9"/>
  <c r="AG24" i="9" s="1"/>
  <c r="F26" i="2" s="1"/>
  <c r="AF23" i="9"/>
  <c r="AG23" i="9" s="1"/>
  <c r="F25" i="2" s="1"/>
  <c r="AF85" i="9"/>
  <c r="AG85" i="9" s="1"/>
  <c r="F87" i="2" s="1"/>
  <c r="AF84" i="9"/>
  <c r="AG84" i="9" s="1"/>
  <c r="F86" i="2" s="1"/>
  <c r="AF70" i="9"/>
  <c r="AG70" i="9" s="1"/>
  <c r="F72" i="2" s="1"/>
  <c r="AF61" i="9"/>
  <c r="AG61" i="9" s="1"/>
  <c r="F63" i="2" s="1"/>
  <c r="AF35" i="9"/>
  <c r="AG35" i="9" s="1"/>
  <c r="F37" i="2" s="1"/>
  <c r="AF21" i="9"/>
  <c r="AG21" i="9" s="1"/>
  <c r="F23" i="2" s="1"/>
  <c r="AF74" i="9"/>
  <c r="AG74" i="9" s="1"/>
  <c r="F76" i="2" s="1"/>
  <c r="AF49" i="9"/>
  <c r="AG49" i="9" s="1"/>
  <c r="F51" i="2" s="1"/>
  <c r="AF53" i="9"/>
  <c r="AG53" i="9" s="1"/>
  <c r="F55" i="2" s="1"/>
  <c r="AF36" i="9"/>
  <c r="AG36" i="9" s="1"/>
  <c r="F38" i="2" s="1"/>
  <c r="AF6" i="9"/>
  <c r="AG6" i="9" s="1"/>
  <c r="F8" i="2" s="1"/>
  <c r="AF75" i="9"/>
  <c r="AG75" i="9" s="1"/>
  <c r="F77" i="2" s="1"/>
  <c r="AF64" i="9"/>
  <c r="AG64" i="9" s="1"/>
  <c r="F66" i="2" s="1"/>
  <c r="AF19" i="9"/>
  <c r="AG19" i="9" s="1"/>
  <c r="F21" i="2" s="1"/>
  <c r="AF51" i="9"/>
  <c r="AG51" i="9" s="1"/>
  <c r="F53" i="2" s="1"/>
  <c r="AF67" i="9"/>
  <c r="AG67" i="9" s="1"/>
  <c r="F69" i="2" s="1"/>
  <c r="AF32" i="9"/>
  <c r="AG32" i="9" s="1"/>
  <c r="F34" i="2" s="1"/>
  <c r="AF31" i="9"/>
  <c r="AG31" i="9" s="1"/>
  <c r="F33" i="2" s="1"/>
  <c r="AF11" i="9"/>
  <c r="AG11" i="9" s="1"/>
  <c r="F13" i="2" s="1"/>
  <c r="AF45" i="9"/>
  <c r="AG45" i="9" s="1"/>
  <c r="F47" i="2" s="1"/>
  <c r="AF90" i="9"/>
  <c r="AG90" i="9" s="1"/>
  <c r="F92" i="2" s="1"/>
  <c r="AF4" i="9"/>
  <c r="AG4" i="9" s="1"/>
  <c r="F6" i="2" s="1"/>
  <c r="AF77" i="9"/>
  <c r="AG77" i="9" s="1"/>
  <c r="F79" i="2" s="1"/>
  <c r="AF93" i="9"/>
  <c r="AG93" i="9" s="1"/>
  <c r="F95" i="2" s="1"/>
  <c r="AF92" i="9"/>
  <c r="AG92" i="9" s="1"/>
  <c r="F94" i="2" s="1"/>
  <c r="AF8" i="9"/>
  <c r="AG8" i="9" s="1"/>
  <c r="F10" i="2" s="1"/>
  <c r="AF33" i="9"/>
  <c r="AG33" i="9" s="1"/>
  <c r="F35" i="2" s="1"/>
  <c r="AF72" i="9"/>
  <c r="AG72" i="9" s="1"/>
  <c r="F74" i="2" s="1"/>
  <c r="AF66" i="9"/>
  <c r="AG66" i="9" s="1"/>
  <c r="F68" i="2" s="1"/>
  <c r="AG2" i="9"/>
  <c r="F4" i="2" s="1"/>
  <c r="AF9" i="9"/>
  <c r="AG9" i="9" s="1"/>
  <c r="F11" i="2" s="1"/>
  <c r="AF5" i="9"/>
  <c r="AG5" i="9" s="1"/>
  <c r="F7" i="2" s="1"/>
  <c r="AF54" i="9"/>
  <c r="AG54" i="9" s="1"/>
  <c r="F56" i="2" s="1"/>
  <c r="AF16" i="9"/>
  <c r="AG16" i="9" s="1"/>
  <c r="F18" i="2" s="1"/>
  <c r="E5" i="5"/>
  <c r="E4" i="5"/>
  <c r="E3" i="5"/>
  <c r="E2" i="5"/>
  <c r="AF39" i="9"/>
  <c r="AG39" i="9" s="1"/>
  <c r="F41" i="2" s="1"/>
  <c r="AF57" i="9"/>
  <c r="AG57" i="9" s="1"/>
  <c r="F59" i="2" s="1"/>
  <c r="AF25" i="9"/>
  <c r="AG25" i="9" s="1"/>
  <c r="F27" i="2" s="1"/>
  <c r="AF46" i="9"/>
  <c r="AG46" i="9" s="1"/>
  <c r="F48" i="2" s="1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AF34" i="9"/>
  <c r="AG34" i="9" s="1"/>
  <c r="F36" i="2" s="1"/>
  <c r="E34" i="5"/>
  <c r="E100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7" i="5"/>
  <c r="E66" i="5"/>
  <c r="E65" i="5"/>
  <c r="E64" i="5"/>
  <c r="E63" i="5"/>
  <c r="E62" i="5"/>
  <c r="E61" i="5"/>
  <c r="E60" i="5"/>
  <c r="E59" i="5"/>
  <c r="E58" i="5"/>
  <c r="E57" i="5"/>
  <c r="P8" i="2"/>
  <c r="O8" i="2"/>
  <c r="P7" i="2"/>
  <c r="O7" i="2"/>
  <c r="P6" i="2"/>
  <c r="O6" i="2"/>
  <c r="P5" i="2"/>
  <c r="O5" i="2"/>
  <c r="P4" i="2"/>
  <c r="O4" i="2"/>
  <c r="P4" i="15" l="1"/>
  <c r="E4" i="19"/>
  <c r="P3" i="15"/>
  <c r="E3" i="19"/>
  <c r="AB100" i="9"/>
  <c r="AC100" i="9" s="1"/>
  <c r="W8" i="2"/>
  <c r="X8" i="2"/>
  <c r="W7" i="2"/>
  <c r="X7" i="2"/>
  <c r="W6" i="2"/>
  <c r="X6" i="2"/>
  <c r="W5" i="2"/>
  <c r="X5" i="2"/>
  <c r="W4" i="2"/>
  <c r="X4" i="2"/>
  <c r="AB96" i="9"/>
  <c r="AC96" i="9" s="1"/>
  <c r="AB92" i="9"/>
  <c r="AC92" i="9" s="1"/>
  <c r="AB87" i="9"/>
  <c r="AC87" i="9" s="1"/>
  <c r="AB84" i="9"/>
  <c r="AC84" i="9" s="1"/>
  <c r="AB80" i="9"/>
  <c r="AC80" i="9" s="1"/>
  <c r="AB76" i="9"/>
  <c r="AC76" i="9" s="1"/>
  <c r="AB72" i="9"/>
  <c r="AC72" i="9" s="1"/>
  <c r="AB68" i="9"/>
  <c r="AC68" i="9" s="1"/>
  <c r="AB64" i="9"/>
  <c r="AC64" i="9" s="1"/>
  <c r="AB60" i="9"/>
  <c r="AC60" i="9" s="1"/>
  <c r="AB59" i="9"/>
  <c r="AC59" i="9" s="1"/>
  <c r="AB58" i="9"/>
  <c r="AC58" i="9" s="1"/>
  <c r="AB99" i="9"/>
  <c r="AC99" i="9" s="1"/>
  <c r="AB94" i="9"/>
  <c r="AC94" i="9" s="1"/>
  <c r="AB89" i="9"/>
  <c r="AC89" i="9" s="1"/>
  <c r="AB83" i="9"/>
  <c r="AC83" i="9" s="1"/>
  <c r="AB82" i="9"/>
  <c r="AC82" i="9" s="1"/>
  <c r="AB73" i="9"/>
  <c r="AC73" i="9" s="1"/>
  <c r="AB71" i="9"/>
  <c r="AC71" i="9" s="1"/>
  <c r="AB67" i="9"/>
  <c r="AC67" i="9" s="1"/>
  <c r="AB66" i="9"/>
  <c r="AC66" i="9" s="1"/>
  <c r="AB62" i="9"/>
  <c r="AC62" i="9" s="1"/>
  <c r="AB57" i="9"/>
  <c r="AC57" i="9" s="1"/>
  <c r="AB97" i="9"/>
  <c r="AC97" i="9" s="1"/>
  <c r="AB93" i="9"/>
  <c r="AC93" i="9" s="1"/>
  <c r="AB88" i="9"/>
  <c r="AC88" i="9" s="1"/>
  <c r="AB86" i="9"/>
  <c r="AC86" i="9" s="1"/>
  <c r="AB81" i="9"/>
  <c r="AC81" i="9" s="1"/>
  <c r="AB74" i="9"/>
  <c r="AC74" i="9" s="1"/>
  <c r="AB70" i="9"/>
  <c r="AC70" i="9" s="1"/>
  <c r="AB63" i="9"/>
  <c r="AC63" i="9" s="1"/>
  <c r="AB98" i="9"/>
  <c r="AC98" i="9" s="1"/>
  <c r="AB95" i="9"/>
  <c r="AC95" i="9" s="1"/>
  <c r="AB91" i="9"/>
  <c r="AC91" i="9" s="1"/>
  <c r="AB90" i="9"/>
  <c r="AC90" i="9" s="1"/>
  <c r="AB85" i="9"/>
  <c r="AC85" i="9" s="1"/>
  <c r="AB79" i="9"/>
  <c r="AC79" i="9" s="1"/>
  <c r="AB78" i="9"/>
  <c r="AC78" i="9" s="1"/>
  <c r="AB77" i="9"/>
  <c r="AC77" i="9" s="1"/>
  <c r="AB75" i="9"/>
  <c r="AC75" i="9" s="1"/>
  <c r="AB69" i="9"/>
  <c r="AC69" i="9" s="1"/>
  <c r="AB65" i="9"/>
  <c r="AC65" i="9" s="1"/>
  <c r="AB61" i="9"/>
  <c r="AC61" i="9" s="1"/>
  <c r="AB56" i="9"/>
  <c r="AC56" i="9" s="1"/>
  <c r="AB55" i="9"/>
  <c r="AC55" i="9" s="1"/>
  <c r="AB54" i="9"/>
  <c r="AC54" i="9" s="1"/>
  <c r="AB53" i="9"/>
  <c r="AC53" i="9" s="1"/>
  <c r="AB52" i="9"/>
  <c r="AC52" i="9" s="1"/>
  <c r="AB51" i="9"/>
  <c r="AC51" i="9" s="1"/>
  <c r="AB50" i="9"/>
  <c r="AC50" i="9" s="1"/>
  <c r="AB49" i="9"/>
  <c r="AC49" i="9" s="1"/>
  <c r="AB48" i="9"/>
  <c r="AC48" i="9" s="1"/>
  <c r="AB47" i="9"/>
  <c r="AC47" i="9" s="1"/>
  <c r="AB46" i="9"/>
  <c r="AC46" i="9" s="1"/>
  <c r="AB45" i="9"/>
  <c r="AC45" i="9" s="1"/>
  <c r="AB44" i="9"/>
  <c r="AC44" i="9" s="1"/>
  <c r="AB43" i="9"/>
  <c r="AC43" i="9" s="1"/>
  <c r="AB42" i="9"/>
  <c r="AC42" i="9" s="1"/>
  <c r="AB41" i="9"/>
  <c r="AC41" i="9" s="1"/>
  <c r="AB40" i="9"/>
  <c r="AC40" i="9" s="1"/>
  <c r="AB39" i="9"/>
  <c r="AC39" i="9" s="1"/>
  <c r="AB38" i="9"/>
  <c r="AC38" i="9" s="1"/>
  <c r="AB37" i="9"/>
  <c r="AC37" i="9" s="1"/>
  <c r="AB36" i="9"/>
  <c r="AC36" i="9" s="1"/>
  <c r="AB35" i="9"/>
  <c r="AC35" i="9" s="1"/>
  <c r="AB34" i="9"/>
  <c r="AC34" i="9" s="1"/>
  <c r="E36" i="2" s="1"/>
  <c r="AB33" i="9"/>
  <c r="AC33" i="9" s="1"/>
  <c r="AB32" i="9"/>
  <c r="AC32" i="9" s="1"/>
  <c r="AB31" i="9"/>
  <c r="AC31" i="9" s="1"/>
  <c r="AB30" i="9"/>
  <c r="AC30" i="9" s="1"/>
  <c r="AB29" i="9"/>
  <c r="AC29" i="9" s="1"/>
  <c r="AB28" i="9"/>
  <c r="AC28" i="9" s="1"/>
  <c r="AB27" i="9"/>
  <c r="AC27" i="9" s="1"/>
  <c r="AB26" i="9"/>
  <c r="AC26" i="9" s="1"/>
  <c r="AB25" i="9"/>
  <c r="AC25" i="9" s="1"/>
  <c r="AB24" i="9"/>
  <c r="AC24" i="9" s="1"/>
  <c r="AB23" i="9"/>
  <c r="AC23" i="9" s="1"/>
  <c r="AB22" i="9"/>
  <c r="AC22" i="9" s="1"/>
  <c r="AB21" i="9"/>
  <c r="AC21" i="9" s="1"/>
  <c r="AB20" i="9"/>
  <c r="AC20" i="9" s="1"/>
  <c r="AB19" i="9"/>
  <c r="AC19" i="9" s="1"/>
  <c r="AB18" i="9"/>
  <c r="AC18" i="9" s="1"/>
  <c r="AB17" i="9"/>
  <c r="AC17" i="9" s="1"/>
  <c r="AB16" i="9"/>
  <c r="AC16" i="9" s="1"/>
  <c r="AB15" i="9"/>
  <c r="AC15" i="9" s="1"/>
  <c r="AB14" i="9"/>
  <c r="AC14" i="9" s="1"/>
  <c r="AB13" i="9"/>
  <c r="AC13" i="9" s="1"/>
  <c r="AB12" i="9"/>
  <c r="AC12" i="9" s="1"/>
  <c r="AB11" i="9"/>
  <c r="AC11" i="9" s="1"/>
  <c r="AB10" i="9"/>
  <c r="AC10" i="9" s="1"/>
  <c r="AB9" i="9"/>
  <c r="AC9" i="9" s="1"/>
  <c r="AB8" i="9"/>
  <c r="AC8" i="9" s="1"/>
  <c r="AB7" i="9"/>
  <c r="AC7" i="9" s="1"/>
  <c r="AB6" i="9"/>
  <c r="AC6" i="9" s="1"/>
  <c r="AB5" i="9"/>
  <c r="AC5" i="9" s="1"/>
  <c r="AB4" i="9"/>
  <c r="AC4" i="9" s="1"/>
  <c r="AB3" i="9"/>
  <c r="AC3" i="9" s="1"/>
  <c r="AB2" i="9"/>
  <c r="AC2" i="9" s="1"/>
  <c r="E4" i="2" s="1"/>
  <c r="F100" i="3" l="1"/>
  <c r="E102" i="2"/>
  <c r="F50" i="3"/>
  <c r="E52" i="2"/>
  <c r="F87" i="3"/>
  <c r="E89" i="2"/>
  <c r="F39" i="3"/>
  <c r="E41" i="2"/>
  <c r="F94" i="3"/>
  <c r="E96" i="2"/>
  <c r="F4" i="3"/>
  <c r="E6" i="2"/>
  <c r="F16" i="3"/>
  <c r="E18" i="2"/>
  <c r="F28" i="3"/>
  <c r="E30" i="2"/>
  <c r="F40" i="3"/>
  <c r="E42" i="2"/>
  <c r="F52" i="3"/>
  <c r="E54" i="2"/>
  <c r="F85" i="3"/>
  <c r="E87" i="2"/>
  <c r="F97" i="3"/>
  <c r="E99" i="2"/>
  <c r="F99" i="3"/>
  <c r="E101" i="2"/>
  <c r="F96" i="3"/>
  <c r="E98" i="2"/>
  <c r="F38" i="3"/>
  <c r="E40" i="2"/>
  <c r="F89" i="3"/>
  <c r="E91" i="2"/>
  <c r="F15" i="3"/>
  <c r="E17" i="2"/>
  <c r="F79" i="3"/>
  <c r="E81" i="2"/>
  <c r="F5" i="3"/>
  <c r="E7" i="2"/>
  <c r="F17" i="3"/>
  <c r="E19" i="2"/>
  <c r="F29" i="3"/>
  <c r="E31" i="2"/>
  <c r="F41" i="3"/>
  <c r="E43" i="2"/>
  <c r="F53" i="3"/>
  <c r="E55" i="2"/>
  <c r="F90" i="3"/>
  <c r="E92" i="2"/>
  <c r="F58" i="3"/>
  <c r="E60" i="2"/>
  <c r="F14" i="3"/>
  <c r="E16" i="2"/>
  <c r="F88" i="3"/>
  <c r="E90" i="2"/>
  <c r="F27" i="3"/>
  <c r="E29" i="2"/>
  <c r="F93" i="3"/>
  <c r="E95" i="2"/>
  <c r="F6" i="3"/>
  <c r="E8" i="2"/>
  <c r="F18" i="3"/>
  <c r="E20" i="2"/>
  <c r="F30" i="3"/>
  <c r="E32" i="2"/>
  <c r="F42" i="3"/>
  <c r="E44" i="2"/>
  <c r="F54" i="3"/>
  <c r="E56" i="2"/>
  <c r="F91" i="3"/>
  <c r="E93" i="2"/>
  <c r="F57" i="3"/>
  <c r="E59" i="2"/>
  <c r="F59" i="3"/>
  <c r="E61" i="2"/>
  <c r="F78" i="3"/>
  <c r="E80" i="2"/>
  <c r="F3" i="3"/>
  <c r="E5" i="2"/>
  <c r="F51" i="3"/>
  <c r="E53" i="2"/>
  <c r="F92" i="3"/>
  <c r="E94" i="2"/>
  <c r="F7" i="3"/>
  <c r="E9" i="2"/>
  <c r="F19" i="3"/>
  <c r="E21" i="2"/>
  <c r="F31" i="3"/>
  <c r="E33" i="2"/>
  <c r="F43" i="3"/>
  <c r="E45" i="2"/>
  <c r="F55" i="3"/>
  <c r="E57" i="2"/>
  <c r="F95" i="3"/>
  <c r="E97" i="2"/>
  <c r="F62" i="3"/>
  <c r="E64" i="2"/>
  <c r="F60" i="3"/>
  <c r="E62" i="2"/>
  <c r="F46" i="3"/>
  <c r="E48" i="2"/>
  <c r="F65" i="3"/>
  <c r="E67" i="2"/>
  <c r="F70" i="3"/>
  <c r="E72" i="2"/>
  <c r="F71" i="3"/>
  <c r="E73" i="2"/>
  <c r="F72" i="3"/>
  <c r="E74" i="2"/>
  <c r="F20" i="3"/>
  <c r="E22" i="2"/>
  <c r="F56" i="3"/>
  <c r="E58" i="2"/>
  <c r="F64" i="3"/>
  <c r="E66" i="2"/>
  <c r="F33" i="3"/>
  <c r="E35" i="2"/>
  <c r="F61" i="3"/>
  <c r="E63" i="2"/>
  <c r="F67" i="3"/>
  <c r="E69" i="2"/>
  <c r="F11" i="3"/>
  <c r="E13" i="2"/>
  <c r="F23" i="3"/>
  <c r="E25" i="2"/>
  <c r="F35" i="3"/>
  <c r="E37" i="2"/>
  <c r="F47" i="3"/>
  <c r="E49" i="2"/>
  <c r="F69" i="3"/>
  <c r="E71" i="2"/>
  <c r="F74" i="3"/>
  <c r="E76" i="2"/>
  <c r="F73" i="3"/>
  <c r="E75" i="2"/>
  <c r="F76" i="3"/>
  <c r="E78" i="2"/>
  <c r="F8" i="3"/>
  <c r="E10" i="2"/>
  <c r="F44" i="3"/>
  <c r="E46" i="2"/>
  <c r="F66" i="3"/>
  <c r="E68" i="2"/>
  <c r="F21" i="3"/>
  <c r="E23" i="2"/>
  <c r="F63" i="3"/>
  <c r="E65" i="2"/>
  <c r="F10" i="3"/>
  <c r="E12" i="2"/>
  <c r="F12" i="3"/>
  <c r="E14" i="2"/>
  <c r="F24" i="3"/>
  <c r="E26" i="2"/>
  <c r="F36" i="3"/>
  <c r="E38" i="2"/>
  <c r="F48" i="3"/>
  <c r="E50" i="2"/>
  <c r="F75" i="3"/>
  <c r="E77" i="2"/>
  <c r="F81" i="3"/>
  <c r="E83" i="2"/>
  <c r="F82" i="3"/>
  <c r="E84" i="2"/>
  <c r="F80" i="3"/>
  <c r="E82" i="2"/>
  <c r="F26" i="3"/>
  <c r="E28" i="2"/>
  <c r="F32" i="3"/>
  <c r="E34" i="2"/>
  <c r="F98" i="3"/>
  <c r="E100" i="2"/>
  <c r="F9" i="3"/>
  <c r="E11" i="2"/>
  <c r="F45" i="3"/>
  <c r="E47" i="2"/>
  <c r="F68" i="3"/>
  <c r="E70" i="2"/>
  <c r="F22" i="3"/>
  <c r="E24" i="2"/>
  <c r="F13" i="3"/>
  <c r="E15" i="2"/>
  <c r="F25" i="3"/>
  <c r="E27" i="2"/>
  <c r="F37" i="3"/>
  <c r="E39" i="2"/>
  <c r="F49" i="3"/>
  <c r="E51" i="2"/>
  <c r="F77" i="3"/>
  <c r="E79" i="2"/>
  <c r="F86" i="3"/>
  <c r="E88" i="2"/>
  <c r="F83" i="3"/>
  <c r="E85" i="2"/>
  <c r="F84" i="3"/>
  <c r="E86" i="2"/>
  <c r="AK34" i="9"/>
  <c r="F34" i="3"/>
  <c r="AV2" i="9"/>
  <c r="F2" i="3"/>
  <c r="AV3" i="9"/>
  <c r="AV4" i="9"/>
  <c r="AK65" i="9"/>
  <c r="AK40" i="9"/>
  <c r="AK73" i="9"/>
  <c r="AK20" i="9"/>
  <c r="AK75" i="9"/>
  <c r="AK70" i="9"/>
  <c r="AK2" i="9"/>
  <c r="AK42" i="9"/>
  <c r="AK83" i="9"/>
  <c r="AK16" i="9"/>
  <c r="AK24" i="9"/>
  <c r="AK88" i="9"/>
  <c r="AK94" i="9"/>
  <c r="AK67" i="9"/>
  <c r="AK85" i="9"/>
  <c r="AK97" i="9"/>
  <c r="AK78" i="9"/>
  <c r="AK81" i="9"/>
  <c r="AK26" i="9"/>
  <c r="AK22" i="9"/>
  <c r="AK98" i="9"/>
  <c r="AK59" i="9"/>
  <c r="AK18" i="9"/>
  <c r="AK87" i="9"/>
  <c r="AK38" i="9"/>
  <c r="AK8" i="9"/>
  <c r="AK48" i="9"/>
  <c r="AK50" i="9"/>
  <c r="AK64" i="9"/>
  <c r="AK52" i="9"/>
  <c r="AK44" i="9"/>
  <c r="AK10" i="9"/>
  <c r="AK30" i="9"/>
  <c r="AK12" i="9"/>
  <c r="AK32" i="9"/>
  <c r="AK36" i="9"/>
  <c r="AK46" i="9"/>
  <c r="AK56" i="9"/>
  <c r="AK62" i="9"/>
  <c r="AK96" i="9"/>
  <c r="AK4" i="9"/>
  <c r="AK6" i="9"/>
  <c r="AK91" i="9"/>
  <c r="AK28" i="9"/>
  <c r="AK17" i="9"/>
  <c r="AK37" i="9"/>
  <c r="AK61" i="9"/>
  <c r="AK66" i="9"/>
  <c r="AK92" i="9"/>
  <c r="AK19" i="9"/>
  <c r="AK39" i="9"/>
  <c r="AK69" i="9"/>
  <c r="AK63" i="9"/>
  <c r="AK71" i="9"/>
  <c r="AK21" i="9"/>
  <c r="AK41" i="9"/>
  <c r="AK77" i="9"/>
  <c r="AK74" i="9"/>
  <c r="AK82" i="9"/>
  <c r="AK3" i="9"/>
  <c r="AK23" i="9"/>
  <c r="AK43" i="9"/>
  <c r="AK79" i="9"/>
  <c r="AK86" i="9"/>
  <c r="AK89" i="9"/>
  <c r="AK5" i="9"/>
  <c r="AK25" i="9"/>
  <c r="AK45" i="9"/>
  <c r="AK90" i="9"/>
  <c r="AK93" i="9"/>
  <c r="AK99" i="9"/>
  <c r="AK7" i="9"/>
  <c r="AK27" i="9"/>
  <c r="AK47" i="9"/>
  <c r="AK95" i="9"/>
  <c r="AK100" i="9"/>
  <c r="AK58" i="9"/>
  <c r="AK9" i="9"/>
  <c r="AK29" i="9"/>
  <c r="AK49" i="9"/>
  <c r="AK60" i="9"/>
  <c r="AK11" i="9"/>
  <c r="AK31" i="9"/>
  <c r="AK51" i="9"/>
  <c r="AK68" i="9"/>
  <c r="AK13" i="9"/>
  <c r="AK33" i="9"/>
  <c r="AK53" i="9"/>
  <c r="AK76" i="9"/>
  <c r="AK54" i="9"/>
  <c r="AK72" i="9"/>
  <c r="AK14" i="9"/>
  <c r="AK80" i="9"/>
  <c r="AK15" i="9"/>
  <c r="AK35" i="9"/>
  <c r="AK55" i="9"/>
  <c r="AK57" i="9"/>
  <c r="AK84" i="9"/>
  <c r="AH96" i="9"/>
  <c r="AI96" i="9" s="1"/>
  <c r="AJ96" i="9" s="1"/>
  <c r="AH92" i="9"/>
  <c r="AI92" i="9" s="1"/>
  <c r="AJ92" i="9" s="1"/>
  <c r="AH87" i="9"/>
  <c r="AI87" i="9" s="1"/>
  <c r="AJ87" i="9" s="1"/>
  <c r="AH84" i="9"/>
  <c r="AI84" i="9" s="1"/>
  <c r="AJ84" i="9" s="1"/>
  <c r="AH80" i="9"/>
  <c r="AI80" i="9" s="1"/>
  <c r="AJ80" i="9" s="1"/>
  <c r="AH76" i="9"/>
  <c r="AI76" i="9" s="1"/>
  <c r="AJ76" i="9" s="1"/>
  <c r="AH72" i="9"/>
  <c r="AI72" i="9" s="1"/>
  <c r="AJ72" i="9" s="1"/>
  <c r="AH68" i="9"/>
  <c r="AI68" i="9" s="1"/>
  <c r="AJ68" i="9" s="1"/>
  <c r="AH64" i="9"/>
  <c r="AI64" i="9" s="1"/>
  <c r="AJ64" i="9" s="1"/>
  <c r="AH60" i="9"/>
  <c r="AI60" i="9" s="1"/>
  <c r="AJ60" i="9" s="1"/>
  <c r="AH59" i="9"/>
  <c r="AI59" i="9" s="1"/>
  <c r="AJ59" i="9" s="1"/>
  <c r="AH58" i="9"/>
  <c r="AI58" i="9" s="1"/>
  <c r="AJ58" i="9" s="1"/>
  <c r="AH99" i="9"/>
  <c r="AI99" i="9" s="1"/>
  <c r="AJ99" i="9" s="1"/>
  <c r="AH94" i="9"/>
  <c r="AI94" i="9" s="1"/>
  <c r="AJ94" i="9" s="1"/>
  <c r="AH89" i="9"/>
  <c r="AI89" i="9" s="1"/>
  <c r="AJ89" i="9" s="1"/>
  <c r="AH83" i="9"/>
  <c r="AI83" i="9" s="1"/>
  <c r="AJ83" i="9" s="1"/>
  <c r="AH82" i="9"/>
  <c r="AI82" i="9" s="1"/>
  <c r="AJ82" i="9" s="1"/>
  <c r="AH73" i="9"/>
  <c r="AI73" i="9" s="1"/>
  <c r="AJ73" i="9" s="1"/>
  <c r="AH71" i="9"/>
  <c r="AI71" i="9" s="1"/>
  <c r="AJ71" i="9" s="1"/>
  <c r="AH67" i="9"/>
  <c r="AI67" i="9" s="1"/>
  <c r="AJ67" i="9" s="1"/>
  <c r="AH66" i="9"/>
  <c r="AI66" i="9" s="1"/>
  <c r="AJ66" i="9" s="1"/>
  <c r="AH62" i="9"/>
  <c r="AI62" i="9" s="1"/>
  <c r="AJ62" i="9" s="1"/>
  <c r="AH57" i="9"/>
  <c r="AI57" i="9" s="1"/>
  <c r="AJ57" i="9" s="1"/>
  <c r="AH100" i="9"/>
  <c r="AI100" i="9" s="1"/>
  <c r="AJ100" i="9" s="1"/>
  <c r="AH97" i="9"/>
  <c r="AI97" i="9" s="1"/>
  <c r="AJ97" i="9" s="1"/>
  <c r="AH93" i="9"/>
  <c r="AI93" i="9" s="1"/>
  <c r="AJ93" i="9" s="1"/>
  <c r="AH88" i="9"/>
  <c r="AI88" i="9" s="1"/>
  <c r="AJ88" i="9" s="1"/>
  <c r="AH86" i="9"/>
  <c r="AI86" i="9" s="1"/>
  <c r="AJ86" i="9" s="1"/>
  <c r="AH81" i="9"/>
  <c r="AI81" i="9" s="1"/>
  <c r="AJ81" i="9" s="1"/>
  <c r="AH74" i="9"/>
  <c r="AI74" i="9" s="1"/>
  <c r="AJ74" i="9" s="1"/>
  <c r="AH70" i="9"/>
  <c r="AI70" i="9" s="1"/>
  <c r="AJ70" i="9" s="1"/>
  <c r="AH63" i="9"/>
  <c r="AI63" i="9" s="1"/>
  <c r="AJ63" i="9" s="1"/>
  <c r="AH98" i="9"/>
  <c r="AI98" i="9" s="1"/>
  <c r="AJ98" i="9" s="1"/>
  <c r="AH95" i="9"/>
  <c r="AI95" i="9" s="1"/>
  <c r="AJ95" i="9" s="1"/>
  <c r="AH91" i="9"/>
  <c r="AI91" i="9" s="1"/>
  <c r="AJ91" i="9" s="1"/>
  <c r="AH90" i="9"/>
  <c r="AI90" i="9" s="1"/>
  <c r="AJ90" i="9" s="1"/>
  <c r="AH85" i="9"/>
  <c r="AI85" i="9" s="1"/>
  <c r="AJ85" i="9" s="1"/>
  <c r="AH79" i="9"/>
  <c r="AI79" i="9" s="1"/>
  <c r="AJ79" i="9" s="1"/>
  <c r="AH78" i="9"/>
  <c r="AI78" i="9" s="1"/>
  <c r="AJ78" i="9" s="1"/>
  <c r="AH77" i="9"/>
  <c r="AI77" i="9" s="1"/>
  <c r="AJ77" i="9" s="1"/>
  <c r="AH75" i="9"/>
  <c r="AI75" i="9" s="1"/>
  <c r="AJ75" i="9" s="1"/>
  <c r="AH69" i="9"/>
  <c r="AI69" i="9" s="1"/>
  <c r="AJ69" i="9" s="1"/>
  <c r="AH65" i="9"/>
  <c r="AI65" i="9" s="1"/>
  <c r="AJ65" i="9" s="1"/>
  <c r="AH61" i="9"/>
  <c r="AI61" i="9" s="1"/>
  <c r="AJ61" i="9" s="1"/>
  <c r="AH56" i="9"/>
  <c r="AI56" i="9" s="1"/>
  <c r="AJ56" i="9" s="1"/>
  <c r="AH55" i="9"/>
  <c r="AI55" i="9" s="1"/>
  <c r="AJ55" i="9" s="1"/>
  <c r="AH54" i="9"/>
  <c r="AI54" i="9" s="1"/>
  <c r="AJ54" i="9" s="1"/>
  <c r="AH53" i="9"/>
  <c r="AI53" i="9" s="1"/>
  <c r="AJ53" i="9" s="1"/>
  <c r="AH52" i="9"/>
  <c r="AI52" i="9" s="1"/>
  <c r="AJ52" i="9" s="1"/>
  <c r="AH51" i="9"/>
  <c r="AI51" i="9" s="1"/>
  <c r="AJ51" i="9" s="1"/>
  <c r="AH50" i="9"/>
  <c r="AI50" i="9" s="1"/>
  <c r="AJ50" i="9" s="1"/>
  <c r="AH49" i="9"/>
  <c r="AI49" i="9" s="1"/>
  <c r="AJ49" i="9" s="1"/>
  <c r="AH48" i="9"/>
  <c r="AI48" i="9" s="1"/>
  <c r="AJ48" i="9" s="1"/>
  <c r="AH47" i="9"/>
  <c r="AI47" i="9" s="1"/>
  <c r="AJ47" i="9" s="1"/>
  <c r="AH46" i="9"/>
  <c r="AI46" i="9" s="1"/>
  <c r="AJ46" i="9" s="1"/>
  <c r="AH45" i="9"/>
  <c r="AI45" i="9" s="1"/>
  <c r="AJ45" i="9" s="1"/>
  <c r="AH44" i="9"/>
  <c r="AI44" i="9" s="1"/>
  <c r="AJ44" i="9" s="1"/>
  <c r="AH43" i="9"/>
  <c r="AI43" i="9" s="1"/>
  <c r="AJ43" i="9" s="1"/>
  <c r="AH42" i="9"/>
  <c r="AI42" i="9" s="1"/>
  <c r="AJ42" i="9" s="1"/>
  <c r="AH41" i="9"/>
  <c r="AI41" i="9" s="1"/>
  <c r="AJ41" i="9" s="1"/>
  <c r="AH40" i="9"/>
  <c r="AI40" i="9" s="1"/>
  <c r="AJ40" i="9" s="1"/>
  <c r="AH39" i="9"/>
  <c r="AI39" i="9" s="1"/>
  <c r="AJ39" i="9" s="1"/>
  <c r="AH38" i="9"/>
  <c r="AI38" i="9" s="1"/>
  <c r="AJ38" i="9" s="1"/>
  <c r="AH37" i="9"/>
  <c r="AI37" i="9" s="1"/>
  <c r="AJ37" i="9" s="1"/>
  <c r="AH36" i="9"/>
  <c r="AI36" i="9" s="1"/>
  <c r="AJ36" i="9" s="1"/>
  <c r="AH35" i="9"/>
  <c r="AI35" i="9" s="1"/>
  <c r="AJ35" i="9" s="1"/>
  <c r="AH34" i="9"/>
  <c r="AI34" i="9" s="1"/>
  <c r="AJ34" i="9" s="1"/>
  <c r="AH33" i="9"/>
  <c r="AI33" i="9" s="1"/>
  <c r="AJ33" i="9" s="1"/>
  <c r="AH32" i="9"/>
  <c r="AI32" i="9" s="1"/>
  <c r="AJ32" i="9" s="1"/>
  <c r="AH31" i="9"/>
  <c r="AI31" i="9" s="1"/>
  <c r="AJ31" i="9" s="1"/>
  <c r="AH30" i="9"/>
  <c r="AI30" i="9" s="1"/>
  <c r="AJ30" i="9" s="1"/>
  <c r="AH29" i="9"/>
  <c r="AI29" i="9" s="1"/>
  <c r="AJ29" i="9" s="1"/>
  <c r="AH28" i="9"/>
  <c r="AI28" i="9" s="1"/>
  <c r="AJ28" i="9" s="1"/>
  <c r="AH27" i="9"/>
  <c r="AI27" i="9" s="1"/>
  <c r="AJ27" i="9" s="1"/>
  <c r="AH26" i="9"/>
  <c r="AI26" i="9" s="1"/>
  <c r="AJ26" i="9" s="1"/>
  <c r="AH25" i="9"/>
  <c r="AI25" i="9" s="1"/>
  <c r="AJ25" i="9" s="1"/>
  <c r="AH24" i="9"/>
  <c r="AI24" i="9" s="1"/>
  <c r="AJ24" i="9" s="1"/>
  <c r="AH23" i="9"/>
  <c r="AI23" i="9" s="1"/>
  <c r="AJ23" i="9" s="1"/>
  <c r="AH22" i="9"/>
  <c r="AI22" i="9" s="1"/>
  <c r="AJ22" i="9" s="1"/>
  <c r="AH21" i="9"/>
  <c r="AI21" i="9" s="1"/>
  <c r="AJ21" i="9" s="1"/>
  <c r="AH20" i="9"/>
  <c r="AI20" i="9" s="1"/>
  <c r="AJ20" i="9" s="1"/>
  <c r="AH19" i="9"/>
  <c r="AI19" i="9" s="1"/>
  <c r="AJ19" i="9" s="1"/>
  <c r="AH18" i="9"/>
  <c r="AI18" i="9" s="1"/>
  <c r="AJ18" i="9" s="1"/>
  <c r="AH17" i="9"/>
  <c r="AI17" i="9" s="1"/>
  <c r="AJ17" i="9" s="1"/>
  <c r="AH16" i="9"/>
  <c r="AI16" i="9" s="1"/>
  <c r="AJ16" i="9" s="1"/>
  <c r="AH15" i="9"/>
  <c r="AI15" i="9" s="1"/>
  <c r="AJ15" i="9" s="1"/>
  <c r="AH14" i="9"/>
  <c r="AI14" i="9" s="1"/>
  <c r="AJ14" i="9" s="1"/>
  <c r="AH13" i="9"/>
  <c r="AI13" i="9" s="1"/>
  <c r="AJ13" i="9" s="1"/>
  <c r="AH12" i="9"/>
  <c r="AI12" i="9" s="1"/>
  <c r="AJ12" i="9" s="1"/>
  <c r="AH11" i="9"/>
  <c r="AI11" i="9" s="1"/>
  <c r="AJ11" i="9" s="1"/>
  <c r="AH10" i="9"/>
  <c r="AI10" i="9" s="1"/>
  <c r="AJ10" i="9" s="1"/>
  <c r="AH9" i="9"/>
  <c r="AI9" i="9" s="1"/>
  <c r="AJ9" i="9" s="1"/>
  <c r="AH8" i="9"/>
  <c r="AI8" i="9" s="1"/>
  <c r="AJ8" i="9" s="1"/>
  <c r="AH7" i="9"/>
  <c r="AI7" i="9" s="1"/>
  <c r="AJ7" i="9" s="1"/>
  <c r="AH6" i="9"/>
  <c r="AI6" i="9" s="1"/>
  <c r="AJ6" i="9" s="1"/>
  <c r="AH5" i="9"/>
  <c r="AI5" i="9" s="1"/>
  <c r="AJ5" i="9" s="1"/>
  <c r="AH4" i="9"/>
  <c r="AI4" i="9" s="1"/>
  <c r="AJ4" i="9" s="1"/>
  <c r="AH3" i="9"/>
  <c r="AI3" i="9" s="1"/>
  <c r="AJ3" i="9" s="1"/>
  <c r="AE8" i="2"/>
  <c r="AF8" i="2"/>
  <c r="AE7" i="2"/>
  <c r="AF7" i="2"/>
  <c r="AE6" i="2"/>
  <c r="AF6" i="2"/>
  <c r="AE5" i="2"/>
  <c r="AF5" i="2"/>
  <c r="AE4" i="2"/>
  <c r="AF4" i="2"/>
  <c r="AH2" i="9"/>
  <c r="AM2" i="9"/>
  <c r="AN2" i="9" s="1"/>
  <c r="AO2" i="9"/>
  <c r="AU2" i="9"/>
  <c r="AM3" i="9"/>
  <c r="AN3" i="9" s="1"/>
  <c r="AO3" i="9"/>
  <c r="AP3" i="9" s="1"/>
  <c r="AU3" i="9"/>
  <c r="AM4" i="9"/>
  <c r="AN4" i="9" s="1"/>
  <c r="AO4" i="9"/>
  <c r="AP4" i="9" s="1"/>
  <c r="AU4" i="9"/>
  <c r="AT2" i="9" l="1"/>
  <c r="AM8" i="2"/>
  <c r="AN8" i="2"/>
  <c r="AM7" i="2"/>
  <c r="AN7" i="2"/>
  <c r="AM6" i="2"/>
  <c r="AN6" i="2"/>
  <c r="AM5" i="2"/>
  <c r="AN5" i="2"/>
  <c r="AM4" i="2"/>
  <c r="AN4" i="2"/>
  <c r="AI2" i="9"/>
  <c r="AJ2" i="9" s="1"/>
  <c r="AZ3" i="9"/>
  <c r="BB3" i="9"/>
  <c r="AZ4" i="9"/>
  <c r="BB4" i="9"/>
  <c r="AZ5" i="9"/>
  <c r="BB5" i="9"/>
  <c r="AZ6" i="9"/>
  <c r="BB6" i="9"/>
  <c r="AZ7" i="9"/>
  <c r="BB7" i="9"/>
  <c r="AZ8" i="9"/>
  <c r="BB8" i="9"/>
  <c r="AZ9" i="9"/>
  <c r="BB9" i="9"/>
  <c r="AZ10" i="9"/>
  <c r="BB10" i="9"/>
  <c r="AZ11" i="9"/>
  <c r="BB11" i="9"/>
  <c r="AP2" i="9"/>
  <c r="AQ2" i="9"/>
  <c r="AQ3" i="9"/>
  <c r="AQ4" i="9"/>
  <c r="AQ11" i="9"/>
  <c r="AT4" i="9"/>
  <c r="AT3" i="9"/>
  <c r="AU8" i="2" l="1"/>
  <c r="AV8" i="2"/>
  <c r="AU7" i="2"/>
  <c r="AV7" i="2"/>
  <c r="AU6" i="2"/>
  <c r="AV6" i="2"/>
  <c r="AU5" i="2"/>
  <c r="AV5" i="2"/>
  <c r="AU4" i="2"/>
  <c r="AV4" i="2"/>
  <c r="AZ12" i="9"/>
  <c r="BA3" i="9" s="1"/>
  <c r="BB12" i="9"/>
  <c r="BC3" i="9" s="1"/>
  <c r="BC8" i="2" l="1"/>
  <c r="BD8" i="2"/>
  <c r="BC7" i="2"/>
  <c r="BD7" i="2"/>
  <c r="BC6" i="2"/>
  <c r="BD6" i="2"/>
  <c r="BC5" i="2"/>
  <c r="BD5" i="2"/>
  <c r="BC4" i="2"/>
  <c r="BD4" i="2"/>
  <c r="BA11" i="9"/>
  <c r="BA7" i="9"/>
  <c r="BA8" i="9"/>
  <c r="BA4" i="9"/>
  <c r="BA9" i="9"/>
  <c r="BA5" i="9"/>
  <c r="BA10" i="9"/>
  <c r="BA6" i="9"/>
  <c r="BC9" i="9"/>
  <c r="BC4" i="9"/>
  <c r="BC7" i="9"/>
  <c r="BC8" i="9"/>
  <c r="BC10" i="9"/>
  <c r="BC5" i="9"/>
  <c r="BC11" i="9"/>
  <c r="BC6" i="9"/>
  <c r="BK8" i="2" l="1"/>
  <c r="BL8" i="2"/>
  <c r="BK7" i="2"/>
  <c r="BL7" i="2"/>
  <c r="BK6" i="2"/>
  <c r="BL6" i="2"/>
  <c r="BK5" i="2"/>
  <c r="BL5" i="2"/>
  <c r="BK4" i="2"/>
  <c r="BL4" i="2"/>
  <c r="BA12" i="9"/>
  <c r="BC12" i="9"/>
  <c r="BS8" i="2" l="1"/>
  <c r="BT8" i="2"/>
  <c r="BS7" i="2"/>
  <c r="BT7" i="2"/>
  <c r="BS6" i="2"/>
  <c r="BT6" i="2"/>
  <c r="BS5" i="2"/>
  <c r="BT5" i="2"/>
  <c r="BS4" i="2"/>
  <c r="BT4" i="2"/>
  <c r="CA8" i="2" l="1"/>
  <c r="CB8" i="2"/>
  <c r="CA7" i="2"/>
  <c r="CB7" i="2"/>
  <c r="CA6" i="2"/>
  <c r="CB6" i="2"/>
  <c r="CA5" i="2"/>
  <c r="CB5" i="2"/>
  <c r="CA4" i="2"/>
  <c r="CB4" i="2"/>
  <c r="CI8" i="2" l="1"/>
  <c r="CJ8" i="2"/>
  <c r="CI7" i="2"/>
  <c r="CJ7" i="2"/>
  <c r="CI6" i="2"/>
  <c r="CJ6" i="2"/>
  <c r="CI5" i="2"/>
  <c r="CJ5" i="2"/>
  <c r="CI4" i="2"/>
  <c r="CJ4" i="2"/>
  <c r="CQ8" i="2" l="1"/>
  <c r="CR8" i="2"/>
  <c r="CQ7" i="2"/>
  <c r="CR7" i="2"/>
  <c r="CQ6" i="2"/>
  <c r="CR6" i="2"/>
  <c r="CQ5" i="2"/>
  <c r="CR5" i="2"/>
  <c r="CQ4" i="2"/>
  <c r="CR4" i="2"/>
  <c r="CY8" i="2" l="1"/>
  <c r="CZ8" i="2"/>
  <c r="CY7" i="2"/>
  <c r="CZ7" i="2"/>
  <c r="CY6" i="2"/>
  <c r="CZ6" i="2"/>
  <c r="CY5" i="2"/>
  <c r="CZ5" i="2"/>
  <c r="CY4" i="2"/>
  <c r="CZ4" i="2"/>
  <c r="C4" i="18" l="1"/>
  <c r="G41" i="2"/>
  <c r="CA41" i="2" s="1"/>
  <c r="G44" i="2"/>
  <c r="CA44" i="2" s="1"/>
  <c r="G45" i="2"/>
  <c r="CY45" i="2" s="1"/>
  <c r="G46" i="2"/>
  <c r="O46" i="2" s="1"/>
  <c r="G47" i="2"/>
  <c r="CZ47" i="2" s="1"/>
  <c r="G48" i="2"/>
  <c r="CI48" i="2" s="1"/>
  <c r="G51" i="2"/>
  <c r="BT51" i="2" s="1"/>
  <c r="G52" i="2"/>
  <c r="O52" i="2" s="1"/>
  <c r="G53" i="2"/>
  <c r="CA53" i="2" s="1"/>
  <c r="G54" i="2"/>
  <c r="X54" i="2" s="1"/>
  <c r="G56" i="2"/>
  <c r="AF56" i="2" s="1"/>
  <c r="G57" i="2"/>
  <c r="G58" i="2"/>
  <c r="G59" i="2"/>
  <c r="CR59" i="2" s="1"/>
  <c r="G60" i="2"/>
  <c r="CR60" i="2" s="1"/>
  <c r="G62" i="2"/>
  <c r="AN62" i="2" s="1"/>
  <c r="G66" i="2"/>
  <c r="BT66" i="2" s="1"/>
  <c r="G5" i="2"/>
  <c r="G6" i="2"/>
  <c r="G7" i="2"/>
  <c r="G8" i="2"/>
  <c r="G4" i="2"/>
  <c r="G34" i="2"/>
  <c r="P34" i="2" s="1"/>
  <c r="G67" i="2"/>
  <c r="G74" i="2"/>
  <c r="AV74" i="2" s="1"/>
  <c r="G80" i="2"/>
  <c r="CJ80" i="2" s="1"/>
  <c r="G83" i="2"/>
  <c r="BS83" i="2" s="1"/>
  <c r="G84" i="2"/>
  <c r="G86" i="2"/>
  <c r="AN86" i="2" s="1"/>
  <c r="G87" i="2"/>
  <c r="CI87" i="2" s="1"/>
  <c r="G88" i="2"/>
  <c r="CQ88" i="2" s="1"/>
  <c r="G89" i="2"/>
  <c r="AM89" i="2" s="1"/>
  <c r="G91" i="2"/>
  <c r="AF91" i="2" s="1"/>
  <c r="G92" i="2"/>
  <c r="BD92" i="2" s="1"/>
  <c r="G93" i="2"/>
  <c r="CR93" i="2" s="1"/>
  <c r="G94" i="2"/>
  <c r="G95" i="2"/>
  <c r="AE95" i="2" s="1"/>
  <c r="G96" i="2"/>
  <c r="CY96" i="2" s="1"/>
  <c r="G97" i="2"/>
  <c r="G98" i="2"/>
  <c r="CQ98" i="2" s="1"/>
  <c r="G99" i="2"/>
  <c r="BD99" i="2" s="1"/>
  <c r="G43" i="2"/>
  <c r="CB43" i="2" s="1"/>
  <c r="G68" i="2"/>
  <c r="BT68" i="2" s="1"/>
  <c r="G75" i="2"/>
  <c r="AF75" i="2" s="1"/>
  <c r="G81" i="2"/>
  <c r="P81" i="2" s="1"/>
  <c r="G85" i="2"/>
  <c r="X85" i="2" s="1"/>
  <c r="G49" i="2"/>
  <c r="W49" i="2" s="1"/>
  <c r="G69" i="2"/>
  <c r="BT69" i="2" s="1"/>
  <c r="G90" i="2"/>
  <c r="O90" i="2" s="1"/>
  <c r="G55" i="2"/>
  <c r="O55" i="2" s="1"/>
  <c r="G76" i="2"/>
  <c r="O76" i="2" s="1"/>
  <c r="G61" i="2"/>
  <c r="BL61" i="2" s="1"/>
  <c r="G70" i="2"/>
  <c r="O70" i="2" s="1"/>
  <c r="G82" i="2"/>
  <c r="CA82" i="2" s="1"/>
  <c r="G77" i="2"/>
  <c r="CY77" i="2" s="1"/>
  <c r="G71" i="2"/>
  <c r="P71" i="2" s="1"/>
  <c r="G63" i="2"/>
  <c r="W63" i="2" s="1"/>
  <c r="G72" i="2"/>
  <c r="G78" i="2"/>
  <c r="P78" i="2" s="1"/>
  <c r="G64" i="2"/>
  <c r="BC64" i="2" s="1"/>
  <c r="G65" i="2"/>
  <c r="CY65" i="2" s="1"/>
  <c r="G73" i="2"/>
  <c r="AM73" i="2" s="1"/>
  <c r="G79" i="2"/>
  <c r="AE79" i="2" s="1"/>
  <c r="AV43" i="2" l="1"/>
  <c r="W53" i="2"/>
  <c r="CA78" i="2"/>
  <c r="BL78" i="2"/>
  <c r="CZ95" i="2"/>
  <c r="AN95" i="2"/>
  <c r="O53" i="2"/>
  <c r="CR99" i="2"/>
  <c r="CQ64" i="2"/>
  <c r="AU99" i="2"/>
  <c r="AE74" i="2"/>
  <c r="CR51" i="2"/>
  <c r="P99" i="2"/>
  <c r="CY89" i="2"/>
  <c r="AV89" i="2"/>
  <c r="AE34" i="2"/>
  <c r="AN81" i="2"/>
  <c r="AU56" i="2"/>
  <c r="AM95" i="2"/>
  <c r="BT86" i="2"/>
  <c r="W70" i="2"/>
  <c r="CZ63" i="2"/>
  <c r="CB70" i="2"/>
  <c r="CI49" i="2"/>
  <c r="BD75" i="2"/>
  <c r="P43" i="2"/>
  <c r="AV96" i="2"/>
  <c r="AU93" i="2"/>
  <c r="AF89" i="2"/>
  <c r="CR87" i="2"/>
  <c r="AE86" i="2"/>
  <c r="CB34" i="2"/>
  <c r="CB60" i="2"/>
  <c r="BL56" i="2"/>
  <c r="O87" i="2"/>
  <c r="AU63" i="2"/>
  <c r="AN70" i="2"/>
  <c r="CB49" i="2"/>
  <c r="W75" i="2"/>
  <c r="AM43" i="2"/>
  <c r="BD96" i="2"/>
  <c r="W93" i="2"/>
  <c r="CJ89" i="2"/>
  <c r="AE87" i="2"/>
  <c r="CY34" i="2"/>
  <c r="CJ60" i="2"/>
  <c r="BD48" i="2"/>
  <c r="BL63" i="2"/>
  <c r="CY54" i="2"/>
  <c r="CR48" i="2"/>
  <c r="CI75" i="2"/>
  <c r="CR96" i="2"/>
  <c r="CA93" i="2"/>
  <c r="W87" i="2"/>
  <c r="AU64" i="2"/>
  <c r="CR63" i="2"/>
  <c r="AN61" i="2"/>
  <c r="CR81" i="2"/>
  <c r="CY75" i="2"/>
  <c r="AN96" i="2"/>
  <c r="BD93" i="2"/>
  <c r="AE89" i="2"/>
  <c r="AM87" i="2"/>
  <c r="CQ83" i="2"/>
  <c r="BK54" i="2"/>
  <c r="O48" i="2"/>
  <c r="AU75" i="2"/>
  <c r="AM63" i="2"/>
  <c r="P61" i="2"/>
  <c r="BT75" i="2"/>
  <c r="CJ99" i="2"/>
  <c r="BS96" i="2"/>
  <c r="AF93" i="2"/>
  <c r="CZ88" i="2"/>
  <c r="AN87" i="2"/>
  <c r="AV83" i="2"/>
  <c r="BS48" i="2"/>
  <c r="BS75" i="2"/>
  <c r="BT43" i="2"/>
  <c r="BC96" i="2"/>
  <c r="AV63" i="2"/>
  <c r="BT78" i="2"/>
  <c r="O63" i="2"/>
  <c r="BK61" i="2"/>
  <c r="BC75" i="2"/>
  <c r="AU96" i="2"/>
  <c r="AE93" i="2"/>
  <c r="BL75" i="2"/>
  <c r="BS87" i="2"/>
  <c r="AV78" i="2"/>
  <c r="BS63" i="2"/>
  <c r="AM61" i="2"/>
  <c r="AU81" i="2"/>
  <c r="P75" i="2"/>
  <c r="CI93" i="2"/>
  <c r="CA88" i="2"/>
  <c r="X86" i="2"/>
  <c r="BK80" i="2"/>
  <c r="CZ56" i="2"/>
  <c r="AN56" i="2"/>
  <c r="X52" i="2"/>
  <c r="X75" i="2"/>
  <c r="BC87" i="2"/>
  <c r="BC86" i="2"/>
  <c r="CI56" i="2"/>
  <c r="BK75" i="2"/>
  <c r="CQ96" i="2"/>
  <c r="CB87" i="2"/>
  <c r="CR86" i="2"/>
  <c r="P66" i="2"/>
  <c r="CR56" i="2"/>
  <c r="BS52" i="2"/>
  <c r="W89" i="2"/>
  <c r="BK87" i="2"/>
  <c r="AU86" i="2"/>
  <c r="BK56" i="2"/>
  <c r="P73" i="2"/>
  <c r="AF64" i="2"/>
  <c r="BT70" i="2"/>
  <c r="P76" i="2"/>
  <c r="BD55" i="2"/>
  <c r="AN55" i="2"/>
  <c r="CB81" i="2"/>
  <c r="O75" i="2"/>
  <c r="AU68" i="2"/>
  <c r="CI43" i="2"/>
  <c r="BS98" i="2"/>
  <c r="X98" i="2"/>
  <c r="X96" i="2"/>
  <c r="CY95" i="2"/>
  <c r="BL93" i="2"/>
  <c r="CZ93" i="2"/>
  <c r="CZ92" i="2"/>
  <c r="X89" i="2"/>
  <c r="BS89" i="2"/>
  <c r="BD88" i="2"/>
  <c r="BK88" i="2"/>
  <c r="AM86" i="2"/>
  <c r="CA86" i="2"/>
  <c r="AN34" i="2"/>
  <c r="BC66" i="2"/>
  <c r="BS60" i="2"/>
  <c r="AM56" i="2"/>
  <c r="CA54" i="2"/>
  <c r="AV53" i="2"/>
  <c r="CA51" i="2"/>
  <c r="BK48" i="2"/>
  <c r="AU47" i="2"/>
  <c r="AM70" i="2"/>
  <c r="BL76" i="2"/>
  <c r="BT55" i="2"/>
  <c r="AM55" i="2"/>
  <c r="AF68" i="2"/>
  <c r="AV73" i="2"/>
  <c r="CA73" i="2"/>
  <c r="CY64" i="2"/>
  <c r="AN63" i="2"/>
  <c r="BS82" i="2"/>
  <c r="BL70" i="2"/>
  <c r="AV61" i="2"/>
  <c r="AU76" i="2"/>
  <c r="CJ55" i="2"/>
  <c r="W55" i="2"/>
  <c r="AV75" i="2"/>
  <c r="CI68" i="2"/>
  <c r="AF43" i="2"/>
  <c r="AE98" i="2"/>
  <c r="BD98" i="2"/>
  <c r="BT96" i="2"/>
  <c r="AU95" i="2"/>
  <c r="P93" i="2"/>
  <c r="BC93" i="2"/>
  <c r="AV92" i="2"/>
  <c r="CQ89" i="2"/>
  <c r="BL89" i="2"/>
  <c r="CR88" i="2"/>
  <c r="AU87" i="2"/>
  <c r="AF86" i="2"/>
  <c r="CZ86" i="2"/>
  <c r="BT80" i="2"/>
  <c r="X34" i="2"/>
  <c r="AU66" i="2"/>
  <c r="CY60" i="2"/>
  <c r="W56" i="2"/>
  <c r="P56" i="2"/>
  <c r="BC54" i="2"/>
  <c r="CJ53" i="2"/>
  <c r="AN51" i="2"/>
  <c r="AV48" i="2"/>
  <c r="BL46" i="2"/>
  <c r="BT73" i="2"/>
  <c r="AN73" i="2"/>
  <c r="CJ98" i="2"/>
  <c r="BT95" i="2"/>
  <c r="BC92" i="2"/>
  <c r="CB88" i="2"/>
  <c r="CY88" i="2"/>
  <c r="W73" i="2"/>
  <c r="BL73" i="2"/>
  <c r="AM82" i="2"/>
  <c r="BC70" i="2"/>
  <c r="W61" i="2"/>
  <c r="CZ76" i="2"/>
  <c r="AU55" i="2"/>
  <c r="X55" i="2"/>
  <c r="CY68" i="2"/>
  <c r="AU43" i="2"/>
  <c r="O98" i="2"/>
  <c r="CI98" i="2"/>
  <c r="AF95" i="2"/>
  <c r="AV93" i="2"/>
  <c r="CJ93" i="2"/>
  <c r="CQ92" i="2"/>
  <c r="BT89" i="2"/>
  <c r="O89" i="2"/>
  <c r="AV88" i="2"/>
  <c r="CJ86" i="2"/>
  <c r="CI86" i="2"/>
  <c r="AE66" i="2"/>
  <c r="CQ60" i="2"/>
  <c r="BT56" i="2"/>
  <c r="BS54" i="2"/>
  <c r="AF53" i="2"/>
  <c r="CI51" i="2"/>
  <c r="BT48" i="2"/>
  <c r="BT46" i="2"/>
  <c r="CA68" i="2"/>
  <c r="BK98" i="2"/>
  <c r="CZ98" i="2"/>
  <c r="CB92" i="2"/>
  <c r="CZ54" i="2"/>
  <c r="CZ51" i="2"/>
  <c r="CJ88" i="2"/>
  <c r="BS86" i="2"/>
  <c r="BK74" i="2"/>
  <c r="W62" i="2"/>
  <c r="X60" i="2"/>
  <c r="BD54" i="2"/>
  <c r="CJ54" i="2"/>
  <c r="AF51" i="2"/>
  <c r="P48" i="2"/>
  <c r="CI45" i="2"/>
  <c r="CI82" i="2"/>
  <c r="CB76" i="2"/>
  <c r="CR55" i="2"/>
  <c r="AU90" i="2"/>
  <c r="BL85" i="2"/>
  <c r="P68" i="2"/>
  <c r="P98" i="2"/>
  <c r="W98" i="2"/>
  <c r="AU73" i="2"/>
  <c r="P82" i="2"/>
  <c r="AF70" i="2"/>
  <c r="CI55" i="2"/>
  <c r="BC55" i="2"/>
  <c r="CY90" i="2"/>
  <c r="AU85" i="2"/>
  <c r="O68" i="2"/>
  <c r="BL98" i="2"/>
  <c r="AE96" i="2"/>
  <c r="BS95" i="2"/>
  <c r="CY93" i="2"/>
  <c r="BS92" i="2"/>
  <c r="AU91" i="2"/>
  <c r="CI89" i="2"/>
  <c r="CI88" i="2"/>
  <c r="AE88" i="2"/>
  <c r="CQ87" i="2"/>
  <c r="CQ86" i="2"/>
  <c r="BD86" i="2"/>
  <c r="AF83" i="2"/>
  <c r="BD74" i="2"/>
  <c r="AU62" i="2"/>
  <c r="CI60" i="2"/>
  <c r="BC56" i="2"/>
  <c r="BT54" i="2"/>
  <c r="CQ54" i="2"/>
  <c r="CY52" i="2"/>
  <c r="AU51" i="2"/>
  <c r="AN48" i="2"/>
  <c r="BC45" i="2"/>
  <c r="P62" i="2"/>
  <c r="AE54" i="2"/>
  <c r="CQ51" i="2"/>
  <c r="CR73" i="2"/>
  <c r="BS70" i="2"/>
  <c r="AV55" i="2"/>
  <c r="BL68" i="2"/>
  <c r="BK43" i="2"/>
  <c r="CA99" i="2"/>
  <c r="CY98" i="2"/>
  <c r="BD95" i="2"/>
  <c r="CQ95" i="2"/>
  <c r="X93" i="2"/>
  <c r="BK92" i="2"/>
  <c r="BC91" i="2"/>
  <c r="CR89" i="2"/>
  <c r="W88" i="2"/>
  <c r="AF88" i="2"/>
  <c r="AV86" i="2"/>
  <c r="BK86" i="2"/>
  <c r="CR83" i="2"/>
  <c r="BK62" i="2"/>
  <c r="AE59" i="2"/>
  <c r="AV56" i="2"/>
  <c r="AV54" i="2"/>
  <c r="BT53" i="2"/>
  <c r="AF52" i="2"/>
  <c r="CB51" i="2"/>
  <c r="AF48" i="2"/>
  <c r="X44" i="2"/>
  <c r="AF73" i="2"/>
  <c r="AE73" i="2"/>
  <c r="BC82" i="2"/>
  <c r="AE76" i="2"/>
  <c r="CQ55" i="2"/>
  <c r="CB73" i="2"/>
  <c r="CQ91" i="2"/>
  <c r="AU88" i="2"/>
  <c r="P88" i="2"/>
  <c r="O73" i="2"/>
  <c r="CR64" i="2"/>
  <c r="CJ71" i="2"/>
  <c r="CR70" i="2"/>
  <c r="CR76" i="2"/>
  <c r="BK55" i="2"/>
  <c r="BK73" i="2"/>
  <c r="X64" i="2"/>
  <c r="BK71" i="2"/>
  <c r="CY55" i="2"/>
  <c r="AF98" i="2"/>
  <c r="AN93" i="2"/>
  <c r="BL92" i="2"/>
  <c r="X91" i="2"/>
  <c r="AM88" i="2"/>
  <c r="AN88" i="2"/>
  <c r="P86" i="2"/>
  <c r="CB86" i="2"/>
  <c r="O62" i="2"/>
  <c r="CY59" i="2"/>
  <c r="X51" i="2"/>
  <c r="BS55" i="2"/>
  <c r="BC90" i="2"/>
  <c r="AE68" i="2"/>
  <c r="BC98" i="2"/>
  <c r="BC73" i="2"/>
  <c r="P64" i="2"/>
  <c r="AE71" i="2"/>
  <c r="P70" i="2"/>
  <c r="AU70" i="2"/>
  <c r="CJ76" i="2"/>
  <c r="CA55" i="2"/>
  <c r="P55" i="2"/>
  <c r="CZ69" i="2"/>
  <c r="BK81" i="2"/>
  <c r="CZ75" i="2"/>
  <c r="CB68" i="2"/>
  <c r="CJ43" i="2"/>
  <c r="CI99" i="2"/>
  <c r="CA98" i="2"/>
  <c r="W96" i="2"/>
  <c r="X95" i="2"/>
  <c r="CQ93" i="2"/>
  <c r="BS93" i="2"/>
  <c r="CR92" i="2"/>
  <c r="BK89" i="2"/>
  <c r="CA89" i="2"/>
  <c r="BS88" i="2"/>
  <c r="BL88" i="2"/>
  <c r="BL87" i="2"/>
  <c r="CY86" i="2"/>
  <c r="O86" i="2"/>
  <c r="CJ83" i="2"/>
  <c r="BT34" i="2"/>
  <c r="CY66" i="2"/>
  <c r="BL62" i="2"/>
  <c r="CQ59" i="2"/>
  <c r="AF54" i="2"/>
  <c r="AN53" i="2"/>
  <c r="BL51" i="2"/>
  <c r="O51" i="2"/>
  <c r="O41" i="2"/>
  <c r="CQ82" i="2"/>
  <c r="BK70" i="2"/>
  <c r="W76" i="2"/>
  <c r="AE55" i="2"/>
  <c r="CJ69" i="2"/>
  <c r="AV68" i="2"/>
  <c r="BD73" i="2"/>
  <c r="CY73" i="2"/>
  <c r="CJ64" i="2"/>
  <c r="X71" i="2"/>
  <c r="CI70" i="2"/>
  <c r="CQ70" i="2"/>
  <c r="AF76" i="2"/>
  <c r="CB55" i="2"/>
  <c r="CZ55" i="2"/>
  <c r="CQ69" i="2"/>
  <c r="CZ68" i="2"/>
  <c r="CY43" i="2"/>
  <c r="BT98" i="2"/>
  <c r="AV95" i="2"/>
  <c r="BT92" i="2"/>
  <c r="X88" i="2"/>
  <c r="BC88" i="2"/>
  <c r="W86" i="2"/>
  <c r="BL86" i="2"/>
  <c r="AN83" i="2"/>
  <c r="AF66" i="2"/>
  <c r="X59" i="2"/>
  <c r="CI54" i="2"/>
  <c r="AU53" i="2"/>
  <c r="AV51" i="2"/>
  <c r="CR47" i="2"/>
  <c r="BD79" i="2"/>
  <c r="CI77" i="2"/>
  <c r="CI65" i="2"/>
  <c r="AF65" i="2"/>
  <c r="AE65" i="2"/>
  <c r="CR65" i="2"/>
  <c r="BS65" i="2"/>
  <c r="BD65" i="2"/>
  <c r="BT65" i="2"/>
  <c r="BC65" i="2"/>
  <c r="CZ65" i="2"/>
  <c r="CJ65" i="2"/>
  <c r="AU65" i="2"/>
  <c r="CA65" i="2"/>
  <c r="BK65" i="2"/>
  <c r="AN65" i="2"/>
  <c r="AV65" i="2"/>
  <c r="CQ65" i="2"/>
  <c r="BL65" i="2"/>
  <c r="W65" i="2"/>
  <c r="CR77" i="2"/>
  <c r="CB72" i="2"/>
  <c r="BD72" i="2"/>
  <c r="BS72" i="2"/>
  <c r="BC72" i="2"/>
  <c r="CQ72" i="2"/>
  <c r="AM72" i="2"/>
  <c r="O72" i="2"/>
  <c r="W72" i="2"/>
  <c r="BL72" i="2"/>
  <c r="AV72" i="2"/>
  <c r="AE72" i="2"/>
  <c r="AF72" i="2"/>
  <c r="BK72" i="2"/>
  <c r="CA72" i="2"/>
  <c r="AU72" i="2"/>
  <c r="CR72" i="2"/>
  <c r="CJ72" i="2"/>
  <c r="CZ72" i="2"/>
  <c r="BT72" i="2"/>
  <c r="AN72" i="2"/>
  <c r="P72" i="2"/>
  <c r="CI79" i="2"/>
  <c r="CB79" i="2"/>
  <c r="CZ79" i="2"/>
  <c r="BS79" i="2"/>
  <c r="P65" i="2"/>
  <c r="X65" i="2"/>
  <c r="BK79" i="2"/>
  <c r="O79" i="2"/>
  <c r="AF79" i="2"/>
  <c r="CA79" i="2"/>
  <c r="CR79" i="2"/>
  <c r="CY79" i="2"/>
  <c r="W79" i="2"/>
  <c r="AN79" i="2"/>
  <c r="AV79" i="2"/>
  <c r="AM79" i="2"/>
  <c r="CJ79" i="2"/>
  <c r="BT79" i="2"/>
  <c r="X79" i="2"/>
  <c r="CB65" i="2"/>
  <c r="X72" i="2"/>
  <c r="CY72" i="2"/>
  <c r="P79" i="2"/>
  <c r="AM65" i="2"/>
  <c r="CI72" i="2"/>
  <c r="AU79" i="2"/>
  <c r="O65" i="2"/>
  <c r="CQ79" i="2"/>
  <c r="BC79" i="2"/>
  <c r="BL79" i="2"/>
  <c r="O77" i="2"/>
  <c r="AU77" i="2"/>
  <c r="AF77" i="2"/>
  <c r="CZ77" i="2"/>
  <c r="BS77" i="2"/>
  <c r="AV77" i="2"/>
  <c r="W77" i="2"/>
  <c r="BC77" i="2"/>
  <c r="BD77" i="2"/>
  <c r="CB77" i="2"/>
  <c r="X77" i="2"/>
  <c r="CJ77" i="2"/>
  <c r="BL77" i="2"/>
  <c r="BT77" i="2"/>
  <c r="BK77" i="2"/>
  <c r="AE77" i="2"/>
  <c r="CA77" i="2"/>
  <c r="CQ77" i="2"/>
  <c r="AM77" i="2"/>
  <c r="P77" i="2"/>
  <c r="AN77" i="2"/>
  <c r="AN64" i="2"/>
  <c r="O64" i="2"/>
  <c r="CQ78" i="2"/>
  <c r="CY71" i="2"/>
  <c r="AN71" i="2"/>
  <c r="CI71" i="2"/>
  <c r="CB82" i="2"/>
  <c r="AV82" i="2"/>
  <c r="X61" i="2"/>
  <c r="AE61" i="2"/>
  <c r="BD76" i="2"/>
  <c r="BT76" i="2"/>
  <c r="CB90" i="2"/>
  <c r="AM69" i="2"/>
  <c r="BD49" i="2"/>
  <c r="X49" i="2"/>
  <c r="AE49" i="2"/>
  <c r="AN49" i="2"/>
  <c r="CQ49" i="2"/>
  <c r="CZ49" i="2"/>
  <c r="BL49" i="2"/>
  <c r="AM49" i="2"/>
  <c r="BL97" i="2"/>
  <c r="CR97" i="2"/>
  <c r="BS97" i="2"/>
  <c r="AU97" i="2"/>
  <c r="W97" i="2"/>
  <c r="CI97" i="2"/>
  <c r="BK97" i="2"/>
  <c r="AF97" i="2"/>
  <c r="BD97" i="2"/>
  <c r="CJ97" i="2"/>
  <c r="CA97" i="2"/>
  <c r="BC97" i="2"/>
  <c r="BT97" i="2"/>
  <c r="AM97" i="2"/>
  <c r="AV97" i="2"/>
  <c r="P97" i="2"/>
  <c r="X97" i="2"/>
  <c r="AN97" i="2"/>
  <c r="CB97" i="2"/>
  <c r="O97" i="2"/>
  <c r="CZ97" i="2"/>
  <c r="CY97" i="2"/>
  <c r="AE97" i="2"/>
  <c r="AM84" i="2"/>
  <c r="X84" i="2"/>
  <c r="BT84" i="2"/>
  <c r="BL84" i="2"/>
  <c r="BC84" i="2"/>
  <c r="W84" i="2"/>
  <c r="CZ84" i="2"/>
  <c r="AU84" i="2"/>
  <c r="BD84" i="2"/>
  <c r="BS84" i="2"/>
  <c r="CA84" i="2"/>
  <c r="BK84" i="2"/>
  <c r="CI84" i="2"/>
  <c r="AF84" i="2"/>
  <c r="P84" i="2"/>
  <c r="CQ84" i="2"/>
  <c r="CR84" i="2"/>
  <c r="AV84" i="2"/>
  <c r="CY84" i="2"/>
  <c r="CJ84" i="2"/>
  <c r="CB84" i="2"/>
  <c r="AE84" i="2"/>
  <c r="O84" i="2"/>
  <c r="BK64" i="2"/>
  <c r="BD78" i="2"/>
  <c r="CI73" i="2"/>
  <c r="CJ73" i="2"/>
  <c r="BD64" i="2"/>
  <c r="CZ64" i="2"/>
  <c r="BC78" i="2"/>
  <c r="CI78" i="2"/>
  <c r="X63" i="2"/>
  <c r="BK63" i="2"/>
  <c r="BL71" i="2"/>
  <c r="BS73" i="2"/>
  <c r="X73" i="2"/>
  <c r="AE64" i="2"/>
  <c r="AM64" i="2"/>
  <c r="CZ78" i="2"/>
  <c r="CB78" i="2"/>
  <c r="CB63" i="2"/>
  <c r="BT63" i="2"/>
  <c r="AV71" i="2"/>
  <c r="CZ71" i="2"/>
  <c r="W82" i="2"/>
  <c r="CJ82" i="2"/>
  <c r="X70" i="2"/>
  <c r="CA70" i="2"/>
  <c r="CY61" i="2"/>
  <c r="BC61" i="2"/>
  <c r="BC76" i="2"/>
  <c r="AN76" i="2"/>
  <c r="W90" i="2"/>
  <c r="P69" i="2"/>
  <c r="AU49" i="2"/>
  <c r="BC49" i="2"/>
  <c r="CQ97" i="2"/>
  <c r="AN84" i="2"/>
  <c r="CQ73" i="2"/>
  <c r="W64" i="2"/>
  <c r="CI64" i="2"/>
  <c r="BS64" i="2"/>
  <c r="AF78" i="2"/>
  <c r="AN78" i="2"/>
  <c r="CQ63" i="2"/>
  <c r="CA63" i="2"/>
  <c r="AU71" i="2"/>
  <c r="CQ71" i="2"/>
  <c r="AN82" i="2"/>
  <c r="CY82" i="2"/>
  <c r="AE82" i="2"/>
  <c r="CY70" i="2"/>
  <c r="CZ70" i="2"/>
  <c r="BD61" i="2"/>
  <c r="CI61" i="2"/>
  <c r="BS76" i="2"/>
  <c r="AM76" i="2"/>
  <c r="AM90" i="2"/>
  <c r="CJ49" i="2"/>
  <c r="O49" i="2"/>
  <c r="CA64" i="2"/>
  <c r="CY78" i="2"/>
  <c r="X78" i="2"/>
  <c r="CI63" i="2"/>
  <c r="BC63" i="2"/>
  <c r="W71" i="2"/>
  <c r="BT71" i="2"/>
  <c r="BD71" i="2"/>
  <c r="BK82" i="2"/>
  <c r="BS61" i="2"/>
  <c r="CR61" i="2"/>
  <c r="BT90" i="2"/>
  <c r="CZ90" i="2"/>
  <c r="CI90" i="2"/>
  <c r="BK90" i="2"/>
  <c r="BS90" i="2"/>
  <c r="CB69" i="2"/>
  <c r="BL69" i="2"/>
  <c r="BC69" i="2"/>
  <c r="O69" i="2"/>
  <c r="AV69" i="2"/>
  <c r="BS69" i="2"/>
  <c r="BD69" i="2"/>
  <c r="BT49" i="2"/>
  <c r="BS49" i="2"/>
  <c r="CZ94" i="2"/>
  <c r="AE94" i="2"/>
  <c r="CA94" i="2"/>
  <c r="W94" i="2"/>
  <c r="X94" i="2"/>
  <c r="CQ94" i="2"/>
  <c r="CR94" i="2"/>
  <c r="AV94" i="2"/>
  <c r="AN94" i="2"/>
  <c r="CI94" i="2"/>
  <c r="CY94" i="2"/>
  <c r="P94" i="2"/>
  <c r="AU94" i="2"/>
  <c r="BD94" i="2"/>
  <c r="CB94" i="2"/>
  <c r="AF94" i="2"/>
  <c r="O94" i="2"/>
  <c r="BT94" i="2"/>
  <c r="BL94" i="2"/>
  <c r="BC94" i="2"/>
  <c r="BS94" i="2"/>
  <c r="CJ94" i="2"/>
  <c r="AM94" i="2"/>
  <c r="BD67" i="2"/>
  <c r="BL67" i="2"/>
  <c r="BS67" i="2"/>
  <c r="CJ67" i="2"/>
  <c r="CR67" i="2"/>
  <c r="W67" i="2"/>
  <c r="P67" i="2"/>
  <c r="AU67" i="2"/>
  <c r="CZ67" i="2"/>
  <c r="AF67" i="2"/>
  <c r="CI67" i="2"/>
  <c r="AM67" i="2"/>
  <c r="BC67" i="2"/>
  <c r="CA67" i="2"/>
  <c r="AV67" i="2"/>
  <c r="CB67" i="2"/>
  <c r="CY67" i="2"/>
  <c r="O67" i="2"/>
  <c r="X67" i="2"/>
  <c r="BK67" i="2"/>
  <c r="BT67" i="2"/>
  <c r="AE67" i="2"/>
  <c r="CQ67" i="2"/>
  <c r="O71" i="2"/>
  <c r="AU82" i="2"/>
  <c r="AF82" i="2"/>
  <c r="CJ70" i="2"/>
  <c r="CA61" i="2"/>
  <c r="CQ61" i="2"/>
  <c r="CJ61" i="2"/>
  <c r="AV76" i="2"/>
  <c r="BK76" i="2"/>
  <c r="CY76" i="2"/>
  <c r="AF55" i="2"/>
  <c r="BL55" i="2"/>
  <c r="P90" i="2"/>
  <c r="CQ90" i="2"/>
  <c r="X69" i="2"/>
  <c r="CY69" i="2"/>
  <c r="CR49" i="2"/>
  <c r="BK94" i="2"/>
  <c r="AN67" i="2"/>
  <c r="BL64" i="2"/>
  <c r="AM78" i="2"/>
  <c r="BD63" i="2"/>
  <c r="CJ63" i="2"/>
  <c r="CB71" i="2"/>
  <c r="CA71" i="2"/>
  <c r="CZ82" i="2"/>
  <c r="BL82" i="2"/>
  <c r="AU61" i="2"/>
  <c r="CA76" i="2"/>
  <c r="AN90" i="2"/>
  <c r="X90" i="2"/>
  <c r="BK69" i="2"/>
  <c r="AU69" i="2"/>
  <c r="AF49" i="2"/>
  <c r="W78" i="2"/>
  <c r="AU78" i="2"/>
  <c r="BT64" i="2"/>
  <c r="AV64" i="2"/>
  <c r="BK78" i="2"/>
  <c r="CZ73" i="2"/>
  <c r="CB64" i="2"/>
  <c r="CJ78" i="2"/>
  <c r="AE78" i="2"/>
  <c r="CR78" i="2"/>
  <c r="P63" i="2"/>
  <c r="CY63" i="2"/>
  <c r="BS71" i="2"/>
  <c r="BC71" i="2"/>
  <c r="X82" i="2"/>
  <c r="BD82" i="2"/>
  <c r="AV70" i="2"/>
  <c r="BD70" i="2"/>
  <c r="CB61" i="2"/>
  <c r="AF61" i="2"/>
  <c r="CQ76" i="2"/>
  <c r="CI76" i="2"/>
  <c r="CJ90" i="2"/>
  <c r="BL90" i="2"/>
  <c r="AF69" i="2"/>
  <c r="W69" i="2"/>
  <c r="CY49" i="2"/>
  <c r="BS78" i="2"/>
  <c r="AF63" i="2"/>
  <c r="AE63" i="2"/>
  <c r="AM71" i="2"/>
  <c r="CR71" i="2"/>
  <c r="CR82" i="2"/>
  <c r="BT82" i="2"/>
  <c r="AE70" i="2"/>
  <c r="O61" i="2"/>
  <c r="CZ61" i="2"/>
  <c r="X76" i="2"/>
  <c r="CR90" i="2"/>
  <c r="AE90" i="2"/>
  <c r="CI69" i="2"/>
  <c r="CA69" i="2"/>
  <c r="P49" i="2"/>
  <c r="O78" i="2"/>
  <c r="AF71" i="2"/>
  <c r="O82" i="2"/>
  <c r="BT61" i="2"/>
  <c r="AV90" i="2"/>
  <c r="BD90" i="2"/>
  <c r="AN69" i="2"/>
  <c r="CR69" i="2"/>
  <c r="BK49" i="2"/>
  <c r="CA90" i="2"/>
  <c r="AF90" i="2"/>
  <c r="AE69" i="2"/>
  <c r="AV49" i="2"/>
  <c r="CA49" i="2"/>
  <c r="CR85" i="2"/>
  <c r="AF85" i="2"/>
  <c r="CQ85" i="2"/>
  <c r="CY81" i="2"/>
  <c r="CA81" i="2"/>
  <c r="CB75" i="2"/>
  <c r="CJ75" i="2"/>
  <c r="CR68" i="2"/>
  <c r="BS68" i="2"/>
  <c r="AN43" i="2"/>
  <c r="BL43" i="2"/>
  <c r="BS99" i="2"/>
  <c r="AV99" i="2"/>
  <c r="CB96" i="2"/>
  <c r="AF96" i="2"/>
  <c r="W95" i="2"/>
  <c r="BC95" i="2"/>
  <c r="W92" i="2"/>
  <c r="O92" i="2"/>
  <c r="P91" i="2"/>
  <c r="AV91" i="2"/>
  <c r="CB83" i="2"/>
  <c r="AU80" i="2"/>
  <c r="CQ74" i="2"/>
  <c r="BC74" i="2"/>
  <c r="CR34" i="2"/>
  <c r="CJ85" i="2"/>
  <c r="CB80" i="2"/>
  <c r="BL80" i="2"/>
  <c r="P80" i="2"/>
  <c r="AM80" i="2"/>
  <c r="BD80" i="2"/>
  <c r="CZ74" i="2"/>
  <c r="CJ74" i="2"/>
  <c r="CI34" i="2"/>
  <c r="CZ85" i="2"/>
  <c r="CY85" i="2"/>
  <c r="BL81" i="2"/>
  <c r="CY99" i="2"/>
  <c r="BL99" i="2"/>
  <c r="W91" i="2"/>
  <c r="O80" i="2"/>
  <c r="CR80" i="2"/>
  <c r="BL58" i="2"/>
  <c r="CR58" i="2"/>
  <c r="BD58" i="2"/>
  <c r="CQ58" i="2"/>
  <c r="BS58" i="2"/>
  <c r="AE58" i="2"/>
  <c r="X58" i="2"/>
  <c r="CB58" i="2"/>
  <c r="P58" i="2"/>
  <c r="CI58" i="2"/>
  <c r="AV58" i="2"/>
  <c r="W58" i="2"/>
  <c r="BC58" i="2"/>
  <c r="AN58" i="2"/>
  <c r="CA58" i="2"/>
  <c r="CJ58" i="2"/>
  <c r="AU58" i="2"/>
  <c r="BK58" i="2"/>
  <c r="O58" i="2"/>
  <c r="AF58" i="2"/>
  <c r="CY58" i="2"/>
  <c r="AM58" i="2"/>
  <c r="O85" i="2"/>
  <c r="BS85" i="2"/>
  <c r="CQ81" i="2"/>
  <c r="BD81" i="2"/>
  <c r="AM75" i="2"/>
  <c r="CJ68" i="2"/>
  <c r="BD68" i="2"/>
  <c r="X68" i="2"/>
  <c r="O43" i="2"/>
  <c r="BC43" i="2"/>
  <c r="AM99" i="2"/>
  <c r="AN99" i="2"/>
  <c r="AM98" i="2"/>
  <c r="AV98" i="2"/>
  <c r="P96" i="2"/>
  <c r="AM96" i="2"/>
  <c r="BL95" i="2"/>
  <c r="O95" i="2"/>
  <c r="BK91" i="2"/>
  <c r="CB89" i="2"/>
  <c r="CZ89" i="2"/>
  <c r="P89" i="2"/>
  <c r="P87" i="2"/>
  <c r="BD87" i="2"/>
  <c r="CY83" i="2"/>
  <c r="AN80" i="2"/>
  <c r="AF80" i="2"/>
  <c r="AM74" i="2"/>
  <c r="BL74" i="2"/>
  <c r="BC34" i="2"/>
  <c r="CZ58" i="2"/>
  <c r="BK85" i="2"/>
  <c r="BC85" i="2"/>
  <c r="AV81" i="2"/>
  <c r="AE81" i="2"/>
  <c r="CQ68" i="2"/>
  <c r="CQ43" i="2"/>
  <c r="CR43" i="2"/>
  <c r="AE43" i="2"/>
  <c r="BT99" i="2"/>
  <c r="AM91" i="2"/>
  <c r="BD91" i="2"/>
  <c r="CB91" i="2"/>
  <c r="BD83" i="2"/>
  <c r="CI83" i="2"/>
  <c r="BT83" i="2"/>
  <c r="AM83" i="2"/>
  <c r="BL83" i="2"/>
  <c r="BC80" i="2"/>
  <c r="CA80" i="2"/>
  <c r="O74" i="2"/>
  <c r="CY74" i="2"/>
  <c r="AU34" i="2"/>
  <c r="CQ34" i="2"/>
  <c r="CJ34" i="2"/>
  <c r="AF34" i="2"/>
  <c r="W34" i="2"/>
  <c r="BT58" i="2"/>
  <c r="P85" i="2"/>
  <c r="BT85" i="2"/>
  <c r="CJ81" i="2"/>
  <c r="BS81" i="2"/>
  <c r="W43" i="2"/>
  <c r="AF99" i="2"/>
  <c r="P92" i="2"/>
  <c r="AN92" i="2"/>
  <c r="CY92" i="2"/>
  <c r="BS91" i="2"/>
  <c r="CI91" i="2"/>
  <c r="CZ83" i="2"/>
  <c r="P83" i="2"/>
  <c r="AE80" i="2"/>
  <c r="CI80" i="2"/>
  <c r="X74" i="2"/>
  <c r="CA74" i="2"/>
  <c r="BS34" i="2"/>
  <c r="AV57" i="2"/>
  <c r="W57" i="2"/>
  <c r="CA57" i="2"/>
  <c r="AU57" i="2"/>
  <c r="AN57" i="2"/>
  <c r="CR57" i="2"/>
  <c r="BL57" i="2"/>
  <c r="BK57" i="2"/>
  <c r="BS57" i="2"/>
  <c r="CJ57" i="2"/>
  <c r="CY57" i="2"/>
  <c r="P57" i="2"/>
  <c r="CB57" i="2"/>
  <c r="AM57" i="2"/>
  <c r="AF57" i="2"/>
  <c r="BC57" i="2"/>
  <c r="CZ57" i="2"/>
  <c r="AE57" i="2"/>
  <c r="X57" i="2"/>
  <c r="BT57" i="2"/>
  <c r="CI57" i="2"/>
  <c r="BD57" i="2"/>
  <c r="CQ57" i="2"/>
  <c r="AN85" i="2"/>
  <c r="CI85" i="2"/>
  <c r="W81" i="2"/>
  <c r="O81" i="2"/>
  <c r="CR75" i="2"/>
  <c r="AN75" i="2"/>
  <c r="BK68" i="2"/>
  <c r="AN68" i="2"/>
  <c r="CZ43" i="2"/>
  <c r="X43" i="2"/>
  <c r="W99" i="2"/>
  <c r="BK99" i="2"/>
  <c r="CB98" i="2"/>
  <c r="O96" i="2"/>
  <c r="CI96" i="2"/>
  <c r="BT93" i="2"/>
  <c r="CB93" i="2"/>
  <c r="O93" i="2"/>
  <c r="CJ92" i="2"/>
  <c r="AF92" i="2"/>
  <c r="AN91" i="2"/>
  <c r="CY91" i="2"/>
  <c r="BD89" i="2"/>
  <c r="BC89" i="2"/>
  <c r="AV87" i="2"/>
  <c r="CY87" i="2"/>
  <c r="BC83" i="2"/>
  <c r="BK83" i="2"/>
  <c r="BS80" i="2"/>
  <c r="W80" i="2"/>
  <c r="CR74" i="2"/>
  <c r="BD34" i="2"/>
  <c r="AV34" i="2"/>
  <c r="O57" i="2"/>
  <c r="AV85" i="2"/>
  <c r="BD85" i="2"/>
  <c r="AM81" i="2"/>
  <c r="CZ81" i="2"/>
  <c r="AE99" i="2"/>
  <c r="O99" i="2"/>
  <c r="CJ96" i="2"/>
  <c r="CI95" i="2"/>
  <c r="CR95" i="2"/>
  <c r="CA95" i="2"/>
  <c r="X92" i="2"/>
  <c r="CA92" i="2"/>
  <c r="O91" i="2"/>
  <c r="CJ91" i="2"/>
  <c r="AU83" i="2"/>
  <c r="X83" i="2"/>
  <c r="CZ80" i="2"/>
  <c r="X80" i="2"/>
  <c r="BT74" i="2"/>
  <c r="CA34" i="2"/>
  <c r="BL34" i="2"/>
  <c r="CB85" i="2"/>
  <c r="W85" i="2"/>
  <c r="AF81" i="2"/>
  <c r="BC81" i="2"/>
  <c r="CA75" i="2"/>
  <c r="CQ75" i="2"/>
  <c r="W68" i="2"/>
  <c r="BC68" i="2"/>
  <c r="BS43" i="2"/>
  <c r="CA43" i="2"/>
  <c r="CQ99" i="2"/>
  <c r="BC99" i="2"/>
  <c r="CR98" i="2"/>
  <c r="AN98" i="2"/>
  <c r="CZ96" i="2"/>
  <c r="BL96" i="2"/>
  <c r="CB95" i="2"/>
  <c r="CJ95" i="2"/>
  <c r="BK93" i="2"/>
  <c r="AM93" i="2"/>
  <c r="AE92" i="2"/>
  <c r="CI92" i="2"/>
  <c r="AE91" i="2"/>
  <c r="CR91" i="2"/>
  <c r="AU89" i="2"/>
  <c r="AN89" i="2"/>
  <c r="CA83" i="2"/>
  <c r="W83" i="2"/>
  <c r="CQ80" i="2"/>
  <c r="AF74" i="2"/>
  <c r="AM34" i="2"/>
  <c r="O34" i="2"/>
  <c r="CA85" i="2"/>
  <c r="AE85" i="2"/>
  <c r="X81" i="2"/>
  <c r="CI81" i="2"/>
  <c r="X99" i="2"/>
  <c r="CB99" i="2"/>
  <c r="CZ91" i="2"/>
  <c r="BT91" i="2"/>
  <c r="AV80" i="2"/>
  <c r="P74" i="2"/>
  <c r="CB74" i="2"/>
  <c r="W74" i="2"/>
  <c r="AU74" i="2"/>
  <c r="BS74" i="2"/>
  <c r="AM85" i="2"/>
  <c r="BT81" i="2"/>
  <c r="AE75" i="2"/>
  <c r="AM68" i="2"/>
  <c r="BD43" i="2"/>
  <c r="CZ99" i="2"/>
  <c r="AU98" i="2"/>
  <c r="BK96" i="2"/>
  <c r="CA96" i="2"/>
  <c r="P95" i="2"/>
  <c r="BK95" i="2"/>
  <c r="AU92" i="2"/>
  <c r="AM92" i="2"/>
  <c r="BL91" i="2"/>
  <c r="CA91" i="2"/>
  <c r="CJ87" i="2"/>
  <c r="CZ87" i="2"/>
  <c r="BT87" i="2"/>
  <c r="AF87" i="2"/>
  <c r="X87" i="2"/>
  <c r="CA87" i="2"/>
  <c r="AE83" i="2"/>
  <c r="O83" i="2"/>
  <c r="CY80" i="2"/>
  <c r="CI74" i="2"/>
  <c r="AN74" i="2"/>
  <c r="CZ34" i="2"/>
  <c r="BK34" i="2"/>
  <c r="CB66" i="2"/>
  <c r="AV66" i="2"/>
  <c r="AM66" i="2"/>
  <c r="CI62" i="2"/>
  <c r="AU60" i="2"/>
  <c r="AF60" i="2"/>
  <c r="BK60" i="2"/>
  <c r="AF59" i="2"/>
  <c r="BK59" i="2"/>
  <c r="BS53" i="2"/>
  <c r="BD52" i="2"/>
  <c r="AV52" i="2"/>
  <c r="BL47" i="2"/>
  <c r="AM47" i="2"/>
  <c r="AM46" i="2"/>
  <c r="BK45" i="2"/>
  <c r="BL45" i="2"/>
  <c r="CJ44" i="2"/>
  <c r="AU41" i="2"/>
  <c r="AN66" i="2"/>
  <c r="BT62" i="2"/>
  <c r="BS62" i="2"/>
  <c r="AV60" i="2"/>
  <c r="W59" i="2"/>
  <c r="BT59" i="2"/>
  <c r="CB59" i="2"/>
  <c r="BK53" i="2"/>
  <c r="CB53" i="2"/>
  <c r="CZ52" i="2"/>
  <c r="W52" i="2"/>
  <c r="BK47" i="2"/>
  <c r="AU46" i="2"/>
  <c r="CQ46" i="2"/>
  <c r="CQ45" i="2"/>
  <c r="AF44" i="2"/>
  <c r="CB44" i="2"/>
  <c r="CR41" i="2"/>
  <c r="AU59" i="2"/>
  <c r="CA52" i="2"/>
  <c r="W47" i="2"/>
  <c r="BD47" i="2"/>
  <c r="AV46" i="2"/>
  <c r="P45" i="2"/>
  <c r="W45" i="2"/>
  <c r="BT44" i="2"/>
  <c r="AV44" i="2"/>
  <c r="BT41" i="2"/>
  <c r="CJ47" i="2"/>
  <c r="X46" i="2"/>
  <c r="CR46" i="2"/>
  <c r="AE45" i="2"/>
  <c r="CR45" i="2"/>
  <c r="O44" i="2"/>
  <c r="CZ44" i="2"/>
  <c r="CY41" i="2"/>
  <c r="CI66" i="2"/>
  <c r="BS66" i="2"/>
  <c r="AF62" i="2"/>
  <c r="CZ62" i="2"/>
  <c r="BT60" i="2"/>
  <c r="CZ59" i="2"/>
  <c r="CA59" i="2"/>
  <c r="CR52" i="2"/>
  <c r="CZ48" i="2"/>
  <c r="O47" i="2"/>
  <c r="BT47" i="2"/>
  <c r="AE46" i="2"/>
  <c r="P46" i="2"/>
  <c r="BT45" i="2"/>
  <c r="AU45" i="2"/>
  <c r="BD44" i="2"/>
  <c r="P44" i="2"/>
  <c r="AF41" i="2"/>
  <c r="AE41" i="2"/>
  <c r="CA66" i="2"/>
  <c r="BK66" i="2"/>
  <c r="CA62" i="2"/>
  <c r="CQ62" i="2"/>
  <c r="W60" i="2"/>
  <c r="BD60" i="2"/>
  <c r="AV59" i="2"/>
  <c r="CI59" i="2"/>
  <c r="BS56" i="2"/>
  <c r="X56" i="2"/>
  <c r="X53" i="2"/>
  <c r="BD53" i="2"/>
  <c r="CQ52" i="2"/>
  <c r="AU52" i="2"/>
  <c r="P47" i="2"/>
  <c r="CI47" i="2"/>
  <c r="BS46" i="2"/>
  <c r="BC46" i="2"/>
  <c r="CZ45" i="2"/>
  <c r="AF45" i="2"/>
  <c r="CQ44" i="2"/>
  <c r="CY44" i="2"/>
  <c r="BD41" i="2"/>
  <c r="BT88" i="2"/>
  <c r="BL66" i="2"/>
  <c r="X66" i="2"/>
  <c r="BC62" i="2"/>
  <c r="AV62" i="2"/>
  <c r="P60" i="2"/>
  <c r="AM60" i="2"/>
  <c r="BC59" i="2"/>
  <c r="O59" i="2"/>
  <c r="CJ56" i="2"/>
  <c r="CA56" i="2"/>
  <c r="P54" i="2"/>
  <c r="CB54" i="2"/>
  <c r="CR53" i="2"/>
  <c r="BC53" i="2"/>
  <c r="CB52" i="2"/>
  <c r="BL52" i="2"/>
  <c r="AE51" i="2"/>
  <c r="W51" i="2"/>
  <c r="BC48" i="2"/>
  <c r="W48" i="2"/>
  <c r="BC47" i="2"/>
  <c r="AE47" i="2"/>
  <c r="BK46" i="2"/>
  <c r="AF46" i="2"/>
  <c r="BS45" i="2"/>
  <c r="O45" i="2"/>
  <c r="CR44" i="2"/>
  <c r="AU44" i="2"/>
  <c r="BS41" i="2"/>
  <c r="CQ41" i="2"/>
  <c r="W66" i="2"/>
  <c r="CZ66" i="2"/>
  <c r="CJ62" i="2"/>
  <c r="X62" i="2"/>
  <c r="O60" i="2"/>
  <c r="AN60" i="2"/>
  <c r="BD59" i="2"/>
  <c r="BS59" i="2"/>
  <c r="CB56" i="2"/>
  <c r="O56" i="2"/>
  <c r="W54" i="2"/>
  <c r="O54" i="2"/>
  <c r="CY53" i="2"/>
  <c r="AE53" i="2"/>
  <c r="AE52" i="2"/>
  <c r="BC52" i="2"/>
  <c r="P51" i="2"/>
  <c r="CB48" i="2"/>
  <c r="CA48" i="2"/>
  <c r="AN47" i="2"/>
  <c r="CB47" i="2"/>
  <c r="W46" i="2"/>
  <c r="CY46" i="2"/>
  <c r="BD45" i="2"/>
  <c r="AM45" i="2"/>
  <c r="BC44" i="2"/>
  <c r="W44" i="2"/>
  <c r="CJ41" i="2"/>
  <c r="AV41" i="2"/>
  <c r="O88" i="2"/>
  <c r="CR66" i="2"/>
  <c r="O66" i="2"/>
  <c r="AM62" i="2"/>
  <c r="CR62" i="2"/>
  <c r="BL60" i="2"/>
  <c r="CA60" i="2"/>
  <c r="BL59" i="2"/>
  <c r="AN59" i="2"/>
  <c r="CQ56" i="2"/>
  <c r="BD56" i="2"/>
  <c r="CR54" i="2"/>
  <c r="AN54" i="2"/>
  <c r="CI53" i="2"/>
  <c r="CZ53" i="2"/>
  <c r="AM52" i="2"/>
  <c r="BK52" i="2"/>
  <c r="BC51" i="2"/>
  <c r="BS51" i="2"/>
  <c r="AM48" i="2"/>
  <c r="BL48" i="2"/>
  <c r="CA47" i="2"/>
  <c r="X47" i="2"/>
  <c r="CA46" i="2"/>
  <c r="AN46" i="2"/>
  <c r="AV45" i="2"/>
  <c r="AN45" i="2"/>
  <c r="CI44" i="2"/>
  <c r="AE44" i="2"/>
  <c r="AN41" i="2"/>
  <c r="X41" i="2"/>
  <c r="CJ66" i="2"/>
  <c r="BD66" i="2"/>
  <c r="BD62" i="2"/>
  <c r="CB62" i="2"/>
  <c r="CZ60" i="2"/>
  <c r="BC60" i="2"/>
  <c r="P59" i="2"/>
  <c r="CJ59" i="2"/>
  <c r="CY56" i="2"/>
  <c r="AU54" i="2"/>
  <c r="AM54" i="2"/>
  <c r="BL54" i="2"/>
  <c r="AM53" i="2"/>
  <c r="BL53" i="2"/>
  <c r="BT52" i="2"/>
  <c r="AN52" i="2"/>
  <c r="CJ51" i="2"/>
  <c r="BK51" i="2"/>
  <c r="X48" i="2"/>
  <c r="CY48" i="2"/>
  <c r="BS47" i="2"/>
  <c r="CY47" i="2"/>
  <c r="CB46" i="2"/>
  <c r="BD46" i="2"/>
  <c r="CA45" i="2"/>
  <c r="X45" i="2"/>
  <c r="BL44" i="2"/>
  <c r="AM41" i="2"/>
  <c r="CQ66" i="2"/>
  <c r="AE62" i="2"/>
  <c r="CY62" i="2"/>
  <c r="AE60" i="2"/>
  <c r="AM59" i="2"/>
  <c r="AE56" i="2"/>
  <c r="P53" i="2"/>
  <c r="CQ53" i="2"/>
  <c r="P52" i="2"/>
  <c r="CY51" i="2"/>
  <c r="CJ48" i="2"/>
  <c r="CQ47" i="2"/>
  <c r="CZ46" i="2"/>
  <c r="BK44" i="2"/>
  <c r="G15" i="2"/>
  <c r="G16" i="2"/>
  <c r="G31" i="2"/>
  <c r="G10" i="2"/>
  <c r="G19" i="2"/>
  <c r="G20" i="2"/>
  <c r="G28" i="2"/>
  <c r="G38" i="2"/>
  <c r="G18" i="2"/>
  <c r="G21" i="2"/>
  <c r="G29" i="2"/>
  <c r="G39" i="2"/>
  <c r="G17" i="2"/>
  <c r="G22" i="2"/>
  <c r="G30" i="2"/>
  <c r="G13" i="2"/>
  <c r="G23" i="2"/>
  <c r="G100" i="2"/>
  <c r="G11" i="2"/>
  <c r="G40" i="2"/>
  <c r="G42" i="2"/>
  <c r="G32" i="2"/>
  <c r="G9" i="2"/>
  <c r="CJ9" i="2" s="1"/>
  <c r="G14" i="2"/>
  <c r="G24" i="2"/>
  <c r="G33" i="2"/>
  <c r="G25" i="2"/>
  <c r="G35" i="2"/>
  <c r="G12" i="2"/>
  <c r="G26" i="2"/>
  <c r="G36" i="2"/>
  <c r="G27" i="2"/>
  <c r="G37" i="2"/>
  <c r="G50" i="2"/>
  <c r="CI52" i="2"/>
  <c r="CJ52" i="2"/>
  <c r="BD51" i="2"/>
  <c r="AM51" i="2"/>
  <c r="AE48" i="2"/>
  <c r="CQ48" i="2"/>
  <c r="AU48" i="2"/>
  <c r="AV47" i="2"/>
  <c r="AF47" i="2"/>
  <c r="CJ46" i="2"/>
  <c r="CI46" i="2"/>
  <c r="CJ45" i="2"/>
  <c r="CB45" i="2"/>
  <c r="AM44" i="2"/>
  <c r="BS44" i="2"/>
  <c r="AN44" i="2"/>
  <c r="BK41" i="2"/>
  <c r="CI41" i="2"/>
  <c r="CZ41" i="2"/>
  <c r="CB41" i="2"/>
  <c r="BC41" i="2"/>
  <c r="P41" i="2"/>
  <c r="W41" i="2"/>
  <c r="BL41" i="2"/>
  <c r="AE50" i="2" l="1"/>
  <c r="W50" i="2"/>
  <c r="CJ50" i="2"/>
  <c r="BC50" i="2"/>
  <c r="BD50" i="2"/>
  <c r="CB50" i="2"/>
  <c r="BK50" i="2"/>
  <c r="CI50" i="2"/>
  <c r="BT50" i="2"/>
  <c r="AF50" i="2"/>
  <c r="O50" i="2"/>
  <c r="AM50" i="2"/>
  <c r="AV50" i="2"/>
  <c r="CR50" i="2"/>
  <c r="BS50" i="2"/>
  <c r="P50" i="2"/>
  <c r="AN50" i="2"/>
  <c r="CZ50" i="2"/>
  <c r="BL50" i="2"/>
  <c r="CQ50" i="2"/>
  <c r="CY50" i="2"/>
  <c r="CA50" i="2"/>
  <c r="AU50" i="2"/>
  <c r="X50" i="2"/>
  <c r="AE39" i="2"/>
  <c r="AU39" i="2"/>
  <c r="BK39" i="2"/>
  <c r="CY39" i="2"/>
  <c r="AM39" i="2"/>
  <c r="CJ42" i="2"/>
  <c r="AV42" i="2"/>
  <c r="P42" i="2"/>
  <c r="AU42" i="2"/>
  <c r="BK42" i="2"/>
  <c r="BL42" i="2"/>
  <c r="CI42" i="2"/>
  <c r="BD42" i="2"/>
  <c r="BS42" i="2"/>
  <c r="CZ42" i="2"/>
  <c r="O42" i="2"/>
  <c r="X42" i="2"/>
  <c r="BT42" i="2"/>
  <c r="AF42" i="2"/>
  <c r="CB42" i="2"/>
  <c r="CA42" i="2"/>
  <c r="BC42" i="2"/>
  <c r="CJ40" i="2"/>
  <c r="CY40" i="2"/>
  <c r="X40" i="2"/>
  <c r="AV40" i="2"/>
  <c r="AM40" i="2"/>
  <c r="CA40" i="2"/>
  <c r="BT40" i="2"/>
  <c r="BS40" i="2"/>
  <c r="W40" i="2"/>
  <c r="AF40" i="2"/>
  <c r="CB40" i="2"/>
  <c r="O40" i="2"/>
  <c r="AE37" i="2"/>
  <c r="BL37" i="2"/>
  <c r="CY37" i="2"/>
  <c r="BC37" i="2"/>
  <c r="CB37" i="2"/>
  <c r="AF37" i="2"/>
  <c r="X37" i="2"/>
  <c r="CJ37" i="2"/>
  <c r="AM37" i="2"/>
  <c r="CR37" i="2"/>
  <c r="O37" i="2"/>
  <c r="AU37" i="2"/>
  <c r="BK37" i="2"/>
  <c r="BD37" i="2"/>
  <c r="AN37" i="2"/>
  <c r="CI37" i="2"/>
  <c r="AV37" i="2"/>
  <c r="W37" i="2"/>
  <c r="CZ37" i="2"/>
  <c r="CQ37" i="2"/>
  <c r="BT37" i="2"/>
  <c r="BS37" i="2"/>
  <c r="CA37" i="2"/>
  <c r="P37" i="2"/>
  <c r="AN27" i="2"/>
  <c r="CQ27" i="2"/>
  <c r="W27" i="2"/>
  <c r="X27" i="2"/>
  <c r="CB27" i="2"/>
  <c r="CI27" i="2"/>
  <c r="AM27" i="2"/>
  <c r="CY27" i="2"/>
  <c r="CJ27" i="2"/>
  <c r="O27" i="2"/>
  <c r="CZ27" i="2"/>
  <c r="BL27" i="2"/>
  <c r="BS27" i="2"/>
  <c r="BC27" i="2"/>
  <c r="AV27" i="2"/>
  <c r="BT27" i="2"/>
  <c r="P27" i="2"/>
  <c r="CA27" i="2"/>
  <c r="AE27" i="2"/>
  <c r="AU27" i="2"/>
  <c r="CR27" i="2"/>
  <c r="BD27" i="2"/>
  <c r="AF27" i="2"/>
  <c r="BK27" i="2"/>
  <c r="AF36" i="2"/>
  <c r="BC36" i="2"/>
  <c r="CA36" i="2"/>
  <c r="AN36" i="2"/>
  <c r="CY36" i="2"/>
  <c r="BD36" i="2"/>
  <c r="BK36" i="2"/>
  <c r="CQ36" i="2"/>
  <c r="AM36" i="2"/>
  <c r="X36" i="2"/>
  <c r="AU36" i="2"/>
  <c r="O36" i="2"/>
  <c r="CZ36" i="2"/>
  <c r="BS36" i="2"/>
  <c r="AE36" i="2"/>
  <c r="CB36" i="2"/>
  <c r="CR36" i="2"/>
  <c r="BL36" i="2"/>
  <c r="W36" i="2"/>
  <c r="BT36" i="2"/>
  <c r="AV36" i="2"/>
  <c r="CI36" i="2"/>
  <c r="CJ36" i="2"/>
  <c r="P36" i="2"/>
  <c r="BC26" i="2"/>
  <c r="BD26" i="2"/>
  <c r="CJ26" i="2"/>
  <c r="P26" i="2"/>
  <c r="AM26" i="2"/>
  <c r="O26" i="2"/>
  <c r="CQ26" i="2"/>
  <c r="X26" i="2"/>
  <c r="W26" i="2"/>
  <c r="BL26" i="2"/>
  <c r="CY26" i="2"/>
  <c r="AV26" i="2"/>
  <c r="AN26" i="2"/>
  <c r="CZ26" i="2"/>
  <c r="CI26" i="2"/>
  <c r="BT26" i="2"/>
  <c r="BK26" i="2"/>
  <c r="BS26" i="2"/>
  <c r="AF26" i="2"/>
  <c r="CA26" i="2"/>
  <c r="AE26" i="2"/>
  <c r="CB26" i="2"/>
  <c r="CR26" i="2"/>
  <c r="AU26" i="2"/>
  <c r="CA12" i="2"/>
  <c r="CJ12" i="2"/>
  <c r="CB12" i="2"/>
  <c r="BD12" i="2"/>
  <c r="BC12" i="2"/>
  <c r="AE12" i="2"/>
  <c r="BL12" i="2"/>
  <c r="AM12" i="2"/>
  <c r="CY12" i="2"/>
  <c r="X12" i="2"/>
  <c r="P12" i="2"/>
  <c r="O12" i="2"/>
  <c r="BS12" i="2"/>
  <c r="CZ12" i="2"/>
  <c r="CR12" i="2"/>
  <c r="CI12" i="2"/>
  <c r="AN12" i="2"/>
  <c r="BK12" i="2"/>
  <c r="W12" i="2"/>
  <c r="CQ12" i="2"/>
  <c r="AF12" i="2"/>
  <c r="BT12" i="2"/>
  <c r="AV12" i="2"/>
  <c r="AU12" i="2"/>
  <c r="CB35" i="2"/>
  <c r="BS35" i="2"/>
  <c r="BT35" i="2"/>
  <c r="W35" i="2"/>
  <c r="CQ35" i="2"/>
  <c r="AE35" i="2"/>
  <c r="AU35" i="2"/>
  <c r="AF35" i="2"/>
  <c r="AN35" i="2"/>
  <c r="AV35" i="2"/>
  <c r="BL35" i="2"/>
  <c r="X35" i="2"/>
  <c r="BC35" i="2"/>
  <c r="CI35" i="2"/>
  <c r="O35" i="2"/>
  <c r="CZ35" i="2"/>
  <c r="BK35" i="2"/>
  <c r="CR35" i="2"/>
  <c r="BD35" i="2"/>
  <c r="CY35" i="2"/>
  <c r="P35" i="2"/>
  <c r="AM35" i="2"/>
  <c r="CJ35" i="2"/>
  <c r="CA35" i="2"/>
  <c r="BS25" i="2"/>
  <c r="AF25" i="2"/>
  <c r="BL25" i="2"/>
  <c r="AE25" i="2"/>
  <c r="CQ25" i="2"/>
  <c r="AM25" i="2"/>
  <c r="AU25" i="2"/>
  <c r="BC25" i="2"/>
  <c r="CA25" i="2"/>
  <c r="AV25" i="2"/>
  <c r="P25" i="2"/>
  <c r="CI25" i="2"/>
  <c r="BK25" i="2"/>
  <c r="BT25" i="2"/>
  <c r="CR25" i="2"/>
  <c r="O25" i="2"/>
  <c r="CZ25" i="2"/>
  <c r="CB25" i="2"/>
  <c r="CY25" i="2"/>
  <c r="W25" i="2"/>
  <c r="X25" i="2"/>
  <c r="BD25" i="2"/>
  <c r="AN25" i="2"/>
  <c r="CJ25" i="2"/>
  <c r="X33" i="2"/>
  <c r="CJ33" i="2"/>
  <c r="BK33" i="2"/>
  <c r="AU33" i="2"/>
  <c r="BS33" i="2"/>
  <c r="CR33" i="2"/>
  <c r="AM33" i="2"/>
  <c r="BC33" i="2"/>
  <c r="AF33" i="2"/>
  <c r="CA33" i="2"/>
  <c r="W33" i="2"/>
  <c r="CB33" i="2"/>
  <c r="CY33" i="2"/>
  <c r="O33" i="2"/>
  <c r="BT33" i="2"/>
  <c r="CZ33" i="2"/>
  <c r="AN33" i="2"/>
  <c r="AE33" i="2"/>
  <c r="AV33" i="2"/>
  <c r="CQ33" i="2"/>
  <c r="BD33" i="2"/>
  <c r="P33" i="2"/>
  <c r="CI33" i="2"/>
  <c r="BL33" i="2"/>
  <c r="CA24" i="2"/>
  <c r="CB24" i="2"/>
  <c r="AF24" i="2"/>
  <c r="BC24" i="2"/>
  <c r="BT24" i="2"/>
  <c r="CQ24" i="2"/>
  <c r="CR24" i="2"/>
  <c r="X24" i="2"/>
  <c r="BK24" i="2"/>
  <c r="W24" i="2"/>
  <c r="CJ24" i="2"/>
  <c r="BD24" i="2"/>
  <c r="BS24" i="2"/>
  <c r="AE24" i="2"/>
  <c r="CI24" i="2"/>
  <c r="O24" i="2"/>
  <c r="P24" i="2"/>
  <c r="AN24" i="2"/>
  <c r="BL24" i="2"/>
  <c r="AV24" i="2"/>
  <c r="CY24" i="2"/>
  <c r="CZ24" i="2"/>
  <c r="AM24" i="2"/>
  <c r="AU24" i="2"/>
  <c r="CR14" i="2"/>
  <c r="CJ14" i="2"/>
  <c r="O14" i="2"/>
  <c r="BK14" i="2"/>
  <c r="X14" i="2"/>
  <c r="CQ14" i="2"/>
  <c r="AV14" i="2"/>
  <c r="P14" i="2"/>
  <c r="CZ14" i="2"/>
  <c r="AM14" i="2"/>
  <c r="AF14" i="2"/>
  <c r="BL14" i="2"/>
  <c r="CI14" i="2"/>
  <c r="CY14" i="2"/>
  <c r="W14" i="2"/>
  <c r="BS14" i="2"/>
  <c r="BT14" i="2"/>
  <c r="BC14" i="2"/>
  <c r="AU14" i="2"/>
  <c r="CA14" i="2"/>
  <c r="AE14" i="2"/>
  <c r="CB14" i="2"/>
  <c r="BD14" i="2"/>
  <c r="AN14" i="2"/>
  <c r="CB9" i="2"/>
  <c r="BL9" i="2"/>
  <c r="X9" i="2"/>
  <c r="CQ9" i="2"/>
  <c r="CA9" i="2"/>
  <c r="CY9" i="2"/>
  <c r="AV9" i="2"/>
  <c r="BT9" i="2"/>
  <c r="AF9" i="2"/>
  <c r="AM9" i="2"/>
  <c r="BS9" i="2"/>
  <c r="P9" i="2"/>
  <c r="AE9" i="2"/>
  <c r="CR9" i="2"/>
  <c r="CZ9" i="2"/>
  <c r="BK9" i="2"/>
  <c r="AN9" i="2"/>
  <c r="BD9" i="2"/>
  <c r="AU9" i="2"/>
  <c r="W9" i="2"/>
  <c r="O9" i="2"/>
  <c r="BC9" i="2"/>
  <c r="CI9" i="2"/>
  <c r="AU32" i="2"/>
  <c r="CB32" i="2"/>
  <c r="O32" i="2"/>
  <c r="BL32" i="2"/>
  <c r="BS32" i="2"/>
  <c r="AN32" i="2"/>
  <c r="AM32" i="2"/>
  <c r="BT32" i="2"/>
  <c r="BD32" i="2"/>
  <c r="CR32" i="2"/>
  <c r="BC32" i="2"/>
  <c r="AV32" i="2"/>
  <c r="AF32" i="2"/>
  <c r="P32" i="2"/>
  <c r="BK32" i="2"/>
  <c r="CI32" i="2"/>
  <c r="CJ32" i="2"/>
  <c r="CY32" i="2"/>
  <c r="AE32" i="2"/>
  <c r="W32" i="2"/>
  <c r="CA32" i="2"/>
  <c r="CZ32" i="2"/>
  <c r="X32" i="2"/>
  <c r="CQ32" i="2"/>
  <c r="CQ42" i="2"/>
  <c r="AE42" i="2"/>
  <c r="CY42" i="2"/>
  <c r="AN42" i="2"/>
  <c r="AM42" i="2"/>
  <c r="CR42" i="2"/>
  <c r="W42" i="2"/>
  <c r="CQ40" i="2"/>
  <c r="AU40" i="2"/>
  <c r="CZ40" i="2"/>
  <c r="BC40" i="2"/>
  <c r="BK40" i="2"/>
  <c r="BL40" i="2"/>
  <c r="CR40" i="2"/>
  <c r="AE40" i="2"/>
  <c r="AN40" i="2"/>
  <c r="CI40" i="2"/>
  <c r="BD40" i="2"/>
  <c r="P40" i="2"/>
  <c r="P11" i="2"/>
  <c r="O11" i="2"/>
  <c r="BT11" i="2"/>
  <c r="BD11" i="2"/>
  <c r="AN11" i="2"/>
  <c r="CZ11" i="2"/>
  <c r="BC11" i="2"/>
  <c r="CA11" i="2"/>
  <c r="BL11" i="2"/>
  <c r="W11" i="2"/>
  <c r="CQ11" i="2"/>
  <c r="CB11" i="2"/>
  <c r="AU11" i="2"/>
  <c r="AV11" i="2"/>
  <c r="CY11" i="2"/>
  <c r="CR11" i="2"/>
  <c r="BK11" i="2"/>
  <c r="AF11" i="2"/>
  <c r="CJ11" i="2"/>
  <c r="BS11" i="2"/>
  <c r="AM11" i="2"/>
  <c r="AE11" i="2"/>
  <c r="CI11" i="2"/>
  <c r="X11" i="2"/>
  <c r="BS100" i="2"/>
  <c r="CZ100" i="2"/>
  <c r="AN100" i="2"/>
  <c r="BC100" i="2"/>
  <c r="AF100" i="2"/>
  <c r="CI100" i="2"/>
  <c r="BT100" i="2"/>
  <c r="X100" i="2"/>
  <c r="AU100" i="2"/>
  <c r="CJ100" i="2"/>
  <c r="CB100" i="2"/>
  <c r="CQ100" i="2"/>
  <c r="P100" i="2"/>
  <c r="CR100" i="2"/>
  <c r="BD100" i="2"/>
  <c r="W100" i="2"/>
  <c r="CY100" i="2"/>
  <c r="O100" i="2"/>
  <c r="CA100" i="2"/>
  <c r="BL100" i="2"/>
  <c r="AE100" i="2"/>
  <c r="AV100" i="2"/>
  <c r="BK100" i="2"/>
  <c r="AM100" i="2"/>
  <c r="W23" i="2"/>
  <c r="BC23" i="2"/>
  <c r="BD23" i="2"/>
  <c r="BK23" i="2"/>
  <c r="AV23" i="2"/>
  <c r="AE23" i="2"/>
  <c r="CR23" i="2"/>
  <c r="CY23" i="2"/>
  <c r="BS23" i="2"/>
  <c r="CQ23" i="2"/>
  <c r="AN23" i="2"/>
  <c r="CI23" i="2"/>
  <c r="P23" i="2"/>
  <c r="CB23" i="2"/>
  <c r="CZ23" i="2"/>
  <c r="BL23" i="2"/>
  <c r="CA23" i="2"/>
  <c r="X23" i="2"/>
  <c r="O23" i="2"/>
  <c r="CJ23" i="2"/>
  <c r="AF23" i="2"/>
  <c r="AU23" i="2"/>
  <c r="BT23" i="2"/>
  <c r="AM23" i="2"/>
  <c r="AE13" i="2"/>
  <c r="BC13" i="2"/>
  <c r="W13" i="2"/>
  <c r="BL13" i="2"/>
  <c r="BT13" i="2"/>
  <c r="CR13" i="2"/>
  <c r="O13" i="2"/>
  <c r="CZ13" i="2"/>
  <c r="CY13" i="2"/>
  <c r="BD13" i="2"/>
  <c r="BK13" i="2"/>
  <c r="CI13" i="2"/>
  <c r="CJ13" i="2"/>
  <c r="X13" i="2"/>
  <c r="AU13" i="2"/>
  <c r="AF13" i="2"/>
  <c r="BS13" i="2"/>
  <c r="AM13" i="2"/>
  <c r="AN13" i="2"/>
  <c r="CQ13" i="2"/>
  <c r="P13" i="2"/>
  <c r="CA13" i="2"/>
  <c r="CB13" i="2"/>
  <c r="AV13" i="2"/>
  <c r="CI30" i="2"/>
  <c r="CB30" i="2"/>
  <c r="BK30" i="2"/>
  <c r="BL30" i="2"/>
  <c r="X30" i="2"/>
  <c r="P30" i="2"/>
  <c r="AE30" i="2"/>
  <c r="AN30" i="2"/>
  <c r="BT30" i="2"/>
  <c r="O30" i="2"/>
  <c r="CQ30" i="2"/>
  <c r="AM30" i="2"/>
  <c r="BD30" i="2"/>
  <c r="AV30" i="2"/>
  <c r="BC30" i="2"/>
  <c r="CY30" i="2"/>
  <c r="CJ30" i="2"/>
  <c r="AF30" i="2"/>
  <c r="CZ30" i="2"/>
  <c r="BS30" i="2"/>
  <c r="CA30" i="2"/>
  <c r="AU30" i="2"/>
  <c r="CR30" i="2"/>
  <c r="W30" i="2"/>
  <c r="CR22" i="2"/>
  <c r="P22" i="2"/>
  <c r="CJ22" i="2"/>
  <c r="BK22" i="2"/>
  <c r="AF22" i="2"/>
  <c r="BT22" i="2"/>
  <c r="CQ22" i="2"/>
  <c r="BS22" i="2"/>
  <c r="X22" i="2"/>
  <c r="AN22" i="2"/>
  <c r="CZ22" i="2"/>
  <c r="BC22" i="2"/>
  <c r="BD22" i="2"/>
  <c r="CA22" i="2"/>
  <c r="O22" i="2"/>
  <c r="CB22" i="2"/>
  <c r="W22" i="2"/>
  <c r="AU22" i="2"/>
  <c r="CI22" i="2"/>
  <c r="BL22" i="2"/>
  <c r="CY22" i="2"/>
  <c r="AM22" i="2"/>
  <c r="AV22" i="2"/>
  <c r="AE22" i="2"/>
  <c r="CA17" i="2"/>
  <c r="CJ17" i="2"/>
  <c r="AN17" i="2"/>
  <c r="AV17" i="2"/>
  <c r="AF17" i="2"/>
  <c r="AE17" i="2"/>
  <c r="CI17" i="2"/>
  <c r="BK17" i="2"/>
  <c r="BS17" i="2"/>
  <c r="BL17" i="2"/>
  <c r="AU17" i="2"/>
  <c r="CR17" i="2"/>
  <c r="BD17" i="2"/>
  <c r="BC17" i="2"/>
  <c r="P17" i="2"/>
  <c r="W17" i="2"/>
  <c r="AM17" i="2"/>
  <c r="BT17" i="2"/>
  <c r="X17" i="2"/>
  <c r="O17" i="2"/>
  <c r="CQ17" i="2"/>
  <c r="CB17" i="2"/>
  <c r="CZ17" i="2"/>
  <c r="CY17" i="2"/>
  <c r="W39" i="2"/>
  <c r="CB39" i="2"/>
  <c r="X39" i="2"/>
  <c r="CJ39" i="2"/>
  <c r="BT39" i="2"/>
  <c r="AV39" i="2"/>
  <c r="AN39" i="2"/>
  <c r="O39" i="2"/>
  <c r="BD39" i="2"/>
  <c r="BC39" i="2"/>
  <c r="CR39" i="2"/>
  <c r="BL39" i="2"/>
  <c r="CZ39" i="2"/>
  <c r="P39" i="2"/>
  <c r="CQ39" i="2"/>
  <c r="CI39" i="2"/>
  <c r="BS39" i="2"/>
  <c r="CA39" i="2"/>
  <c r="AF39" i="2"/>
  <c r="BL29" i="2"/>
  <c r="O29" i="2"/>
  <c r="AV29" i="2"/>
  <c r="CR29" i="2"/>
  <c r="CY29" i="2"/>
  <c r="CJ29" i="2"/>
  <c r="BK29" i="2"/>
  <c r="CQ29" i="2"/>
  <c r="BS29" i="2"/>
  <c r="X29" i="2"/>
  <c r="CB29" i="2"/>
  <c r="AN29" i="2"/>
  <c r="CI29" i="2"/>
  <c r="AU29" i="2"/>
  <c r="BT29" i="2"/>
  <c r="AE29" i="2"/>
  <c r="CZ29" i="2"/>
  <c r="AM29" i="2"/>
  <c r="P29" i="2"/>
  <c r="W29" i="2"/>
  <c r="BC29" i="2"/>
  <c r="AF29" i="2"/>
  <c r="BD29" i="2"/>
  <c r="CA29" i="2"/>
  <c r="P21" i="2"/>
  <c r="X21" i="2"/>
  <c r="W21" i="2"/>
  <c r="BK21" i="2"/>
  <c r="AN21" i="2"/>
  <c r="CB21" i="2"/>
  <c r="AF21" i="2"/>
  <c r="O21" i="2"/>
  <c r="CI21" i="2"/>
  <c r="BT21" i="2"/>
  <c r="CR21" i="2"/>
  <c r="BD21" i="2"/>
  <c r="CZ21" i="2"/>
  <c r="CQ21" i="2"/>
  <c r="BC21" i="2"/>
  <c r="BL21" i="2"/>
  <c r="AU21" i="2"/>
  <c r="BS21" i="2"/>
  <c r="AM21" i="2"/>
  <c r="CY21" i="2"/>
  <c r="AV21" i="2"/>
  <c r="AE21" i="2"/>
  <c r="CJ21" i="2"/>
  <c r="CA21" i="2"/>
  <c r="BS18" i="2"/>
  <c r="CY18" i="2"/>
  <c r="W18" i="2"/>
  <c r="BT18" i="2"/>
  <c r="AN18" i="2"/>
  <c r="CA18" i="2"/>
  <c r="AU18" i="2"/>
  <c r="CR18" i="2"/>
  <c r="AE18" i="2"/>
  <c r="BL18" i="2"/>
  <c r="CI18" i="2"/>
  <c r="CB18" i="2"/>
  <c r="BK18" i="2"/>
  <c r="CQ18" i="2"/>
  <c r="P18" i="2"/>
  <c r="X18" i="2"/>
  <c r="BC18" i="2"/>
  <c r="BD18" i="2"/>
  <c r="CJ18" i="2"/>
  <c r="AV18" i="2"/>
  <c r="O18" i="2"/>
  <c r="AM18" i="2"/>
  <c r="AF18" i="2"/>
  <c r="CZ18" i="2"/>
  <c r="CY38" i="2"/>
  <c r="BL38" i="2"/>
  <c r="X38" i="2"/>
  <c r="BT38" i="2"/>
  <c r="CJ38" i="2"/>
  <c r="AU38" i="2"/>
  <c r="CQ38" i="2"/>
  <c r="P38" i="2"/>
  <c r="AV38" i="2"/>
  <c r="W38" i="2"/>
  <c r="BC38" i="2"/>
  <c r="CR38" i="2"/>
  <c r="AE38" i="2"/>
  <c r="BS38" i="2"/>
  <c r="O38" i="2"/>
  <c r="BK38" i="2"/>
  <c r="AF38" i="2"/>
  <c r="CA38" i="2"/>
  <c r="CI38" i="2"/>
  <c r="AN38" i="2"/>
  <c r="AM38" i="2"/>
  <c r="CB38" i="2"/>
  <c r="BD38" i="2"/>
  <c r="CZ38" i="2"/>
  <c r="AN28" i="2"/>
  <c r="CJ28" i="2"/>
  <c r="BS28" i="2"/>
  <c r="CB28" i="2"/>
  <c r="AF28" i="2"/>
  <c r="AV28" i="2"/>
  <c r="BL28" i="2"/>
  <c r="O28" i="2"/>
  <c r="AE28" i="2"/>
  <c r="W28" i="2"/>
  <c r="CZ28" i="2"/>
  <c r="CI28" i="2"/>
  <c r="CR28" i="2"/>
  <c r="BD28" i="2"/>
  <c r="CY28" i="2"/>
  <c r="AM28" i="2"/>
  <c r="P28" i="2"/>
  <c r="X28" i="2"/>
  <c r="AU28" i="2"/>
  <c r="BT28" i="2"/>
  <c r="CA28" i="2"/>
  <c r="CQ28" i="2"/>
  <c r="BK28" i="2"/>
  <c r="BC28" i="2"/>
  <c r="BD20" i="2"/>
  <c r="AE20" i="2"/>
  <c r="AN20" i="2"/>
  <c r="CR20" i="2"/>
  <c r="AV20" i="2"/>
  <c r="BL20" i="2"/>
  <c r="AF20" i="2"/>
  <c r="X20" i="2"/>
  <c r="CA20" i="2"/>
  <c r="BS20" i="2"/>
  <c r="AU20" i="2"/>
  <c r="O20" i="2"/>
  <c r="CI20" i="2"/>
  <c r="P20" i="2"/>
  <c r="CZ20" i="2"/>
  <c r="CB20" i="2"/>
  <c r="AM20" i="2"/>
  <c r="BC20" i="2"/>
  <c r="W20" i="2"/>
  <c r="CY20" i="2"/>
  <c r="BK20" i="2"/>
  <c r="BT20" i="2"/>
  <c r="CQ20" i="2"/>
  <c r="CJ20" i="2"/>
  <c r="O19" i="2"/>
  <c r="CB19" i="2"/>
  <c r="CQ19" i="2"/>
  <c r="AU19" i="2"/>
  <c r="AE19" i="2"/>
  <c r="BT19" i="2"/>
  <c r="X19" i="2"/>
  <c r="CY19" i="2"/>
  <c r="CA19" i="2"/>
  <c r="BL19" i="2"/>
  <c r="CI19" i="2"/>
  <c r="AF19" i="2"/>
  <c r="BD19" i="2"/>
  <c r="W19" i="2"/>
  <c r="BS19" i="2"/>
  <c r="AN19" i="2"/>
  <c r="AM19" i="2"/>
  <c r="CJ19" i="2"/>
  <c r="BC19" i="2"/>
  <c r="CR19" i="2"/>
  <c r="CZ19" i="2"/>
  <c r="P19" i="2"/>
  <c r="BK19" i="2"/>
  <c r="AV19" i="2"/>
  <c r="AU10" i="2"/>
  <c r="BL10" i="2"/>
  <c r="CZ10" i="2"/>
  <c r="X10" i="2"/>
  <c r="AM10" i="2"/>
  <c r="BK10" i="2"/>
  <c r="CI10" i="2"/>
  <c r="BS10" i="2"/>
  <c r="CJ10" i="2"/>
  <c r="CR10" i="2"/>
  <c r="CQ10" i="2"/>
  <c r="AF10" i="2"/>
  <c r="CA10" i="2"/>
  <c r="AV10" i="2"/>
  <c r="P10" i="2"/>
  <c r="AN10" i="2"/>
  <c r="BT10" i="2"/>
  <c r="O10" i="2"/>
  <c r="BD10" i="2"/>
  <c r="BC10" i="2"/>
  <c r="CY10" i="2"/>
  <c r="W10" i="2"/>
  <c r="AE10" i="2"/>
  <c r="CB10" i="2"/>
  <c r="AM31" i="2"/>
  <c r="AV31" i="2"/>
  <c r="AE31" i="2"/>
  <c r="BL31" i="2"/>
  <c r="O31" i="2"/>
  <c r="AN31" i="2"/>
  <c r="CR31" i="2"/>
  <c r="BD31" i="2"/>
  <c r="AF31" i="2"/>
  <c r="CB31" i="2"/>
  <c r="AU31" i="2"/>
  <c r="BT31" i="2"/>
  <c r="W31" i="2"/>
  <c r="CZ31" i="2"/>
  <c r="P31" i="2"/>
  <c r="BC31" i="2"/>
  <c r="CA31" i="2"/>
  <c r="CY31" i="2"/>
  <c r="BS31" i="2"/>
  <c r="X31" i="2"/>
  <c r="BK31" i="2"/>
  <c r="CJ31" i="2"/>
  <c r="CQ31" i="2"/>
  <c r="CI31" i="2"/>
  <c r="CI16" i="2"/>
  <c r="CA16" i="2"/>
  <c r="AV16" i="2"/>
  <c r="CR16" i="2"/>
  <c r="W16" i="2"/>
  <c r="AN16" i="2"/>
  <c r="BD16" i="2"/>
  <c r="CQ16" i="2"/>
  <c r="AM16" i="2"/>
  <c r="CJ16" i="2"/>
  <c r="BS16" i="2"/>
  <c r="CY16" i="2"/>
  <c r="O16" i="2"/>
  <c r="BK16" i="2"/>
  <c r="P16" i="2"/>
  <c r="AE16" i="2"/>
  <c r="AU16" i="2"/>
  <c r="AF16" i="2"/>
  <c r="BT16" i="2"/>
  <c r="BC16" i="2"/>
  <c r="CZ16" i="2"/>
  <c r="CB16" i="2"/>
  <c r="BL16" i="2"/>
  <c r="X16" i="2"/>
  <c r="P15" i="2"/>
  <c r="BK15" i="2"/>
  <c r="AU15" i="2"/>
  <c r="AN15" i="2"/>
  <c r="BT15" i="2"/>
  <c r="AM15" i="2"/>
  <c r="AF15" i="2"/>
  <c r="BL15" i="2"/>
  <c r="CB15" i="2"/>
  <c r="CR15" i="2"/>
  <c r="BS15" i="2"/>
  <c r="BC15" i="2"/>
  <c r="AV15" i="2"/>
  <c r="W15" i="2"/>
  <c r="CZ15" i="2"/>
  <c r="X15" i="2"/>
  <c r="AE15" i="2"/>
  <c r="CJ15" i="2"/>
  <c r="CA15" i="2"/>
  <c r="CI15" i="2"/>
  <c r="CQ15" i="2"/>
  <c r="CY15" i="2"/>
  <c r="O15" i="2"/>
  <c r="BD15" i="2"/>
  <c r="H5" i="3"/>
  <c r="H36" i="3"/>
  <c r="N36" i="3" s="1"/>
  <c r="P36" i="3" s="1"/>
  <c r="Q43" i="3"/>
  <c r="H75" i="3"/>
  <c r="Q17" i="3"/>
  <c r="Q26" i="3"/>
  <c r="H69" i="3"/>
  <c r="N69" i="3" s="1"/>
  <c r="P69" i="3" s="1"/>
  <c r="H42" i="3"/>
  <c r="H6" i="3"/>
  <c r="Q20" i="3"/>
  <c r="H83" i="3"/>
  <c r="Q61" i="3"/>
  <c r="H34" i="3"/>
  <c r="O34" i="3" s="1"/>
  <c r="Q94" i="3"/>
  <c r="Q29" i="3"/>
  <c r="H52" i="3"/>
  <c r="Q33" i="3"/>
  <c r="H19" i="3"/>
  <c r="Q60" i="3"/>
  <c r="H46" i="3"/>
  <c r="H64" i="3"/>
  <c r="N64" i="3" s="1"/>
  <c r="P64" i="3" s="1"/>
  <c r="Q48" i="3"/>
  <c r="H41" i="3"/>
  <c r="Q40" i="3"/>
  <c r="Q35" i="3"/>
  <c r="Q67" i="3"/>
  <c r="Q63" i="3"/>
  <c r="Q82" i="3"/>
  <c r="Q8" i="3"/>
  <c r="H14" i="3"/>
  <c r="H93" i="3"/>
  <c r="Q3" i="3"/>
  <c r="H4" i="3"/>
  <c r="Q12" i="3"/>
  <c r="H100" i="3"/>
  <c r="Q68" i="3"/>
  <c r="H45" i="3"/>
  <c r="Q74" i="3"/>
  <c r="H70" i="3"/>
  <c r="Q56" i="3"/>
  <c r="Q66" i="3"/>
  <c r="H23" i="3"/>
  <c r="H24" i="3"/>
  <c r="Q24" i="3"/>
  <c r="R24" i="3" l="1"/>
  <c r="H20" i="3"/>
  <c r="H76" i="3"/>
  <c r="H16" i="3"/>
  <c r="O16" i="3" s="1"/>
  <c r="Q38" i="3"/>
  <c r="Q42" i="3"/>
  <c r="H44" i="3"/>
  <c r="O44" i="3" s="1"/>
  <c r="Q83" i="3"/>
  <c r="R83" i="3" s="1"/>
  <c r="Q76" i="3"/>
  <c r="H29" i="3"/>
  <c r="H89" i="3"/>
  <c r="H96" i="3"/>
  <c r="Q75" i="3"/>
  <c r="R75" i="3" s="1"/>
  <c r="H66" i="3"/>
  <c r="O66" i="3" s="1"/>
  <c r="Q69" i="3"/>
  <c r="R69" i="3" s="1"/>
  <c r="Q5" i="3"/>
  <c r="R5" i="3" s="1"/>
  <c r="H87" i="3"/>
  <c r="R42" i="3"/>
  <c r="H88" i="3"/>
  <c r="H84" i="3"/>
  <c r="H99" i="3"/>
  <c r="H85" i="3"/>
  <c r="H50" i="3"/>
  <c r="O50" i="3" s="1"/>
  <c r="H49" i="3"/>
  <c r="Q37" i="3"/>
  <c r="H3" i="3"/>
  <c r="H10" i="3"/>
  <c r="H38" i="3"/>
  <c r="O38" i="3" s="1"/>
  <c r="H21" i="3"/>
  <c r="H61" i="3"/>
  <c r="R61" i="3" s="1"/>
  <c r="H56" i="3"/>
  <c r="R56" i="3" s="1"/>
  <c r="H37" i="3"/>
  <c r="Q36" i="3"/>
  <c r="R36" i="3" s="1"/>
  <c r="O36" i="3"/>
  <c r="H2" i="3"/>
  <c r="Q2" i="3"/>
  <c r="H97" i="3"/>
  <c r="Q97" i="3"/>
  <c r="Q53" i="3"/>
  <c r="H53" i="3"/>
  <c r="Q86" i="3"/>
  <c r="O4" i="3"/>
  <c r="N4" i="3"/>
  <c r="P4" i="3" s="1"/>
  <c r="Q58" i="3"/>
  <c r="H86" i="3"/>
  <c r="O45" i="3"/>
  <c r="N45" i="3"/>
  <c r="P45" i="3" s="1"/>
  <c r="N70" i="3"/>
  <c r="P70" i="3" s="1"/>
  <c r="O70" i="3"/>
  <c r="Q15" i="3"/>
  <c r="H15" i="3"/>
  <c r="C6" i="1"/>
  <c r="Q27" i="3"/>
  <c r="Q59" i="3"/>
  <c r="H59" i="3"/>
  <c r="H81" i="3"/>
  <c r="Q87" i="3"/>
  <c r="R87" i="3" s="1"/>
  <c r="Q85" i="3"/>
  <c r="Q70" i="3"/>
  <c r="R70" i="3" s="1"/>
  <c r="Q54" i="3"/>
  <c r="H54" i="3"/>
  <c r="H71" i="3"/>
  <c r="H65" i="3"/>
  <c r="O65" i="3" s="1"/>
  <c r="Q65" i="3"/>
  <c r="Q78" i="3"/>
  <c r="H78" i="3"/>
  <c r="H80" i="3"/>
  <c r="H12" i="3"/>
  <c r="H48" i="3"/>
  <c r="R48" i="3" s="1"/>
  <c r="Q22" i="3"/>
  <c r="H72" i="3"/>
  <c r="Q72" i="3"/>
  <c r="H67" i="3"/>
  <c r="H79" i="3"/>
  <c r="Q79" i="3"/>
  <c r="H28" i="3"/>
  <c r="Q28" i="3"/>
  <c r="H62" i="3"/>
  <c r="Q88" i="3"/>
  <c r="H39" i="3"/>
  <c r="O39" i="3" s="1"/>
  <c r="Q39" i="3"/>
  <c r="Q23" i="3"/>
  <c r="R23" i="3" s="1"/>
  <c r="Q49" i="3"/>
  <c r="Q80" i="3"/>
  <c r="H22" i="3"/>
  <c r="Q51" i="3"/>
  <c r="H51" i="3"/>
  <c r="Q81" i="3"/>
  <c r="Q45" i="3"/>
  <c r="R45" i="3" s="1"/>
  <c r="Q62" i="3"/>
  <c r="H27" i="3"/>
  <c r="Q10" i="3"/>
  <c r="Q93" i="3"/>
  <c r="R93" i="3" s="1"/>
  <c r="Q14" i="3"/>
  <c r="R14" i="3" s="1"/>
  <c r="Q100" i="3"/>
  <c r="R100" i="3" s="1"/>
  <c r="H35" i="3"/>
  <c r="N35" i="3" s="1"/>
  <c r="P35" i="3" s="1"/>
  <c r="N46" i="3"/>
  <c r="P46" i="3" s="1"/>
  <c r="O46" i="3"/>
  <c r="Q73" i="3"/>
  <c r="H73" i="3"/>
  <c r="Q32" i="3"/>
  <c r="H32" i="3"/>
  <c r="N6" i="3"/>
  <c r="P6" i="3" s="1"/>
  <c r="O6" i="3"/>
  <c r="H74" i="3"/>
  <c r="H68" i="3"/>
  <c r="Q16" i="3"/>
  <c r="Q71" i="3"/>
  <c r="H90" i="3"/>
  <c r="Q90" i="3"/>
  <c r="Q57" i="3"/>
  <c r="Q44" i="3"/>
  <c r="H25" i="3"/>
  <c r="H57" i="3"/>
  <c r="H77" i="3"/>
  <c r="Q77" i="3"/>
  <c r="H55" i="3"/>
  <c r="Q55" i="3"/>
  <c r="Q30" i="3"/>
  <c r="H95" i="3"/>
  <c r="N52" i="3"/>
  <c r="P52" i="3" s="1"/>
  <c r="O52" i="3"/>
  <c r="Q92" i="3"/>
  <c r="Q95" i="3"/>
  <c r="Q31" i="3"/>
  <c r="Q96" i="3"/>
  <c r="Q84" i="3"/>
  <c r="Q19" i="3"/>
  <c r="R19" i="3" s="1"/>
  <c r="H47" i="3"/>
  <c r="N47" i="3" s="1"/>
  <c r="P47" i="3" s="1"/>
  <c r="Q47" i="3"/>
  <c r="Q9" i="3"/>
  <c r="Q25" i="3"/>
  <c r="H60" i="3"/>
  <c r="H92" i="3"/>
  <c r="H8" i="3"/>
  <c r="H63" i="3"/>
  <c r="H40" i="3"/>
  <c r="R40" i="3" s="1"/>
  <c r="H91" i="3"/>
  <c r="Q98" i="3"/>
  <c r="H98" i="3"/>
  <c r="Q46" i="3"/>
  <c r="R46" i="3" s="1"/>
  <c r="Q52" i="3"/>
  <c r="R52" i="3" s="1"/>
  <c r="H94" i="3"/>
  <c r="R94" i="3" s="1"/>
  <c r="Q6" i="3"/>
  <c r="R6" i="3" s="1"/>
  <c r="H9" i="3"/>
  <c r="O9" i="3" s="1"/>
  <c r="H82" i="3"/>
  <c r="R82" i="3" s="1"/>
  <c r="Q64" i="3"/>
  <c r="R64" i="3" s="1"/>
  <c r="Q7" i="3"/>
  <c r="H7" i="3"/>
  <c r="H31" i="3"/>
  <c r="H30" i="3"/>
  <c r="Q34" i="3"/>
  <c r="R34" i="3" s="1"/>
  <c r="R20" i="3"/>
  <c r="Q50" i="3"/>
  <c r="Q13" i="3"/>
  <c r="H58" i="3"/>
  <c r="Q41" i="3"/>
  <c r="R41" i="3" s="1"/>
  <c r="H33" i="3"/>
  <c r="N34" i="3"/>
  <c r="P34" i="3" s="1"/>
  <c r="Q91" i="3"/>
  <c r="H13" i="3"/>
  <c r="H17" i="3"/>
  <c r="N38" i="3"/>
  <c r="P38" i="3" s="1"/>
  <c r="Q21" i="3"/>
  <c r="O64" i="3"/>
  <c r="Q99" i="3"/>
  <c r="H26" i="3"/>
  <c r="Q4" i="3"/>
  <c r="R4" i="3" s="1"/>
  <c r="Q89" i="3"/>
  <c r="O69" i="3"/>
  <c r="H11" i="3"/>
  <c r="N11" i="3" s="1"/>
  <c r="P11" i="3" s="1"/>
  <c r="Q11" i="3"/>
  <c r="N5" i="3"/>
  <c r="P5" i="3" s="1"/>
  <c r="O5" i="3"/>
  <c r="Q18" i="3"/>
  <c r="H18" i="3"/>
  <c r="H43" i="3"/>
  <c r="R89" i="3" l="1"/>
  <c r="R96" i="3"/>
  <c r="R49" i="3"/>
  <c r="N39" i="3"/>
  <c r="P39" i="3" s="1"/>
  <c r="N16" i="3"/>
  <c r="P16" i="3" s="1"/>
  <c r="R16" i="3"/>
  <c r="N66" i="3"/>
  <c r="P66" i="3" s="1"/>
  <c r="R66" i="3"/>
  <c r="R55" i="3"/>
  <c r="R99" i="3"/>
  <c r="R29" i="3"/>
  <c r="R38" i="3"/>
  <c r="O47" i="3"/>
  <c r="R84" i="3"/>
  <c r="R10" i="3"/>
  <c r="R50" i="3"/>
  <c r="N50" i="3"/>
  <c r="P50" i="3" s="1"/>
  <c r="N65" i="3"/>
  <c r="P65" i="3" s="1"/>
  <c r="R80" i="3"/>
  <c r="R78" i="3"/>
  <c r="N44" i="3"/>
  <c r="P44" i="3" s="1"/>
  <c r="R65" i="3"/>
  <c r="R54" i="3"/>
  <c r="R71" i="3"/>
  <c r="R44" i="3"/>
  <c r="R91" i="3"/>
  <c r="R3" i="3"/>
  <c r="R73" i="3"/>
  <c r="R76" i="3"/>
  <c r="R21" i="3"/>
  <c r="R81" i="3"/>
  <c r="R11" i="3"/>
  <c r="R47" i="3"/>
  <c r="R62" i="3"/>
  <c r="R59" i="3"/>
  <c r="R15" i="3"/>
  <c r="N10" i="3"/>
  <c r="P10" i="3" s="1"/>
  <c r="O10" i="3"/>
  <c r="R25" i="3"/>
  <c r="R85" i="3"/>
  <c r="N37" i="3"/>
  <c r="P37" i="3" s="1"/>
  <c r="O37" i="3"/>
  <c r="R37" i="3"/>
  <c r="N9" i="3"/>
  <c r="P9" i="3" s="1"/>
  <c r="R9" i="3"/>
  <c r="R39" i="3"/>
  <c r="R88" i="3"/>
  <c r="R2" i="3"/>
  <c r="R43" i="3"/>
  <c r="R92" i="3"/>
  <c r="R32" i="3"/>
  <c r="R57" i="3"/>
  <c r="O35" i="3"/>
  <c r="R35" i="3"/>
  <c r="N51" i="3"/>
  <c r="P51" i="3" s="1"/>
  <c r="O51" i="3"/>
  <c r="N67" i="3"/>
  <c r="P67" i="3" s="1"/>
  <c r="O67" i="3"/>
  <c r="R22" i="3"/>
  <c r="R26" i="3"/>
  <c r="R98" i="3"/>
  <c r="R51" i="3"/>
  <c r="O12" i="3"/>
  <c r="N12" i="3"/>
  <c r="P12" i="3" s="1"/>
  <c r="R58" i="3"/>
  <c r="R13" i="3"/>
  <c r="R30" i="3"/>
  <c r="N68" i="3"/>
  <c r="P68" i="3" s="1"/>
  <c r="O68" i="3"/>
  <c r="R67" i="3"/>
  <c r="R18" i="3"/>
  <c r="O63" i="3"/>
  <c r="N63" i="3"/>
  <c r="P63" i="3" s="1"/>
  <c r="R63" i="3"/>
  <c r="R90" i="3"/>
  <c r="O62" i="3"/>
  <c r="N62" i="3"/>
  <c r="P62" i="3" s="1"/>
  <c r="R12" i="3"/>
  <c r="N8" i="3"/>
  <c r="P8" i="3" s="1"/>
  <c r="O8" i="3"/>
  <c r="R8" i="3"/>
  <c r="R77" i="3"/>
  <c r="R86" i="3"/>
  <c r="R97" i="3"/>
  <c r="R31" i="3"/>
  <c r="R74" i="3"/>
  <c r="N32" i="3"/>
  <c r="P32" i="3" s="1"/>
  <c r="O32" i="3"/>
  <c r="R60" i="3"/>
  <c r="R79" i="3"/>
  <c r="R72" i="3"/>
  <c r="R27" i="3"/>
  <c r="N92" i="3"/>
  <c r="P92" i="3" s="1"/>
  <c r="O92" i="3"/>
  <c r="O48" i="3"/>
  <c r="N48" i="3"/>
  <c r="P48" i="3" s="1"/>
  <c r="N7" i="3"/>
  <c r="O7" i="3"/>
  <c r="R95" i="3"/>
  <c r="R17" i="3"/>
  <c r="R28" i="3"/>
  <c r="N81" i="3"/>
  <c r="P81" i="3" s="1"/>
  <c r="O81" i="3"/>
  <c r="R53" i="3"/>
  <c r="R7" i="3"/>
  <c r="N40" i="3"/>
  <c r="P40" i="3" s="1"/>
  <c r="O40" i="3"/>
  <c r="R33" i="3"/>
  <c r="R68" i="3"/>
  <c r="N33" i="3"/>
  <c r="P33" i="3" s="1"/>
  <c r="O33" i="3"/>
  <c r="O11" i="3"/>
  <c r="C7" i="1" l="1"/>
  <c r="P7" i="3"/>
  <c r="B78" i="3" l="1"/>
  <c r="G99" i="3"/>
  <c r="B26" i="3"/>
  <c r="B74" i="3"/>
  <c r="G91" i="3"/>
  <c r="B15" i="3"/>
  <c r="G73" i="3"/>
  <c r="B33" i="3"/>
  <c r="G70" i="3"/>
  <c r="B48" i="3"/>
  <c r="G8" i="3"/>
  <c r="B38" i="3"/>
  <c r="G27" i="3"/>
  <c r="B45" i="3"/>
  <c r="B92" i="3"/>
  <c r="B91" i="3"/>
  <c r="B97" i="3"/>
  <c r="B77" i="3"/>
  <c r="G51" i="3"/>
  <c r="B73" i="3"/>
  <c r="B43" i="3"/>
  <c r="G93" i="3"/>
  <c r="B61" i="3"/>
  <c r="G92" i="3"/>
  <c r="G15" i="3"/>
  <c r="G57" i="3"/>
  <c r="B21" i="3"/>
  <c r="B63" i="3"/>
  <c r="B30" i="3"/>
  <c r="B17" i="3"/>
  <c r="B85" i="3"/>
  <c r="B41" i="3"/>
  <c r="B60" i="3"/>
  <c r="G38" i="3"/>
  <c r="G52" i="3"/>
  <c r="G47" i="3"/>
  <c r="G77" i="3"/>
  <c r="B24" i="3"/>
  <c r="B39" i="3"/>
  <c r="B66" i="3"/>
  <c r="B3" i="3"/>
  <c r="G89" i="3"/>
  <c r="B64" i="3"/>
  <c r="B98" i="3"/>
  <c r="G3" i="3"/>
  <c r="G56" i="3"/>
  <c r="G88" i="3"/>
  <c r="G95" i="3"/>
  <c r="B6" i="3"/>
  <c r="G59" i="3"/>
  <c r="G76" i="3"/>
  <c r="B10" i="3"/>
  <c r="G68" i="3"/>
  <c r="G25" i="3"/>
  <c r="G26" i="3"/>
  <c r="G60" i="3"/>
  <c r="G9" i="3"/>
  <c r="B93" i="3"/>
  <c r="G45" i="3"/>
  <c r="B87" i="3"/>
  <c r="B13" i="3"/>
  <c r="G7" i="3"/>
  <c r="G19" i="3"/>
  <c r="G30" i="3"/>
  <c r="G80" i="3"/>
  <c r="G37" i="3"/>
  <c r="B5" i="3"/>
  <c r="G23" i="3"/>
  <c r="B76" i="3"/>
  <c r="G11" i="3"/>
  <c r="G41" i="3"/>
  <c r="B75" i="3"/>
  <c r="B27" i="3"/>
  <c r="G94" i="3"/>
  <c r="B84" i="3"/>
  <c r="B37" i="3"/>
  <c r="B86" i="3"/>
  <c r="G58" i="3"/>
  <c r="B35" i="3"/>
  <c r="G61" i="3"/>
  <c r="B34" i="3"/>
  <c r="B53" i="3"/>
  <c r="G90" i="3"/>
  <c r="G84" i="3"/>
  <c r="B57" i="3"/>
  <c r="B80" i="3"/>
  <c r="G21" i="3"/>
  <c r="B44" i="3"/>
  <c r="B18" i="3"/>
  <c r="B83" i="3"/>
  <c r="B71" i="3"/>
  <c r="B55" i="3"/>
  <c r="B40" i="3"/>
  <c r="G43" i="3"/>
  <c r="B11" i="3"/>
  <c r="G13" i="3"/>
  <c r="G79" i="3"/>
  <c r="G16" i="3"/>
  <c r="G53" i="3"/>
  <c r="B14" i="3"/>
  <c r="B29" i="3"/>
  <c r="G17" i="3"/>
  <c r="G46" i="3"/>
  <c r="G5" i="3"/>
  <c r="G72" i="3"/>
  <c r="G2" i="3"/>
  <c r="G55" i="3"/>
  <c r="B54" i="3"/>
  <c r="B90" i="3"/>
  <c r="B81" i="3"/>
  <c r="B8" i="3"/>
  <c r="B28" i="3"/>
  <c r="B51" i="3"/>
  <c r="G32" i="3"/>
  <c r="B96" i="3"/>
  <c r="B68" i="3"/>
  <c r="B20" i="3"/>
  <c r="G31" i="3"/>
  <c r="B65" i="3"/>
  <c r="B31" i="3"/>
  <c r="G62" i="3"/>
  <c r="B50" i="3"/>
  <c r="G98" i="3"/>
  <c r="G44" i="3"/>
  <c r="B56" i="3"/>
  <c r="G22" i="3"/>
  <c r="G12" i="3"/>
  <c r="G64" i="3"/>
  <c r="G34" i="3"/>
  <c r="B25" i="3"/>
  <c r="B70" i="3"/>
  <c r="B89" i="3"/>
  <c r="G66" i="3"/>
  <c r="G83" i="3"/>
  <c r="G10" i="3"/>
  <c r="G97" i="3"/>
  <c r="B99" i="3"/>
  <c r="B95" i="3"/>
  <c r="G42" i="3"/>
  <c r="G28" i="3"/>
  <c r="B58" i="3"/>
  <c r="G14" i="3"/>
  <c r="G35" i="3"/>
  <c r="G69" i="3"/>
  <c r="B52" i="3"/>
  <c r="G75" i="3"/>
  <c r="B36" i="3"/>
  <c r="G71" i="3"/>
  <c r="B23" i="3"/>
  <c r="G81" i="3"/>
  <c r="G63" i="3"/>
  <c r="B42" i="3"/>
  <c r="G29" i="3"/>
  <c r="B19" i="3"/>
  <c r="G74" i="3"/>
  <c r="G85" i="3"/>
  <c r="G4" i="3"/>
  <c r="B88" i="3"/>
  <c r="G39" i="3"/>
  <c r="B49" i="3"/>
  <c r="B72" i="3"/>
  <c r="B79" i="3"/>
  <c r="G87" i="3"/>
  <c r="B47" i="3"/>
  <c r="G33" i="3"/>
  <c r="B22" i="3"/>
  <c r="G36" i="3"/>
  <c r="B16" i="3"/>
  <c r="G40" i="3"/>
  <c r="B12" i="3"/>
  <c r="B9" i="3"/>
  <c r="G18" i="3"/>
  <c r="G20" i="3"/>
  <c r="G86" i="3"/>
  <c r="B32" i="3"/>
  <c r="G6" i="3"/>
  <c r="G96" i="3"/>
  <c r="B62" i="3"/>
  <c r="B94" i="3"/>
  <c r="B100" i="3"/>
  <c r="G65" i="3"/>
  <c r="G24" i="3"/>
  <c r="B46" i="3"/>
  <c r="B67" i="3"/>
  <c r="B82" i="3"/>
  <c r="B2" i="3"/>
  <c r="B7" i="3"/>
  <c r="G100" i="3"/>
  <c r="G49" i="3"/>
  <c r="G50" i="3"/>
  <c r="G67" i="3"/>
  <c r="G82" i="3"/>
  <c r="B59" i="3"/>
  <c r="B4" i="3"/>
  <c r="G54" i="3"/>
  <c r="B69" i="3"/>
  <c r="G48" i="3"/>
  <c r="G78" i="3"/>
  <c r="D17" i="1" l="1"/>
  <c r="E17" i="1"/>
  <c r="C17" i="1"/>
  <c r="E16" i="1"/>
  <c r="D16" i="1"/>
  <c r="C16" i="1"/>
  <c r="C15" i="1"/>
  <c r="D15" i="1"/>
  <c r="E15" i="1"/>
  <c r="F30" i="5"/>
  <c r="H30" i="5" s="1"/>
  <c r="F33" i="5"/>
  <c r="H33" i="5" s="1"/>
  <c r="F5" i="5"/>
  <c r="H5" i="5" s="1"/>
  <c r="F24" i="5"/>
  <c r="H24" i="5" s="1"/>
  <c r="F72" i="5"/>
  <c r="H72" i="5" s="1"/>
  <c r="F43" i="5"/>
  <c r="H43" i="5" s="1"/>
  <c r="F90" i="5"/>
  <c r="H90" i="5" s="1"/>
  <c r="F97" i="5"/>
  <c r="H97" i="5" s="1"/>
  <c r="F63" i="5"/>
  <c r="H63" i="5" s="1"/>
  <c r="F23" i="5"/>
  <c r="H23" i="5" s="1"/>
  <c r="F71" i="5"/>
  <c r="H71" i="5" s="1"/>
  <c r="H84" i="5"/>
  <c r="F84" i="5"/>
  <c r="F70" i="5"/>
  <c r="H70" i="5" s="1"/>
  <c r="F51" i="5"/>
  <c r="H51" i="5" s="1"/>
  <c r="F44" i="5"/>
  <c r="H44" i="5" s="1"/>
  <c r="F49" i="5"/>
  <c r="H49" i="5" s="1"/>
  <c r="F69" i="5"/>
  <c r="H69" i="5" s="1"/>
  <c r="F37" i="5"/>
  <c r="H37" i="5"/>
  <c r="F98" i="5"/>
  <c r="H98" i="5" s="1"/>
  <c r="J81" i="3"/>
  <c r="K81" i="3" s="1"/>
  <c r="L81" i="3" s="1"/>
  <c r="F100" i="5"/>
  <c r="H100" i="5" s="1"/>
  <c r="F79" i="5"/>
  <c r="H79" i="5" s="1"/>
  <c r="F55" i="5"/>
  <c r="H55" i="5" s="1"/>
  <c r="F52" i="5"/>
  <c r="H52" i="5" s="1"/>
  <c r="F41" i="5"/>
  <c r="H41" i="5" s="1"/>
  <c r="F3" i="5"/>
  <c r="H3" i="5" s="1"/>
  <c r="J16" i="3"/>
  <c r="K16" i="3" s="1"/>
  <c r="L16" i="3" s="1"/>
  <c r="F64" i="5"/>
  <c r="H64" i="5" s="1"/>
  <c r="F31" i="5"/>
  <c r="H31" i="5" s="1"/>
  <c r="J3" i="3"/>
  <c r="M3" i="3" s="1"/>
  <c r="F74" i="5"/>
  <c r="H74" i="5" s="1"/>
  <c r="F25" i="5"/>
  <c r="H25" i="5" s="1"/>
  <c r="F87" i="5"/>
  <c r="H87" i="5" s="1"/>
  <c r="F86" i="5"/>
  <c r="H86" i="5" s="1"/>
  <c r="F10" i="5"/>
  <c r="H10" i="5" s="1"/>
  <c r="F6" i="5"/>
  <c r="H6" i="5" s="1"/>
  <c r="J21" i="3"/>
  <c r="K21" i="3" s="1"/>
  <c r="F54" i="5"/>
  <c r="H54" i="5" s="1"/>
  <c r="F46" i="5"/>
  <c r="H46" i="5" s="1"/>
  <c r="J30" i="3"/>
  <c r="M30" i="3" s="1"/>
  <c r="J10" i="3"/>
  <c r="M10" i="3" s="1"/>
  <c r="F73" i="5"/>
  <c r="H73" i="5"/>
  <c r="F17" i="5"/>
  <c r="H17" i="5" s="1"/>
  <c r="J37" i="3"/>
  <c r="M37" i="3" s="1"/>
  <c r="J29" i="3"/>
  <c r="K29" i="3" s="1"/>
  <c r="J41" i="3"/>
  <c r="K41" i="3" s="1"/>
  <c r="F80" i="5"/>
  <c r="H80" i="5" s="1"/>
  <c r="F88" i="5"/>
  <c r="H88" i="5" s="1"/>
  <c r="F26" i="5"/>
  <c r="H26" i="5" s="1"/>
  <c r="F62" i="5"/>
  <c r="H62" i="5" s="1"/>
  <c r="F56" i="5"/>
  <c r="H56" i="5" s="1"/>
  <c r="J88" i="3"/>
  <c r="F58" i="5"/>
  <c r="H58" i="5"/>
  <c r="J91" i="3"/>
  <c r="K91" i="3" s="1"/>
  <c r="F13" i="5"/>
  <c r="H13" i="5" s="1"/>
  <c r="F45" i="5"/>
  <c r="H45" i="5" s="1"/>
  <c r="J83" i="3"/>
  <c r="K83" i="3" s="1"/>
  <c r="F61" i="5"/>
  <c r="H61" i="5" s="1"/>
  <c r="J63" i="3"/>
  <c r="K63" i="3" s="1"/>
  <c r="L63" i="3" s="1"/>
  <c r="F77" i="5"/>
  <c r="H77" i="5" s="1"/>
  <c r="F38" i="5"/>
  <c r="H38" i="5" s="1"/>
  <c r="J67" i="3"/>
  <c r="M67" i="3" s="1"/>
  <c r="F35" i="5"/>
  <c r="H35" i="5" s="1"/>
  <c r="F66" i="5"/>
  <c r="H66" i="5" s="1"/>
  <c r="J51" i="3"/>
  <c r="K51" i="3" s="1"/>
  <c r="L51" i="3" s="1"/>
  <c r="J39" i="3"/>
  <c r="K39" i="3" s="1"/>
  <c r="L39" i="3" s="1"/>
  <c r="F18" i="5"/>
  <c r="H18" i="5" s="1"/>
  <c r="J58" i="3"/>
  <c r="K58" i="3" s="1"/>
  <c r="F99" i="5"/>
  <c r="H99" i="5" s="1"/>
  <c r="J50" i="3"/>
  <c r="K50" i="3" s="1"/>
  <c r="L50" i="3" s="1"/>
  <c r="F36" i="5"/>
  <c r="H36" i="5" s="1"/>
  <c r="F34" i="5"/>
  <c r="H34" i="5"/>
  <c r="F91" i="5"/>
  <c r="H91" i="5"/>
  <c r="J72" i="3"/>
  <c r="K72" i="3" s="1"/>
  <c r="J60" i="3"/>
  <c r="K60" i="3" s="1"/>
  <c r="F21" i="5"/>
  <c r="H21" i="5" s="1"/>
  <c r="J65" i="3"/>
  <c r="K65" i="3" s="1"/>
  <c r="L65" i="3" s="1"/>
  <c r="J86" i="3"/>
  <c r="K86" i="3" s="1"/>
  <c r="F81" i="5"/>
  <c r="H81" i="5" s="1"/>
  <c r="J12" i="3"/>
  <c r="K12" i="3" s="1"/>
  <c r="L12" i="3" s="1"/>
  <c r="F83" i="5"/>
  <c r="H83" i="5" s="1"/>
  <c r="F15" i="5"/>
  <c r="H15" i="5" s="1"/>
  <c r="J84" i="3"/>
  <c r="J62" i="3"/>
  <c r="M62" i="3" s="1"/>
  <c r="F96" i="5"/>
  <c r="H96" i="5" s="1"/>
  <c r="J22" i="3"/>
  <c r="F12" i="5"/>
  <c r="H12" i="5" s="1"/>
  <c r="F67" i="5"/>
  <c r="H67" i="5" s="1"/>
  <c r="J27" i="3"/>
  <c r="M27" i="3" s="1"/>
  <c r="F89" i="5"/>
  <c r="H89" i="5" s="1"/>
  <c r="J23" i="3"/>
  <c r="K23" i="3" s="1"/>
  <c r="F4" i="5"/>
  <c r="H4" i="5" s="1"/>
  <c r="J54" i="3"/>
  <c r="K54" i="3" s="1"/>
  <c r="F57" i="5"/>
  <c r="H57" i="5" s="1"/>
  <c r="J45" i="3"/>
  <c r="K45" i="3" s="1"/>
  <c r="L45" i="3" s="1"/>
  <c r="F9" i="5"/>
  <c r="H9" i="5" s="1"/>
  <c r="F82" i="5"/>
  <c r="H82" i="5" s="1"/>
  <c r="J100" i="3"/>
  <c r="J68" i="3"/>
  <c r="M68" i="3" s="1"/>
  <c r="F50" i="5"/>
  <c r="H50" i="5" s="1"/>
  <c r="F22" i="5"/>
  <c r="H22" i="5" s="1"/>
  <c r="F11" i="5"/>
  <c r="H11" i="5" s="1"/>
  <c r="J8" i="3"/>
  <c r="K8" i="3" s="1"/>
  <c r="L8" i="3" s="1"/>
  <c r="F75" i="5"/>
  <c r="H75" i="5" s="1"/>
  <c r="F32" i="5"/>
  <c r="H32" i="5" s="1"/>
  <c r="F16" i="5"/>
  <c r="H16" i="5" s="1"/>
  <c r="F85" i="5"/>
  <c r="H85" i="5" s="1"/>
  <c r="F59" i="5"/>
  <c r="H59" i="5" s="1"/>
  <c r="F40" i="5"/>
  <c r="H40" i="5" s="1"/>
  <c r="F2" i="5"/>
  <c r="H2" i="5" s="1"/>
  <c r="F27" i="5"/>
  <c r="H27" i="5" s="1"/>
  <c r="J93" i="3"/>
  <c r="M93" i="3" s="1"/>
  <c r="J36" i="3"/>
  <c r="M36" i="3" s="1"/>
  <c r="F60" i="5"/>
  <c r="H60" i="5" s="1"/>
  <c r="F20" i="5"/>
  <c r="H20" i="5" s="1"/>
  <c r="J87" i="3"/>
  <c r="K87" i="3" s="1"/>
  <c r="J56" i="3"/>
  <c r="F95" i="5"/>
  <c r="H95" i="5" s="1"/>
  <c r="F14" i="5"/>
  <c r="H14" i="5" s="1"/>
  <c r="J73" i="3"/>
  <c r="M73" i="3" s="1"/>
  <c r="J19" i="3"/>
  <c r="K19" i="3" s="1"/>
  <c r="O19" i="3" s="1"/>
  <c r="F19" i="5"/>
  <c r="H19" i="5" s="1"/>
  <c r="J18" i="3"/>
  <c r="K18" i="3" s="1"/>
  <c r="J26" i="3"/>
  <c r="M26" i="3" s="1"/>
  <c r="J89" i="3"/>
  <c r="M89" i="3" s="1"/>
  <c r="J69" i="3"/>
  <c r="M69" i="3" s="1"/>
  <c r="F29" i="5"/>
  <c r="H29" i="5" s="1"/>
  <c r="J70" i="3"/>
  <c r="M70" i="3" s="1"/>
  <c r="F93" i="5"/>
  <c r="H93" i="5" s="1"/>
  <c r="F68" i="5"/>
  <c r="H68" i="5" s="1"/>
  <c r="J95" i="3"/>
  <c r="M95" i="3" s="1"/>
  <c r="J43" i="3"/>
  <c r="K43" i="3" s="1"/>
  <c r="F92" i="5"/>
  <c r="H92" i="5" s="1"/>
  <c r="J40" i="3"/>
  <c r="K40" i="3" s="1"/>
  <c r="L40" i="3" s="1"/>
  <c r="F47" i="5"/>
  <c r="H47" i="5"/>
  <c r="J53" i="3"/>
  <c r="J92" i="3"/>
  <c r="K92" i="3" s="1"/>
  <c r="L92" i="3" s="1"/>
  <c r="J49" i="3"/>
  <c r="M49" i="3" s="1"/>
  <c r="F42" i="5"/>
  <c r="H42" i="5" s="1"/>
  <c r="J15" i="3"/>
  <c r="K15" i="3" s="1"/>
  <c r="J52" i="3"/>
  <c r="K52" i="3" s="1"/>
  <c r="L52" i="3" s="1"/>
  <c r="M52" i="3"/>
  <c r="J61" i="3"/>
  <c r="J25" i="3"/>
  <c r="K25" i="3" s="1"/>
  <c r="J94" i="3"/>
  <c r="K94" i="3" s="1"/>
  <c r="F48" i="5"/>
  <c r="H48" i="5" s="1"/>
  <c r="J4" i="3"/>
  <c r="J98" i="3"/>
  <c r="J35" i="3"/>
  <c r="M35" i="3" s="1"/>
  <c r="J11" i="3"/>
  <c r="M11" i="3" s="1"/>
  <c r="F39" i="5"/>
  <c r="H39" i="5" s="1"/>
  <c r="J38" i="3"/>
  <c r="K38" i="3" s="1"/>
  <c r="L38" i="3" s="1"/>
  <c r="J85" i="3"/>
  <c r="K85" i="3" s="1"/>
  <c r="J47" i="3"/>
  <c r="J31" i="3"/>
  <c r="K31" i="3" s="1"/>
  <c r="O31" i="3" s="1"/>
  <c r="J20" i="3"/>
  <c r="M20" i="3" s="1"/>
  <c r="J42" i="3"/>
  <c r="K42" i="3" s="1"/>
  <c r="F78" i="5"/>
  <c r="H78" i="5" s="1"/>
  <c r="J97" i="3"/>
  <c r="M97" i="3" s="1"/>
  <c r="J79" i="3"/>
  <c r="K79" i="3" s="1"/>
  <c r="J75" i="3"/>
  <c r="J44" i="3"/>
  <c r="M44" i="3" s="1"/>
  <c r="J80" i="3"/>
  <c r="K80" i="3" s="1"/>
  <c r="J24" i="3"/>
  <c r="K24" i="3" s="1"/>
  <c r="F7" i="5"/>
  <c r="H7" i="5" s="1"/>
  <c r="J77" i="3"/>
  <c r="K77" i="3" s="1"/>
  <c r="J57" i="3"/>
  <c r="K57" i="3" s="1"/>
  <c r="J9" i="3"/>
  <c r="M9" i="3" s="1"/>
  <c r="J99" i="3"/>
  <c r="K99" i="3" s="1"/>
  <c r="J96" i="3"/>
  <c r="K96" i="3" s="1"/>
  <c r="J82" i="3"/>
  <c r="K82" i="3" s="1"/>
  <c r="J55" i="3"/>
  <c r="K55" i="3" s="1"/>
  <c r="F53" i="5"/>
  <c r="H53" i="5" s="1"/>
  <c r="J46" i="3"/>
  <c r="K46" i="3" s="1"/>
  <c r="L46" i="3" s="1"/>
  <c r="J90" i="3"/>
  <c r="K90" i="3" s="1"/>
  <c r="F65" i="5"/>
  <c r="H65" i="5" s="1"/>
  <c r="J78" i="3"/>
  <c r="M78" i="3" s="1"/>
  <c r="J6" i="3"/>
  <c r="M6" i="3" s="1"/>
  <c r="J71" i="3"/>
  <c r="K71" i="3" s="1"/>
  <c r="J17" i="3"/>
  <c r="K17" i="3" s="1"/>
  <c r="J5" i="3"/>
  <c r="M5" i="3" s="1"/>
  <c r="J34" i="3"/>
  <c r="K34" i="3" s="1"/>
  <c r="L34" i="3" s="1"/>
  <c r="F28" i="5"/>
  <c r="H28" i="5" s="1"/>
  <c r="J7" i="3"/>
  <c r="M7" i="3" s="1"/>
  <c r="F8" i="5"/>
  <c r="H8" i="5" s="1"/>
  <c r="J14" i="3"/>
  <c r="K14" i="3" s="1"/>
  <c r="J32" i="3"/>
  <c r="M32" i="3" s="1"/>
  <c r="F94" i="5"/>
  <c r="H94" i="5" s="1"/>
  <c r="J13" i="3"/>
  <c r="K13" i="3" s="1"/>
  <c r="J64" i="3"/>
  <c r="K64" i="3" s="1"/>
  <c r="L64" i="3" s="1"/>
  <c r="J59" i="3"/>
  <c r="K59" i="3" s="1"/>
  <c r="M59" i="3"/>
  <c r="J33" i="3"/>
  <c r="K33" i="3" s="1"/>
  <c r="L33" i="3" s="1"/>
  <c r="J74" i="3"/>
  <c r="K74" i="3" s="1"/>
  <c r="J66" i="3"/>
  <c r="M66" i="3" s="1"/>
  <c r="J76" i="3"/>
  <c r="M76" i="3" s="1"/>
  <c r="J48" i="3"/>
  <c r="K48" i="3" s="1"/>
  <c r="L48" i="3" s="1"/>
  <c r="F76" i="5"/>
  <c r="H76" i="5" s="1"/>
  <c r="J2" i="3"/>
  <c r="K2" i="3" s="1"/>
  <c r="D63" i="5"/>
  <c r="D23" i="5"/>
  <c r="G16" i="5"/>
  <c r="D86" i="5"/>
  <c r="D79" i="5"/>
  <c r="G11" i="5"/>
  <c r="G45" i="5"/>
  <c r="D75" i="5"/>
  <c r="G94" i="5"/>
  <c r="G23" i="5"/>
  <c r="G2" i="5"/>
  <c r="D45" i="5"/>
  <c r="G18" i="5"/>
  <c r="G83" i="5"/>
  <c r="G39" i="5"/>
  <c r="D93" i="5"/>
  <c r="D17" i="5"/>
  <c r="D99" i="5"/>
  <c r="G21" i="5"/>
  <c r="G4" i="5"/>
  <c r="D34" i="5"/>
  <c r="D80" i="5"/>
  <c r="G61" i="5"/>
  <c r="D91" i="5"/>
  <c r="G14" i="5"/>
  <c r="D60" i="5"/>
  <c r="G69" i="5"/>
  <c r="G76" i="5"/>
  <c r="D83" i="5"/>
  <c r="G93" i="5"/>
  <c r="G24" i="5"/>
  <c r="D77" i="5"/>
  <c r="D2" i="5"/>
  <c r="G89" i="5"/>
  <c r="D68" i="5"/>
  <c r="D81" i="5"/>
  <c r="D55" i="5"/>
  <c r="D31" i="5"/>
  <c r="D65" i="5"/>
  <c r="D52" i="5"/>
  <c r="G15" i="5"/>
  <c r="G95" i="5"/>
  <c r="G3" i="5"/>
  <c r="D32" i="5"/>
  <c r="G57" i="5"/>
  <c r="D44" i="5"/>
  <c r="D36" i="5"/>
  <c r="G41" i="5"/>
  <c r="G29" i="5"/>
  <c r="G74" i="5"/>
  <c r="D25" i="5"/>
  <c r="D87" i="5"/>
  <c r="D56" i="5"/>
  <c r="G28" i="5"/>
  <c r="D38" i="5"/>
  <c r="G63" i="5"/>
  <c r="D21" i="5"/>
  <c r="G97" i="5"/>
  <c r="G66" i="5"/>
  <c r="D28" i="5"/>
  <c r="G53" i="5"/>
  <c r="G92" i="5"/>
  <c r="G19" i="5"/>
  <c r="G91" i="5"/>
  <c r="G6" i="5"/>
  <c r="G42" i="5"/>
  <c r="G38" i="5"/>
  <c r="G52" i="5"/>
  <c r="D13" i="5"/>
  <c r="D4" i="2"/>
  <c r="D16" i="5"/>
  <c r="D51" i="5"/>
  <c r="G25" i="5"/>
  <c r="D22" i="5"/>
  <c r="G81" i="5"/>
  <c r="G60" i="5"/>
  <c r="G73" i="5"/>
  <c r="D72" i="5"/>
  <c r="D85" i="5"/>
  <c r="G22" i="5"/>
  <c r="D8" i="5"/>
  <c r="D58" i="5"/>
  <c r="D50" i="5"/>
  <c r="G82" i="5"/>
  <c r="D78" i="5"/>
  <c r="D24" i="5"/>
  <c r="D84" i="5"/>
  <c r="D66" i="5"/>
  <c r="D19" i="5"/>
  <c r="G99" i="5"/>
  <c r="G67" i="5"/>
  <c r="G43" i="5"/>
  <c r="D41" i="5"/>
  <c r="D94" i="5"/>
  <c r="G71" i="5"/>
  <c r="G72" i="5"/>
  <c r="G58" i="5"/>
  <c r="D9" i="5"/>
  <c r="D53" i="5"/>
  <c r="G9" i="5"/>
  <c r="G50" i="5"/>
  <c r="G65" i="5"/>
  <c r="G26" i="5"/>
  <c r="D43" i="5"/>
  <c r="D35" i="5"/>
  <c r="G88" i="5"/>
  <c r="G17" i="5"/>
  <c r="D14" i="5"/>
  <c r="G68" i="5"/>
  <c r="D90" i="5"/>
  <c r="G8" i="5"/>
  <c r="G20" i="5"/>
  <c r="G37" i="5"/>
  <c r="G100" i="5"/>
  <c r="G98" i="5"/>
  <c r="D62" i="5"/>
  <c r="G85" i="5"/>
  <c r="D97" i="5"/>
  <c r="D92" i="5"/>
  <c r="D73" i="5"/>
  <c r="G34" i="5"/>
  <c r="D29" i="5"/>
  <c r="D39" i="5"/>
  <c r="G59" i="5"/>
  <c r="D69" i="5"/>
  <c r="D76" i="5"/>
  <c r="G46" i="5"/>
  <c r="G27" i="5"/>
  <c r="D40" i="5"/>
  <c r="D33" i="5"/>
  <c r="D100" i="5"/>
  <c r="D27" i="5"/>
  <c r="G33" i="5"/>
  <c r="G75" i="5"/>
  <c r="D18" i="5"/>
  <c r="D11" i="5"/>
  <c r="D98" i="5"/>
  <c r="G10" i="5"/>
  <c r="D70" i="5"/>
  <c r="G64" i="5"/>
  <c r="D89" i="5"/>
  <c r="D30" i="5"/>
  <c r="G30" i="5"/>
  <c r="G40" i="5"/>
  <c r="D74" i="5"/>
  <c r="D6" i="5"/>
  <c r="D61" i="5"/>
  <c r="D4" i="5"/>
  <c r="D88" i="5"/>
  <c r="D82" i="5"/>
  <c r="D12" i="5"/>
  <c r="G62" i="5"/>
  <c r="D59" i="5"/>
  <c r="D3" i="5"/>
  <c r="G77" i="5"/>
  <c r="D57" i="5"/>
  <c r="D49" i="5"/>
  <c r="G44" i="5"/>
  <c r="G47" i="5"/>
  <c r="G36" i="5"/>
  <c r="G78" i="5"/>
  <c r="G13" i="5"/>
  <c r="G49" i="5"/>
  <c r="D42" i="5"/>
  <c r="G55" i="5"/>
  <c r="D46" i="5"/>
  <c r="D47" i="5"/>
  <c r="D7" i="5"/>
  <c r="G5" i="5"/>
  <c r="G80" i="5"/>
  <c r="G31" i="5"/>
  <c r="G54" i="5"/>
  <c r="D95" i="5"/>
  <c r="D20" i="5"/>
  <c r="D54" i="5"/>
  <c r="G12" i="5"/>
  <c r="G86" i="5"/>
  <c r="G48" i="5"/>
  <c r="D48" i="5"/>
  <c r="G87" i="5"/>
  <c r="G90" i="5"/>
  <c r="D37" i="5"/>
  <c r="G56" i="5"/>
  <c r="G35" i="5"/>
  <c r="G7" i="5"/>
  <c r="D64" i="5"/>
  <c r="G84" i="5"/>
  <c r="D15" i="5"/>
  <c r="G32" i="5"/>
  <c r="D26" i="5"/>
  <c r="D67" i="5"/>
  <c r="D71" i="5"/>
  <c r="G70" i="5"/>
  <c r="G51" i="5"/>
  <c r="G79" i="5"/>
  <c r="D5" i="5"/>
  <c r="D10" i="5"/>
  <c r="D96" i="5"/>
  <c r="G96" i="5"/>
  <c r="J28" i="3"/>
  <c r="M28" i="3" s="1"/>
  <c r="M14" i="3" l="1"/>
  <c r="K28" i="3"/>
  <c r="M87" i="3"/>
  <c r="M82" i="3"/>
  <c r="I8" i="5"/>
  <c r="I8" i="3" s="1"/>
  <c r="K27" i="3"/>
  <c r="I53" i="5"/>
  <c r="I53" i="3" s="1"/>
  <c r="L2" i="3"/>
  <c r="O2" i="3"/>
  <c r="M64" i="3"/>
  <c r="M42" i="3"/>
  <c r="I39" i="5"/>
  <c r="I39" i="3" s="1"/>
  <c r="I68" i="5"/>
  <c r="I68" i="3" s="1"/>
  <c r="M4" i="3"/>
  <c r="K4" i="3"/>
  <c r="L4" i="3" s="1"/>
  <c r="I75" i="5"/>
  <c r="I75" i="3" s="1"/>
  <c r="M31" i="3"/>
  <c r="K7" i="3"/>
  <c r="L7" i="3" s="1"/>
  <c r="M80" i="3"/>
  <c r="I16" i="5"/>
  <c r="I16" i="3" s="1"/>
  <c r="I47" i="5"/>
  <c r="I47" i="3" s="1"/>
  <c r="I27" i="5"/>
  <c r="I27" i="3" s="1"/>
  <c r="N27" i="3" s="1"/>
  <c r="P27" i="3" s="1"/>
  <c r="M13" i="3"/>
  <c r="I2" i="5"/>
  <c r="I2" i="3" s="1"/>
  <c r="M58" i="3"/>
  <c r="M41" i="3"/>
  <c r="K70" i="3"/>
  <c r="L70" i="3" s="1"/>
  <c r="I28" i="5"/>
  <c r="I28" i="3" s="1"/>
  <c r="N28" i="3" s="1"/>
  <c r="P28" i="3" s="1"/>
  <c r="I78" i="5"/>
  <c r="I78" i="3" s="1"/>
  <c r="I95" i="5"/>
  <c r="I95" i="3" s="1"/>
  <c r="I92" i="5"/>
  <c r="I92" i="3" s="1"/>
  <c r="I32" i="5"/>
  <c r="I32" i="3" s="1"/>
  <c r="I48" i="5"/>
  <c r="I48" i="3" s="1"/>
  <c r="K62" i="3"/>
  <c r="L62" i="3" s="1"/>
  <c r="E18" i="1"/>
  <c r="D18" i="1"/>
  <c r="F16" i="1"/>
  <c r="F17" i="1"/>
  <c r="I50" i="5"/>
  <c r="I50" i="3" s="1"/>
  <c r="I88" i="5"/>
  <c r="I88" i="3" s="1"/>
  <c r="N88" i="3" s="1"/>
  <c r="P88" i="3" s="1"/>
  <c r="I57" i="5"/>
  <c r="I57" i="3" s="1"/>
  <c r="I94" i="5"/>
  <c r="I94" i="3" s="1"/>
  <c r="N94" i="3" s="1"/>
  <c r="P94" i="3" s="1"/>
  <c r="I67" i="5"/>
  <c r="I67" i="3" s="1"/>
  <c r="K35" i="3"/>
  <c r="L35" i="3" s="1"/>
  <c r="I76" i="5"/>
  <c r="I76" i="3" s="1"/>
  <c r="K69" i="3"/>
  <c r="L69" i="3" s="1"/>
  <c r="I7" i="5"/>
  <c r="I7" i="3" s="1"/>
  <c r="I19" i="5"/>
  <c r="I19" i="3" s="1"/>
  <c r="N19" i="3" s="1"/>
  <c r="P19" i="3" s="1"/>
  <c r="I14" i="5"/>
  <c r="I14" i="3" s="1"/>
  <c r="N14" i="3" s="1"/>
  <c r="P14" i="3" s="1"/>
  <c r="I9" i="5"/>
  <c r="I9" i="3" s="1"/>
  <c r="I13" i="5"/>
  <c r="I13" i="3" s="1"/>
  <c r="I42" i="5"/>
  <c r="I42" i="3" s="1"/>
  <c r="I65" i="5"/>
  <c r="I65" i="3" s="1"/>
  <c r="K49" i="3"/>
  <c r="L49" i="3" s="1"/>
  <c r="M83" i="3"/>
  <c r="L31" i="3"/>
  <c r="C18" i="1"/>
  <c r="F15" i="1"/>
  <c r="L23" i="3"/>
  <c r="O23" i="3"/>
  <c r="O43" i="3"/>
  <c r="L43" i="3"/>
  <c r="L83" i="3"/>
  <c r="O83" i="3"/>
  <c r="O58" i="3"/>
  <c r="L58" i="3"/>
  <c r="L77" i="3"/>
  <c r="O77" i="3"/>
  <c r="M38" i="3"/>
  <c r="L25" i="3"/>
  <c r="O25" i="3"/>
  <c r="M19" i="3"/>
  <c r="L54" i="3"/>
  <c r="O54" i="3"/>
  <c r="M65" i="3"/>
  <c r="K66" i="3"/>
  <c r="L66" i="3" s="1"/>
  <c r="L13" i="3"/>
  <c r="O13" i="3"/>
  <c r="M17" i="3"/>
  <c r="M24" i="3"/>
  <c r="L42" i="3"/>
  <c r="O42" i="3"/>
  <c r="M92" i="3"/>
  <c r="M23" i="3"/>
  <c r="M45" i="3"/>
  <c r="L41" i="3"/>
  <c r="O41" i="3"/>
  <c r="K3" i="3"/>
  <c r="L17" i="3"/>
  <c r="O17" i="3"/>
  <c r="L55" i="3"/>
  <c r="O55" i="3"/>
  <c r="L24" i="3"/>
  <c r="O24" i="3"/>
  <c r="M55" i="3"/>
  <c r="K36" i="3"/>
  <c r="L36" i="3" s="1"/>
  <c r="M29" i="3"/>
  <c r="M81" i="3"/>
  <c r="M71" i="3"/>
  <c r="L87" i="3"/>
  <c r="O87" i="3"/>
  <c r="L27" i="3"/>
  <c r="O27" i="3"/>
  <c r="L60" i="3"/>
  <c r="O60" i="3"/>
  <c r="L29" i="3"/>
  <c r="O29" i="3"/>
  <c r="L21" i="3"/>
  <c r="O21" i="3"/>
  <c r="L71" i="3"/>
  <c r="O71" i="3"/>
  <c r="L82" i="3"/>
  <c r="O82" i="3"/>
  <c r="L80" i="3"/>
  <c r="O80" i="3"/>
  <c r="K20" i="3"/>
  <c r="M43" i="3"/>
  <c r="L72" i="3"/>
  <c r="O72" i="3"/>
  <c r="L74" i="3"/>
  <c r="O74" i="3"/>
  <c r="M33" i="3"/>
  <c r="L14" i="3"/>
  <c r="O14" i="3"/>
  <c r="K6" i="3"/>
  <c r="L6" i="3" s="1"/>
  <c r="L15" i="3"/>
  <c r="O15" i="3"/>
  <c r="K37" i="3"/>
  <c r="L37" i="3" s="1"/>
  <c r="L28" i="3"/>
  <c r="O28" i="3"/>
  <c r="L19" i="3"/>
  <c r="L96" i="3"/>
  <c r="O96" i="3"/>
  <c r="L99" i="3"/>
  <c r="O99" i="3"/>
  <c r="M2" i="3"/>
  <c r="L59" i="3"/>
  <c r="O59" i="3"/>
  <c r="K78" i="3"/>
  <c r="K9" i="3"/>
  <c r="L9" i="3" s="1"/>
  <c r="M79" i="3"/>
  <c r="L91" i="3"/>
  <c r="O91" i="3"/>
  <c r="L18" i="3"/>
  <c r="O18" i="3"/>
  <c r="M57" i="3"/>
  <c r="M85" i="3"/>
  <c r="K93" i="3"/>
  <c r="M86" i="3"/>
  <c r="L79" i="3"/>
  <c r="O79" i="3"/>
  <c r="L90" i="3"/>
  <c r="O90" i="3"/>
  <c r="L57" i="3"/>
  <c r="O57" i="3"/>
  <c r="L85" i="3"/>
  <c r="O85" i="3"/>
  <c r="L94" i="3"/>
  <c r="O94" i="3"/>
  <c r="L86" i="3"/>
  <c r="O86" i="3"/>
  <c r="I85" i="5"/>
  <c r="I85" i="3" s="1"/>
  <c r="K100" i="3"/>
  <c r="M100" i="3"/>
  <c r="I66" i="5"/>
  <c r="I66" i="3" s="1"/>
  <c r="I45" i="5"/>
  <c r="I45" i="3" s="1"/>
  <c r="I31" i="5"/>
  <c r="I31" i="3" s="1"/>
  <c r="N31" i="3" s="1"/>
  <c r="P31" i="3" s="1"/>
  <c r="I71" i="5"/>
  <c r="I71" i="3" s="1"/>
  <c r="N71" i="3" s="1"/>
  <c r="P71" i="3" s="1"/>
  <c r="M96" i="3"/>
  <c r="M40" i="3"/>
  <c r="I93" i="5"/>
  <c r="I93" i="3" s="1"/>
  <c r="N93" i="3" s="1"/>
  <c r="P93" i="3" s="1"/>
  <c r="M77" i="3"/>
  <c r="I11" i="5"/>
  <c r="I11" i="3" s="1"/>
  <c r="M54" i="3"/>
  <c r="I35" i="5"/>
  <c r="I35" i="3" s="1"/>
  <c r="I98" i="5"/>
  <c r="I98" i="3" s="1"/>
  <c r="I23" i="5"/>
  <c r="I23" i="3" s="1"/>
  <c r="M25" i="3"/>
  <c r="I15" i="5"/>
  <c r="I15" i="3" s="1"/>
  <c r="N15" i="3" s="1"/>
  <c r="P15" i="3" s="1"/>
  <c r="I36" i="5"/>
  <c r="I36" i="3" s="1"/>
  <c r="I6" i="5"/>
  <c r="I6" i="3" s="1"/>
  <c r="I64" i="5"/>
  <c r="I64" i="3" s="1"/>
  <c r="I37" i="5"/>
  <c r="I37" i="3" s="1"/>
  <c r="I63" i="5"/>
  <c r="I63" i="3" s="1"/>
  <c r="M99" i="3"/>
  <c r="K32" i="3"/>
  <c r="L32" i="3" s="1"/>
  <c r="K26" i="3"/>
  <c r="I60" i="5"/>
  <c r="I60" i="3" s="1"/>
  <c r="I83" i="5"/>
  <c r="I83" i="3" s="1"/>
  <c r="I38" i="5"/>
  <c r="I38" i="3" s="1"/>
  <c r="I10" i="5"/>
  <c r="I10" i="3" s="1"/>
  <c r="I97" i="5"/>
  <c r="I97" i="3" s="1"/>
  <c r="M74" i="3"/>
  <c r="K53" i="3"/>
  <c r="M53" i="3"/>
  <c r="I22" i="5"/>
  <c r="I22" i="3" s="1"/>
  <c r="N22" i="3" s="1"/>
  <c r="P22" i="3" s="1"/>
  <c r="I4" i="5"/>
  <c r="I4" i="3" s="1"/>
  <c r="I12" i="5"/>
  <c r="I12" i="3" s="1"/>
  <c r="I21" i="5"/>
  <c r="I21" i="3" s="1"/>
  <c r="N21" i="3" s="1"/>
  <c r="P21" i="3" s="1"/>
  <c r="I99" i="5"/>
  <c r="I99" i="3" s="1"/>
  <c r="I77" i="5"/>
  <c r="I77" i="3" s="1"/>
  <c r="I86" i="5"/>
  <c r="I86" i="3" s="1"/>
  <c r="I3" i="5"/>
  <c r="I3" i="3" s="1"/>
  <c r="I69" i="5"/>
  <c r="I69" i="3" s="1"/>
  <c r="I90" i="5"/>
  <c r="I90" i="3" s="1"/>
  <c r="K44" i="3"/>
  <c r="L44" i="3" s="1"/>
  <c r="M34" i="3"/>
  <c r="I82" i="5"/>
  <c r="I82" i="3" s="1"/>
  <c r="N82" i="3" s="1"/>
  <c r="P82" i="3" s="1"/>
  <c r="I58" i="5"/>
  <c r="I58" i="3" s="1"/>
  <c r="I17" i="5"/>
  <c r="I17" i="3" s="1"/>
  <c r="I41" i="5"/>
  <c r="I41" i="3" s="1"/>
  <c r="I49" i="5"/>
  <c r="I49" i="3" s="1"/>
  <c r="N49" i="3" s="1"/>
  <c r="P49" i="3" s="1"/>
  <c r="I43" i="5"/>
  <c r="I43" i="3" s="1"/>
  <c r="K76" i="3"/>
  <c r="K56" i="3"/>
  <c r="M56" i="3"/>
  <c r="K22" i="3"/>
  <c r="M22" i="3"/>
  <c r="I61" i="5"/>
  <c r="I61" i="3" s="1"/>
  <c r="I80" i="5"/>
  <c r="I80" i="3" s="1"/>
  <c r="N80" i="3" s="1"/>
  <c r="P80" i="3" s="1"/>
  <c r="I73" i="5"/>
  <c r="I73" i="3" s="1"/>
  <c r="I87" i="5"/>
  <c r="I87" i="3" s="1"/>
  <c r="I44" i="5"/>
  <c r="I44" i="3" s="1"/>
  <c r="I72" i="5"/>
  <c r="I72" i="3" s="1"/>
  <c r="M15" i="3"/>
  <c r="K95" i="3"/>
  <c r="I96" i="5"/>
  <c r="I96" i="3" s="1"/>
  <c r="I81" i="5"/>
  <c r="I81" i="3" s="1"/>
  <c r="M88" i="3"/>
  <c r="K88" i="3"/>
  <c r="I25" i="5"/>
  <c r="I25" i="3" s="1"/>
  <c r="I52" i="5"/>
  <c r="I52" i="3" s="1"/>
  <c r="I24" i="5"/>
  <c r="I24" i="3" s="1"/>
  <c r="N24" i="3" s="1"/>
  <c r="P24" i="3" s="1"/>
  <c r="I40" i="5"/>
  <c r="I40" i="3" s="1"/>
  <c r="I91" i="5"/>
  <c r="I91" i="3" s="1"/>
  <c r="N91" i="3" s="1"/>
  <c r="P91" i="3" s="1"/>
  <c r="I18" i="5"/>
  <c r="I18" i="3" s="1"/>
  <c r="I56" i="5"/>
  <c r="I56" i="3" s="1"/>
  <c r="N56" i="3" s="1"/>
  <c r="P56" i="3" s="1"/>
  <c r="I55" i="5"/>
  <c r="I55" i="3" s="1"/>
  <c r="I51" i="5"/>
  <c r="I51" i="3" s="1"/>
  <c r="I5" i="5"/>
  <c r="I5" i="3" s="1"/>
  <c r="I29" i="5"/>
  <c r="I29" i="3" s="1"/>
  <c r="N29" i="3" s="1"/>
  <c r="P29" i="3" s="1"/>
  <c r="I89" i="5"/>
  <c r="I89" i="3" s="1"/>
  <c r="I74" i="5"/>
  <c r="I74" i="3" s="1"/>
  <c r="I79" i="5"/>
  <c r="I79" i="3" s="1"/>
  <c r="I70" i="5"/>
  <c r="I70" i="3" s="1"/>
  <c r="I33" i="5"/>
  <c r="I33" i="3" s="1"/>
  <c r="M48" i="3"/>
  <c r="K5" i="3"/>
  <c r="L5" i="3" s="1"/>
  <c r="M90" i="3"/>
  <c r="K75" i="3"/>
  <c r="M75" i="3"/>
  <c r="K11" i="3"/>
  <c r="L11" i="3" s="1"/>
  <c r="I62" i="5"/>
  <c r="I62" i="3" s="1"/>
  <c r="I46" i="5"/>
  <c r="I46" i="3" s="1"/>
  <c r="I100" i="5"/>
  <c r="I100" i="3" s="1"/>
  <c r="I30" i="5"/>
  <c r="I30" i="3" s="1"/>
  <c r="N30" i="3" s="1"/>
  <c r="P30" i="3" s="1"/>
  <c r="M46" i="3"/>
  <c r="M47" i="3"/>
  <c r="K47" i="3"/>
  <c r="L47" i="3" s="1"/>
  <c r="M98" i="3"/>
  <c r="K98" i="3"/>
  <c r="K61" i="3"/>
  <c r="M61" i="3"/>
  <c r="I20" i="5"/>
  <c r="I20" i="3" s="1"/>
  <c r="I59" i="5"/>
  <c r="I59" i="3" s="1"/>
  <c r="K84" i="3"/>
  <c r="M84" i="3"/>
  <c r="I34" i="5"/>
  <c r="I34" i="3" s="1"/>
  <c r="I26" i="5"/>
  <c r="I26" i="3" s="1"/>
  <c r="N26" i="3" s="1"/>
  <c r="P26" i="3" s="1"/>
  <c r="I54" i="5"/>
  <c r="I54" i="3" s="1"/>
  <c r="I84" i="5"/>
  <c r="I84" i="3" s="1"/>
  <c r="K73" i="3"/>
  <c r="M72" i="3"/>
  <c r="M51" i="3"/>
  <c r="M21" i="3"/>
  <c r="K68" i="3"/>
  <c r="L68" i="3" s="1"/>
  <c r="M12" i="3"/>
  <c r="K97" i="3"/>
  <c r="M63" i="3"/>
  <c r="K67" i="3"/>
  <c r="L67" i="3" s="1"/>
  <c r="M50" i="3"/>
  <c r="K30" i="3"/>
  <c r="K89" i="3"/>
  <c r="M94" i="3"/>
  <c r="M18" i="3"/>
  <c r="M8" i="3"/>
  <c r="M39" i="3"/>
  <c r="M16" i="3"/>
  <c r="K10" i="3"/>
  <c r="L10" i="3" s="1"/>
  <c r="M91" i="3"/>
  <c r="M60" i="3"/>
  <c r="F18" i="1" l="1"/>
  <c r="O49" i="3"/>
  <c r="L100" i="3"/>
  <c r="O100" i="3"/>
  <c r="L89" i="3"/>
  <c r="O89" i="3"/>
  <c r="L26" i="3"/>
  <c r="O26" i="3"/>
  <c r="O20" i="3"/>
  <c r="L20" i="3"/>
  <c r="L78" i="3"/>
  <c r="O78" i="3"/>
  <c r="L93" i="3"/>
  <c r="O93" i="3"/>
  <c r="L84" i="3"/>
  <c r="O84" i="3"/>
  <c r="L88" i="3"/>
  <c r="O88" i="3"/>
  <c r="L53" i="3"/>
  <c r="O53" i="3"/>
  <c r="L3" i="3"/>
  <c r="O3" i="3"/>
  <c r="L22" i="3"/>
  <c r="O22" i="3"/>
  <c r="L98" i="3"/>
  <c r="O98" i="3"/>
  <c r="L73" i="3"/>
  <c r="O73" i="3"/>
  <c r="L30" i="3"/>
  <c r="O30" i="3"/>
  <c r="L97" i="3"/>
  <c r="O97" i="3"/>
  <c r="C8" i="1"/>
  <c r="L56" i="3"/>
  <c r="O56" i="3"/>
  <c r="I34" i="1" a="1"/>
  <c r="I34" i="1" s="1"/>
  <c r="J34" i="1" s="1"/>
  <c r="L61" i="3"/>
  <c r="O61" i="3"/>
  <c r="L75" i="3"/>
  <c r="O75" i="3"/>
  <c r="L95" i="3"/>
  <c r="O95" i="3"/>
  <c r="L76" i="3"/>
  <c r="O76" i="3"/>
  <c r="I33" i="1" a="1"/>
  <c r="I33" i="1" s="1"/>
  <c r="K33" i="1" s="1"/>
  <c r="I32" i="1" a="1"/>
  <c r="I32" i="1" s="1"/>
  <c r="I21" i="1"/>
  <c r="I35" i="1" a="1"/>
  <c r="I35" i="1" s="1"/>
  <c r="I22" i="1"/>
  <c r="I25" i="1"/>
  <c r="I31" i="1" a="1"/>
  <c r="I31" i="1" s="1"/>
  <c r="I24" i="1"/>
  <c r="I23" i="1"/>
  <c r="L33" i="1" l="1"/>
  <c r="J33" i="1"/>
  <c r="L34" i="1"/>
  <c r="K34" i="1"/>
  <c r="L31" i="1"/>
  <c r="J31" i="1"/>
  <c r="K31" i="1"/>
  <c r="J22" i="1"/>
  <c r="K22" i="1"/>
  <c r="L22" i="1"/>
  <c r="J35" i="1"/>
  <c r="L35" i="1"/>
  <c r="K35" i="1"/>
  <c r="K21" i="1"/>
  <c r="J21" i="1"/>
  <c r="L21" i="1"/>
  <c r="J25" i="1"/>
  <c r="L25" i="1"/>
  <c r="K25" i="1"/>
  <c r="L32" i="1"/>
  <c r="J32" i="1"/>
  <c r="K32" i="1"/>
  <c r="J24" i="1"/>
  <c r="L24" i="1"/>
  <c r="K24" i="1"/>
  <c r="J23" i="1"/>
  <c r="L23" i="1"/>
  <c r="K23" i="1"/>
  <c r="H50" i="20"/>
  <c r="K50" i="20"/>
  <c r="E50" i="20"/>
  <c r="F50" i="20"/>
  <c r="G50" i="20"/>
  <c r="L50" i="20"/>
  <c r="H62" i="20"/>
  <c r="L62" i="20"/>
  <c r="E62" i="20"/>
  <c r="G62" i="20"/>
  <c r="F62" i="20"/>
  <c r="K62" i="20"/>
  <c r="H90" i="20"/>
  <c r="H89" i="20"/>
  <c r="F89" i="20"/>
  <c r="K89" i="20"/>
  <c r="E89" i="20"/>
  <c r="G89" i="20"/>
  <c r="L89" i="20"/>
  <c r="G63" i="20"/>
  <c r="F63" i="20"/>
  <c r="L63" i="20"/>
  <c r="K63" i="20"/>
  <c r="E63" i="20"/>
  <c r="G92" i="20"/>
  <c r="L92" i="20"/>
  <c r="K92" i="20"/>
  <c r="E92" i="20"/>
  <c r="F92" i="20"/>
  <c r="E88" i="20"/>
  <c r="G88" i="20"/>
  <c r="F88" i="20"/>
  <c r="L88" i="20"/>
  <c r="K88" i="20"/>
  <c r="K25" i="20"/>
  <c r="G25" i="20"/>
  <c r="F25" i="20"/>
  <c r="L25" i="20"/>
  <c r="E25" i="20"/>
  <c r="F57" i="20"/>
  <c r="G57" i="20"/>
  <c r="E57" i="20"/>
  <c r="H57" i="20"/>
  <c r="K57" i="20"/>
  <c r="L57" i="20"/>
  <c r="L34" i="20"/>
  <c r="E34" i="20"/>
  <c r="K34" i="20"/>
  <c r="G34" i="20"/>
  <c r="F34" i="20"/>
  <c r="H30" i="20"/>
  <c r="E97" i="20"/>
  <c r="L97" i="20"/>
  <c r="K97" i="20"/>
  <c r="F97" i="20"/>
  <c r="G97" i="20"/>
  <c r="H12" i="20"/>
  <c r="K73" i="20"/>
  <c r="E73" i="20"/>
  <c r="L73" i="20"/>
  <c r="F73" i="20"/>
  <c r="G73" i="20"/>
  <c r="H59" i="20"/>
  <c r="H31" i="20"/>
  <c r="K48" i="20"/>
  <c r="L48" i="20"/>
  <c r="G48" i="20"/>
  <c r="F48" i="20"/>
  <c r="E48" i="20"/>
  <c r="H8" i="20"/>
  <c r="H45" i="20"/>
  <c r="F100" i="20"/>
  <c r="E100" i="20"/>
  <c r="L100" i="20"/>
  <c r="K100" i="20"/>
  <c r="G100" i="20"/>
  <c r="G14" i="20"/>
  <c r="K14" i="20"/>
  <c r="E14" i="20"/>
  <c r="L14" i="20"/>
  <c r="F14" i="20"/>
  <c r="F6" i="20"/>
  <c r="G6" i="20"/>
  <c r="L6" i="20"/>
  <c r="K6" i="20"/>
  <c r="E6" i="20"/>
  <c r="H86" i="20"/>
  <c r="K42" i="20"/>
  <c r="G42" i="20"/>
  <c r="E42" i="20"/>
  <c r="L42" i="20"/>
  <c r="F42" i="20"/>
  <c r="H5" i="20"/>
  <c r="F41" i="20"/>
  <c r="H41" i="20"/>
  <c r="K41" i="20"/>
  <c r="E41" i="20"/>
  <c r="L41" i="20"/>
  <c r="G41" i="20"/>
  <c r="H93" i="20"/>
  <c r="H91" i="20"/>
  <c r="F78" i="20"/>
  <c r="K78" i="20"/>
  <c r="G78" i="20"/>
  <c r="L78" i="20"/>
  <c r="E78" i="20"/>
  <c r="H75" i="20"/>
  <c r="H40" i="20"/>
  <c r="G4" i="20"/>
  <c r="K4" i="20"/>
  <c r="E4" i="20"/>
  <c r="L4" i="20"/>
  <c r="F4" i="20"/>
  <c r="H21" i="20"/>
  <c r="H97" i="20"/>
  <c r="H61" i="20"/>
  <c r="E49" i="20"/>
  <c r="F49" i="20"/>
  <c r="G49" i="20"/>
  <c r="K49" i="20"/>
  <c r="L49" i="20"/>
  <c r="L87" i="20"/>
  <c r="G87" i="20"/>
  <c r="E87" i="20"/>
  <c r="K87" i="20"/>
  <c r="F87" i="20"/>
  <c r="H51" i="20"/>
  <c r="H68" i="20"/>
  <c r="H94" i="20"/>
  <c r="H64" i="20"/>
  <c r="H28" i="20"/>
  <c r="H98" i="20"/>
  <c r="H3" i="20"/>
  <c r="H55" i="20"/>
  <c r="H54" i="20"/>
  <c r="H58" i="20"/>
  <c r="H35" i="20"/>
  <c r="H78" i="20"/>
  <c r="H53" i="20"/>
  <c r="H6" i="20"/>
  <c r="H25" i="20"/>
  <c r="H96" i="20"/>
  <c r="H100" i="20"/>
  <c r="H43" i="20"/>
  <c r="H76" i="20"/>
  <c r="H44" i="20"/>
  <c r="H63" i="20"/>
  <c r="H73" i="20"/>
  <c r="M73" i="20" s="1"/>
  <c r="N73" i="3" s="1"/>
  <c r="P73" i="3" s="1"/>
  <c r="H10" i="20"/>
  <c r="H42" i="20"/>
  <c r="H22" i="20"/>
  <c r="H18" i="20"/>
  <c r="H88" i="20"/>
  <c r="H87" i="20"/>
  <c r="H92" i="20"/>
  <c r="F33" i="20"/>
  <c r="L33" i="20"/>
  <c r="K33" i="20"/>
  <c r="E33" i="20"/>
  <c r="G33" i="20"/>
  <c r="H95" i="20"/>
  <c r="E32" i="20"/>
  <c r="G32" i="20"/>
  <c r="K32" i="20"/>
  <c r="F32" i="20"/>
  <c r="L32" i="20"/>
  <c r="G52" i="20"/>
  <c r="K52" i="20"/>
  <c r="L52" i="20"/>
  <c r="H52" i="20"/>
  <c r="F52" i="20"/>
  <c r="E52" i="20"/>
  <c r="G29" i="20"/>
  <c r="F29" i="20"/>
  <c r="L29" i="20"/>
  <c r="E29" i="20"/>
  <c r="K29" i="20"/>
  <c r="G82" i="20"/>
  <c r="K82" i="20"/>
  <c r="H82" i="20"/>
  <c r="L82" i="20"/>
  <c r="F82" i="20"/>
  <c r="E82" i="20"/>
  <c r="H49" i="20"/>
  <c r="H39" i="20"/>
  <c r="H69" i="20"/>
  <c r="H17" i="20"/>
  <c r="E95" i="20"/>
  <c r="L95" i="20"/>
  <c r="F95" i="20"/>
  <c r="K95" i="20"/>
  <c r="G95" i="20"/>
  <c r="K72" i="20"/>
  <c r="L72" i="20"/>
  <c r="G72" i="20"/>
  <c r="F72" i="20"/>
  <c r="H72" i="20"/>
  <c r="E72" i="20"/>
  <c r="K19" i="20"/>
  <c r="G19" i="20"/>
  <c r="F19" i="20"/>
  <c r="L19" i="20"/>
  <c r="H19" i="20"/>
  <c r="E19" i="20"/>
  <c r="L22" i="20"/>
  <c r="K22" i="20"/>
  <c r="F22" i="20"/>
  <c r="G22" i="20"/>
  <c r="E22" i="20"/>
  <c r="G15" i="20"/>
  <c r="L15" i="20"/>
  <c r="F15" i="20"/>
  <c r="E15" i="20"/>
  <c r="K15" i="20"/>
  <c r="L7" i="20"/>
  <c r="F7" i="20"/>
  <c r="E7" i="20"/>
  <c r="K7" i="20"/>
  <c r="G7" i="20"/>
  <c r="H77" i="20"/>
  <c r="H79" i="20"/>
  <c r="F98" i="20"/>
  <c r="G98" i="20"/>
  <c r="E98" i="20"/>
  <c r="K98" i="20"/>
  <c r="L98" i="20"/>
  <c r="H9" i="20"/>
  <c r="H67" i="20"/>
  <c r="G67" i="20"/>
  <c r="L67" i="20"/>
  <c r="F67" i="20"/>
  <c r="E67" i="20"/>
  <c r="K67" i="20"/>
  <c r="H80" i="20"/>
  <c r="L59" i="20"/>
  <c r="K59" i="20"/>
  <c r="F59" i="20"/>
  <c r="E59" i="20"/>
  <c r="G59" i="20"/>
  <c r="G16" i="20"/>
  <c r="K16" i="20"/>
  <c r="H16" i="20"/>
  <c r="F16" i="20"/>
  <c r="E16" i="20"/>
  <c r="L16" i="20"/>
  <c r="G81" i="20"/>
  <c r="F81" i="20"/>
  <c r="E81" i="20"/>
  <c r="H81" i="20"/>
  <c r="K81" i="20"/>
  <c r="L81" i="20"/>
  <c r="H20" i="20"/>
  <c r="F45" i="20"/>
  <c r="L45" i="20"/>
  <c r="E45" i="20"/>
  <c r="K45" i="20"/>
  <c r="G45" i="20"/>
  <c r="F20" i="20"/>
  <c r="L20" i="20"/>
  <c r="K20" i="20"/>
  <c r="E20" i="20"/>
  <c r="G20" i="20"/>
  <c r="H74" i="20"/>
  <c r="H26" i="20"/>
  <c r="G27" i="20"/>
  <c r="L27" i="20"/>
  <c r="F27" i="20"/>
  <c r="E27" i="20"/>
  <c r="H27" i="20"/>
  <c r="K27" i="20"/>
  <c r="G84" i="20"/>
  <c r="F84" i="20"/>
  <c r="E84" i="20"/>
  <c r="K84" i="20"/>
  <c r="L84" i="20"/>
  <c r="E75" i="20"/>
  <c r="G75" i="20"/>
  <c r="L75" i="20"/>
  <c r="K75" i="20"/>
  <c r="F75" i="20"/>
  <c r="H29" i="20"/>
  <c r="E24" i="20"/>
  <c r="L24" i="20"/>
  <c r="G24" i="20"/>
  <c r="K24" i="20"/>
  <c r="F24" i="20"/>
  <c r="E56" i="20"/>
  <c r="K56" i="20"/>
  <c r="F56" i="20"/>
  <c r="L56" i="20"/>
  <c r="G56" i="20"/>
  <c r="K23" i="20"/>
  <c r="F23" i="20"/>
  <c r="L23" i="20"/>
  <c r="E23" i="20"/>
  <c r="G23" i="20"/>
  <c r="K68" i="20"/>
  <c r="G68" i="20"/>
  <c r="F68" i="20"/>
  <c r="E68" i="20"/>
  <c r="L68" i="20"/>
  <c r="G28" i="20"/>
  <c r="F28" i="20"/>
  <c r="K28" i="20"/>
  <c r="E28" i="20"/>
  <c r="L28" i="20"/>
  <c r="E53" i="20"/>
  <c r="G53" i="20"/>
  <c r="L53" i="20"/>
  <c r="F53" i="20"/>
  <c r="K53" i="20"/>
  <c r="L99" i="20"/>
  <c r="E99" i="20"/>
  <c r="G99" i="20"/>
  <c r="K99" i="20"/>
  <c r="F99" i="20"/>
  <c r="H37" i="20"/>
  <c r="H48" i="20"/>
  <c r="H99" i="20"/>
  <c r="H4" i="20"/>
  <c r="K5" i="20"/>
  <c r="L5" i="20"/>
  <c r="F5" i="20"/>
  <c r="E5" i="20"/>
  <c r="G5" i="20"/>
  <c r="G30" i="20"/>
  <c r="E30" i="20"/>
  <c r="K30" i="20"/>
  <c r="L30" i="20"/>
  <c r="F30" i="20"/>
  <c r="H46" i="20"/>
  <c r="L66" i="20"/>
  <c r="K66" i="20"/>
  <c r="G66" i="20"/>
  <c r="E66" i="20"/>
  <c r="F66" i="20"/>
  <c r="K46" i="20"/>
  <c r="E46" i="20"/>
  <c r="F46" i="20"/>
  <c r="L46" i="20"/>
  <c r="G46" i="20"/>
  <c r="H65" i="20"/>
  <c r="H60" i="20"/>
  <c r="K39" i="20"/>
  <c r="G39" i="20"/>
  <c r="E39" i="20"/>
  <c r="L39" i="20"/>
  <c r="F39" i="20"/>
  <c r="L69" i="20"/>
  <c r="E69" i="20"/>
  <c r="F69" i="20"/>
  <c r="K69" i="20"/>
  <c r="G69" i="20"/>
  <c r="K17" i="20"/>
  <c r="G17" i="20"/>
  <c r="F17" i="20"/>
  <c r="E17" i="20"/>
  <c r="L17" i="20"/>
  <c r="E90" i="20"/>
  <c r="F90" i="20"/>
  <c r="L90" i="20"/>
  <c r="K90" i="20"/>
  <c r="G90" i="20"/>
  <c r="K70" i="20"/>
  <c r="H70" i="20"/>
  <c r="G70" i="20"/>
  <c r="F70" i="20"/>
  <c r="E70" i="20"/>
  <c r="L70" i="20"/>
  <c r="F86" i="20"/>
  <c r="G86" i="20"/>
  <c r="E86" i="20"/>
  <c r="L86" i="20"/>
  <c r="K86" i="20"/>
  <c r="F54" i="20"/>
  <c r="L54" i="20"/>
  <c r="E54" i="20"/>
  <c r="G54" i="20"/>
  <c r="K54" i="20"/>
  <c r="L79" i="20"/>
  <c r="K79" i="20"/>
  <c r="E79" i="20"/>
  <c r="G79" i="20"/>
  <c r="F79" i="20"/>
  <c r="H34" i="20"/>
  <c r="F12" i="20"/>
  <c r="K12" i="20"/>
  <c r="L12" i="20"/>
  <c r="E12" i="20"/>
  <c r="G12" i="20"/>
  <c r="L44" i="20"/>
  <c r="F44" i="20"/>
  <c r="K44" i="20"/>
  <c r="G44" i="20"/>
  <c r="E44" i="20"/>
  <c r="H38" i="20"/>
  <c r="H7" i="20"/>
  <c r="E21" i="20"/>
  <c r="G21" i="20"/>
  <c r="K21" i="20"/>
  <c r="F21" i="20"/>
  <c r="L21" i="20"/>
  <c r="G55" i="20"/>
  <c r="L55" i="20"/>
  <c r="E55" i="20"/>
  <c r="F55" i="20"/>
  <c r="K55" i="20"/>
  <c r="E10" i="20"/>
  <c r="G10" i="20"/>
  <c r="K10" i="20"/>
  <c r="L10" i="20"/>
  <c r="F10" i="20"/>
  <c r="L9" i="20"/>
  <c r="E9" i="20"/>
  <c r="G9" i="20"/>
  <c r="F9" i="20"/>
  <c r="K9" i="20"/>
  <c r="H32" i="20"/>
  <c r="H15" i="20"/>
  <c r="K18" i="20"/>
  <c r="E18" i="20"/>
  <c r="G18" i="20"/>
  <c r="F18" i="20"/>
  <c r="L18" i="20"/>
  <c r="G76" i="20"/>
  <c r="F76" i="20"/>
  <c r="E76" i="20"/>
  <c r="K76" i="20"/>
  <c r="L76" i="20"/>
  <c r="H66" i="20"/>
  <c r="H24" i="20"/>
  <c r="H84" i="20"/>
  <c r="H14" i="20"/>
  <c r="G47" i="20"/>
  <c r="K47" i="20"/>
  <c r="E47" i="20"/>
  <c r="F47" i="20"/>
  <c r="L47" i="20"/>
  <c r="H47" i="20"/>
  <c r="H23" i="20"/>
  <c r="L35" i="20"/>
  <c r="E35" i="20"/>
  <c r="G35" i="20"/>
  <c r="K35" i="20"/>
  <c r="F35" i="20"/>
  <c r="G8" i="20"/>
  <c r="L8" i="20"/>
  <c r="K8" i="20"/>
  <c r="F8" i="20"/>
  <c r="E8" i="20"/>
  <c r="K96" i="20"/>
  <c r="L96" i="20"/>
  <c r="F96" i="20"/>
  <c r="E96" i="20"/>
  <c r="G96" i="20"/>
  <c r="K58" i="20"/>
  <c r="L58" i="20"/>
  <c r="E58" i="20"/>
  <c r="G58" i="20"/>
  <c r="F58" i="20"/>
  <c r="F94" i="20"/>
  <c r="L94" i="20"/>
  <c r="K94" i="20"/>
  <c r="G94" i="20"/>
  <c r="E94" i="20"/>
  <c r="G60" i="20"/>
  <c r="E60" i="20"/>
  <c r="F60" i="20"/>
  <c r="L60" i="20"/>
  <c r="K60" i="20"/>
  <c r="G3" i="20"/>
  <c r="L3" i="20"/>
  <c r="E3" i="20"/>
  <c r="F3" i="20"/>
  <c r="K3" i="20"/>
  <c r="E64" i="20"/>
  <c r="K64" i="20"/>
  <c r="G64" i="20"/>
  <c r="L64" i="20"/>
  <c r="F64" i="20"/>
  <c r="G26" i="20"/>
  <c r="K26" i="20"/>
  <c r="F26" i="20"/>
  <c r="E26" i="20"/>
  <c r="L26" i="20"/>
  <c r="F74" i="20"/>
  <c r="G74" i="20"/>
  <c r="L74" i="20"/>
  <c r="K74" i="20"/>
  <c r="E74" i="20"/>
  <c r="F2" i="20"/>
  <c r="G2" i="20"/>
  <c r="L2" i="20"/>
  <c r="K2" i="20"/>
  <c r="H2" i="20"/>
  <c r="E2" i="20"/>
  <c r="K40" i="20"/>
  <c r="G40" i="20"/>
  <c r="F40" i="20"/>
  <c r="E40" i="20"/>
  <c r="L40" i="20"/>
  <c r="G91" i="20"/>
  <c r="E91" i="20"/>
  <c r="K91" i="20"/>
  <c r="L91" i="20"/>
  <c r="F91" i="20"/>
  <c r="L43" i="20"/>
  <c r="E43" i="20"/>
  <c r="K43" i="20"/>
  <c r="F43" i="20"/>
  <c r="G43" i="20"/>
  <c r="G80" i="20"/>
  <c r="E80" i="20"/>
  <c r="L80" i="20"/>
  <c r="K80" i="20"/>
  <c r="F80" i="20"/>
  <c r="E13" i="20"/>
  <c r="F13" i="20"/>
  <c r="H13" i="20"/>
  <c r="L13" i="20"/>
  <c r="K13" i="20"/>
  <c r="G13" i="20"/>
  <c r="E37" i="20"/>
  <c r="F37" i="20"/>
  <c r="K37" i="20"/>
  <c r="L37" i="20"/>
  <c r="G37" i="20"/>
  <c r="K51" i="20"/>
  <c r="E51" i="20"/>
  <c r="G51" i="20"/>
  <c r="F51" i="20"/>
  <c r="L51" i="20"/>
  <c r="K61" i="20"/>
  <c r="F61" i="20"/>
  <c r="L61" i="20"/>
  <c r="G61" i="20"/>
  <c r="E61" i="20"/>
  <c r="F65" i="20"/>
  <c r="L65" i="20"/>
  <c r="G65" i="20"/>
  <c r="K65" i="20"/>
  <c r="E65" i="20"/>
  <c r="H71" i="20"/>
  <c r="K71" i="20"/>
  <c r="F71" i="20"/>
  <c r="G71" i="20"/>
  <c r="L71" i="20"/>
  <c r="E71" i="20"/>
  <c r="G11" i="20"/>
  <c r="L11" i="20"/>
  <c r="K11" i="20"/>
  <c r="H11" i="20"/>
  <c r="F11" i="20"/>
  <c r="E11" i="20"/>
  <c r="L85" i="20"/>
  <c r="H85" i="20"/>
  <c r="E85" i="20"/>
  <c r="G85" i="20"/>
  <c r="F85" i="20"/>
  <c r="K85" i="20"/>
  <c r="F83" i="20"/>
  <c r="H83" i="20"/>
  <c r="K83" i="20"/>
  <c r="L83" i="20"/>
  <c r="G83" i="20"/>
  <c r="E83" i="20"/>
  <c r="K38" i="20"/>
  <c r="E38" i="20"/>
  <c r="G38" i="20"/>
  <c r="L38" i="20"/>
  <c r="F38" i="20"/>
  <c r="L31" i="20"/>
  <c r="G31" i="20"/>
  <c r="F31" i="20"/>
  <c r="K31" i="20"/>
  <c r="E31" i="20"/>
  <c r="G93" i="20"/>
  <c r="L93" i="20"/>
  <c r="E93" i="20"/>
  <c r="F93" i="20"/>
  <c r="K93" i="20"/>
  <c r="K36" i="20"/>
  <c r="E36" i="20"/>
  <c r="F36" i="20"/>
  <c r="L36" i="20"/>
  <c r="G36" i="20"/>
  <c r="H36" i="20"/>
  <c r="H56" i="20"/>
  <c r="L77" i="20"/>
  <c r="F77" i="20"/>
  <c r="G77" i="20"/>
  <c r="E77" i="20"/>
  <c r="K77" i="20"/>
  <c r="H33" i="20"/>
  <c r="M49" i="20" l="1"/>
  <c r="M50" i="20"/>
  <c r="N50" i="20" s="1"/>
  <c r="P50" i="20" s="1"/>
  <c r="M25" i="20"/>
  <c r="N25" i="3" s="1"/>
  <c r="P25" i="3" s="1"/>
  <c r="M29" i="20"/>
  <c r="N29" i="20" s="1"/>
  <c r="P29" i="20" s="1"/>
  <c r="M30" i="20"/>
  <c r="M18" i="20"/>
  <c r="N18" i="3" s="1"/>
  <c r="P18" i="3" s="1"/>
  <c r="M90" i="20"/>
  <c r="N90" i="3" s="1"/>
  <c r="P90" i="3" s="1"/>
  <c r="M15" i="20"/>
  <c r="N15" i="20" s="1"/>
  <c r="P15" i="20" s="1"/>
  <c r="M48" i="20"/>
  <c r="N48" i="20" s="1"/>
  <c r="P48" i="20" s="1"/>
  <c r="M42" i="20"/>
  <c r="N42" i="3" s="1"/>
  <c r="P42" i="3" s="1"/>
  <c r="M63" i="20"/>
  <c r="N63" i="20" s="1"/>
  <c r="P63" i="20" s="1"/>
  <c r="M40" i="20"/>
  <c r="N40" i="20" s="1"/>
  <c r="P40" i="20" s="1"/>
  <c r="M13" i="20"/>
  <c r="N13" i="20" s="1"/>
  <c r="P13" i="20" s="1"/>
  <c r="M52" i="20"/>
  <c r="N52" i="20" s="1"/>
  <c r="P52" i="20" s="1"/>
  <c r="M59" i="20"/>
  <c r="M71" i="20"/>
  <c r="N71" i="20" s="1"/>
  <c r="P71" i="20" s="1"/>
  <c r="M70" i="20"/>
  <c r="N70" i="20" s="1"/>
  <c r="P70" i="20" s="1"/>
  <c r="M72" i="20"/>
  <c r="N72" i="3" s="1"/>
  <c r="P72" i="3" s="1"/>
  <c r="M7" i="20"/>
  <c r="N7" i="20" s="1"/>
  <c r="P7" i="20" s="1"/>
  <c r="M83" i="20"/>
  <c r="N83" i="20" s="1"/>
  <c r="P83" i="20" s="1"/>
  <c r="M58" i="20"/>
  <c r="N58" i="3" s="1"/>
  <c r="P58" i="3" s="1"/>
  <c r="M100" i="20"/>
  <c r="N100" i="20" s="1"/>
  <c r="P100" i="20" s="1"/>
  <c r="M92" i="20"/>
  <c r="N92" i="20" s="1"/>
  <c r="P92" i="20" s="1"/>
  <c r="M14" i="20"/>
  <c r="N14" i="20" s="1"/>
  <c r="P14" i="20" s="1"/>
  <c r="M54" i="20"/>
  <c r="N54" i="20" s="1"/>
  <c r="P54" i="20" s="1"/>
  <c r="M89" i="20"/>
  <c r="N89" i="3" s="1"/>
  <c r="P89" i="3" s="1"/>
  <c r="M66" i="20"/>
  <c r="N66" i="20" s="1"/>
  <c r="P66" i="20" s="1"/>
  <c r="M26" i="20"/>
  <c r="N26" i="20" s="1"/>
  <c r="P26" i="20" s="1"/>
  <c r="M67" i="20"/>
  <c r="N67" i="20" s="1"/>
  <c r="P67" i="20" s="1"/>
  <c r="M86" i="20"/>
  <c r="N86" i="20" s="1"/>
  <c r="P86" i="20" s="1"/>
  <c r="M81" i="20"/>
  <c r="N81" i="20" s="1"/>
  <c r="P81" i="20" s="1"/>
  <c r="M23" i="20"/>
  <c r="N23" i="3" s="1"/>
  <c r="P23" i="3" s="1"/>
  <c r="M33" i="20"/>
  <c r="N33" i="20" s="1"/>
  <c r="P33" i="20" s="1"/>
  <c r="M61" i="20"/>
  <c r="N61" i="3" s="1"/>
  <c r="P61" i="3" s="1"/>
  <c r="M17" i="20"/>
  <c r="N17" i="3" s="1"/>
  <c r="P17" i="3" s="1"/>
  <c r="M69" i="20"/>
  <c r="N69" i="20" s="1"/>
  <c r="P69" i="20" s="1"/>
  <c r="M16" i="20"/>
  <c r="N16" i="20" s="1"/>
  <c r="P16" i="20" s="1"/>
  <c r="M87" i="20"/>
  <c r="N87" i="20" s="1"/>
  <c r="P87" i="20" s="1"/>
  <c r="M39" i="20"/>
  <c r="N39" i="20" s="1"/>
  <c r="P39" i="20" s="1"/>
  <c r="M32" i="20"/>
  <c r="N32" i="20" s="1"/>
  <c r="P32" i="20" s="1"/>
  <c r="M43" i="20"/>
  <c r="N43" i="20" s="1"/>
  <c r="P43" i="20" s="1"/>
  <c r="M56" i="20"/>
  <c r="N56" i="20" s="1"/>
  <c r="P56" i="20" s="1"/>
  <c r="M11" i="20"/>
  <c r="N11" i="20" s="1"/>
  <c r="P11" i="20" s="1"/>
  <c r="M79" i="20"/>
  <c r="N79" i="20" s="1"/>
  <c r="P79" i="20" s="1"/>
  <c r="M68" i="20"/>
  <c r="N68" i="20" s="1"/>
  <c r="P68" i="20" s="1"/>
  <c r="M24" i="20"/>
  <c r="N24" i="20" s="1"/>
  <c r="P24" i="20" s="1"/>
  <c r="M95" i="20"/>
  <c r="N95" i="20" s="1"/>
  <c r="P95" i="20" s="1"/>
  <c r="N49" i="20"/>
  <c r="P49" i="20" s="1"/>
  <c r="M4" i="20"/>
  <c r="N4" i="20" s="1"/>
  <c r="P4" i="20" s="1"/>
  <c r="M44" i="20"/>
  <c r="N44" i="20" s="1"/>
  <c r="P44" i="20" s="1"/>
  <c r="M20" i="20"/>
  <c r="N20" i="3" s="1"/>
  <c r="P20" i="3" s="1"/>
  <c r="M22" i="20"/>
  <c r="N22" i="20" s="1"/>
  <c r="P22" i="20" s="1"/>
  <c r="M55" i="20"/>
  <c r="M36" i="20"/>
  <c r="N36" i="20" s="1"/>
  <c r="P36" i="20" s="1"/>
  <c r="M51" i="20"/>
  <c r="N51" i="20" s="1"/>
  <c r="P51" i="20" s="1"/>
  <c r="M31" i="20"/>
  <c r="N31" i="20" s="1"/>
  <c r="P31" i="20" s="1"/>
  <c r="M9" i="20"/>
  <c r="N9" i="20" s="1"/>
  <c r="P9" i="20" s="1"/>
  <c r="M41" i="20"/>
  <c r="M19" i="20"/>
  <c r="N19" i="20" s="1"/>
  <c r="P19" i="20" s="1"/>
  <c r="M64" i="20"/>
  <c r="N64" i="20" s="1"/>
  <c r="P64" i="20" s="1"/>
  <c r="M45" i="20"/>
  <c r="N45" i="20" s="1"/>
  <c r="P45" i="20" s="1"/>
  <c r="M35" i="20"/>
  <c r="N35" i="20" s="1"/>
  <c r="P35" i="20" s="1"/>
  <c r="M21" i="20"/>
  <c r="N21" i="20" s="1"/>
  <c r="P21" i="20" s="1"/>
  <c r="M84" i="20"/>
  <c r="N84" i="20" s="1"/>
  <c r="P84" i="20" s="1"/>
  <c r="M98" i="20"/>
  <c r="N98" i="20" s="1"/>
  <c r="P98" i="20" s="1"/>
  <c r="M5" i="20"/>
  <c r="N5" i="20" s="1"/>
  <c r="P5" i="20" s="1"/>
  <c r="M6" i="20"/>
  <c r="N6" i="20" s="1"/>
  <c r="P6" i="20" s="1"/>
  <c r="M8" i="20"/>
  <c r="N8" i="20" s="1"/>
  <c r="P8" i="20" s="1"/>
  <c r="M2" i="20"/>
  <c r="M60" i="20"/>
  <c r="N60" i="3" s="1"/>
  <c r="P60" i="3" s="1"/>
  <c r="M10" i="20"/>
  <c r="N10" i="20" s="1"/>
  <c r="P10" i="20" s="1"/>
  <c r="M46" i="20"/>
  <c r="N46" i="20" s="1"/>
  <c r="P46" i="20" s="1"/>
  <c r="M82" i="20"/>
  <c r="N82" i="20" s="1"/>
  <c r="P82" i="20" s="1"/>
  <c r="M78" i="20"/>
  <c r="N78" i="20" s="1"/>
  <c r="P78" i="20" s="1"/>
  <c r="M99" i="20"/>
  <c r="N99" i="20" s="1"/>
  <c r="P99" i="20" s="1"/>
  <c r="M28" i="20"/>
  <c r="N28" i="20" s="1"/>
  <c r="P28" i="20" s="1"/>
  <c r="M27" i="20"/>
  <c r="N27" i="20" s="1"/>
  <c r="P27" i="20" s="1"/>
  <c r="M80" i="20"/>
  <c r="N80" i="20" s="1"/>
  <c r="P80" i="20" s="1"/>
  <c r="M97" i="20"/>
  <c r="N97" i="3" s="1"/>
  <c r="P97" i="3" s="1"/>
  <c r="M12" i="20"/>
  <c r="N12" i="20" s="1"/>
  <c r="P12" i="20" s="1"/>
  <c r="M88" i="20"/>
  <c r="N88" i="20" s="1"/>
  <c r="P88" i="20" s="1"/>
  <c r="M96" i="20"/>
  <c r="N96" i="20" s="1"/>
  <c r="P96" i="20" s="1"/>
  <c r="M57" i="20"/>
  <c r="N57" i="3" s="1"/>
  <c r="P57" i="3" s="1"/>
  <c r="M62" i="20"/>
  <c r="N62" i="20" s="1"/>
  <c r="P62" i="20" s="1"/>
  <c r="N18" i="20"/>
  <c r="P18" i="20" s="1"/>
  <c r="N20" i="20"/>
  <c r="P20" i="20" s="1"/>
  <c r="N30" i="20"/>
  <c r="P30" i="20" s="1"/>
  <c r="N73" i="20"/>
  <c r="P73" i="20" s="1"/>
  <c r="M34" i="20"/>
  <c r="N34" i="20" s="1"/>
  <c r="P34" i="20" s="1"/>
  <c r="N79" i="3"/>
  <c r="P79" i="3" s="1"/>
  <c r="M65" i="20"/>
  <c r="N65" i="20" s="1"/>
  <c r="P65" i="20" s="1"/>
  <c r="N99" i="3"/>
  <c r="P99" i="3" s="1"/>
  <c r="M85" i="20"/>
  <c r="M37" i="20"/>
  <c r="N37" i="20" s="1"/>
  <c r="P37" i="20" s="1"/>
  <c r="N98" i="3"/>
  <c r="P98" i="3" s="1"/>
  <c r="M47" i="20"/>
  <c r="N47" i="20" s="1"/>
  <c r="P47" i="20" s="1"/>
  <c r="M76" i="20"/>
  <c r="M3" i="20"/>
  <c r="M91" i="20"/>
  <c r="N91" i="20" s="1"/>
  <c r="P91" i="20" s="1"/>
  <c r="M53" i="20"/>
  <c r="M93" i="20"/>
  <c r="N93" i="20" s="1"/>
  <c r="P93" i="20" s="1"/>
  <c r="M74" i="20"/>
  <c r="M94" i="20"/>
  <c r="N94" i="20" s="1"/>
  <c r="P94" i="20" s="1"/>
  <c r="M38" i="20"/>
  <c r="N38" i="20" s="1"/>
  <c r="P38" i="20" s="1"/>
  <c r="M77" i="20"/>
  <c r="N87" i="3"/>
  <c r="P87" i="3" s="1"/>
  <c r="N59" i="3"/>
  <c r="P59" i="3" s="1"/>
  <c r="N59" i="20"/>
  <c r="P59" i="20" s="1"/>
  <c r="M75" i="20"/>
  <c r="N25" i="20" l="1"/>
  <c r="P25" i="20" s="1"/>
  <c r="N72" i="20"/>
  <c r="P72" i="20" s="1"/>
  <c r="N83" i="3"/>
  <c r="P83" i="3" s="1"/>
  <c r="N2" i="20"/>
  <c r="P2" i="20" s="1"/>
  <c r="N2" i="3"/>
  <c r="P2" i="3" s="1"/>
  <c r="N58" i="20"/>
  <c r="P58" i="20" s="1"/>
  <c r="N17" i="20"/>
  <c r="P17" i="20" s="1"/>
  <c r="N90" i="20"/>
  <c r="P90" i="20" s="1"/>
  <c r="N23" i="20"/>
  <c r="P23" i="20" s="1"/>
  <c r="N42" i="20"/>
  <c r="P42" i="20" s="1"/>
  <c r="N89" i="20"/>
  <c r="P89" i="20" s="1"/>
  <c r="N86" i="3"/>
  <c r="P86" i="3" s="1"/>
  <c r="N55" i="20"/>
  <c r="P55" i="20" s="1"/>
  <c r="N55" i="3"/>
  <c r="P55" i="3" s="1"/>
  <c r="N60" i="20"/>
  <c r="P60" i="20" s="1"/>
  <c r="N96" i="3"/>
  <c r="P96" i="3" s="1"/>
  <c r="N54" i="3"/>
  <c r="P54" i="3" s="1"/>
  <c r="N13" i="3"/>
  <c r="P13" i="3" s="1"/>
  <c r="N61" i="20"/>
  <c r="P61" i="20" s="1"/>
  <c r="N100" i="3"/>
  <c r="P100" i="3" s="1"/>
  <c r="N97" i="20"/>
  <c r="P97" i="20" s="1"/>
  <c r="N43" i="3"/>
  <c r="P43" i="3" s="1"/>
  <c r="N84" i="3"/>
  <c r="P84" i="3" s="1"/>
  <c r="N78" i="3"/>
  <c r="P78" i="3" s="1"/>
  <c r="N41" i="20"/>
  <c r="P41" i="20" s="1"/>
  <c r="N41" i="3"/>
  <c r="P41" i="3" s="1"/>
  <c r="N95" i="3"/>
  <c r="P95" i="3" s="1"/>
  <c r="N57" i="20"/>
  <c r="P57" i="20" s="1"/>
  <c r="N53" i="20"/>
  <c r="P53" i="20" s="1"/>
  <c r="N53" i="3"/>
  <c r="P53" i="3" s="1"/>
  <c r="N77" i="20"/>
  <c r="P77" i="20" s="1"/>
  <c r="N77" i="3"/>
  <c r="P77" i="3" s="1"/>
  <c r="N85" i="20"/>
  <c r="P85" i="20" s="1"/>
  <c r="N85" i="3"/>
  <c r="P85" i="3" s="1"/>
  <c r="N74" i="3"/>
  <c r="P74" i="3" s="1"/>
  <c r="N74" i="20"/>
  <c r="P74" i="20" s="1"/>
  <c r="N3" i="3"/>
  <c r="N3" i="20"/>
  <c r="P3" i="20" s="1"/>
  <c r="N76" i="20"/>
  <c r="P76" i="20" s="1"/>
  <c r="N76" i="3"/>
  <c r="P76" i="3" s="1"/>
  <c r="N75" i="3"/>
  <c r="P75" i="3" s="1"/>
  <c r="N75" i="20"/>
  <c r="P75" i="20" s="1"/>
  <c r="C11" i="1" l="1"/>
  <c r="E11" i="1" s="1"/>
  <c r="C9" i="1"/>
  <c r="E9" i="1" s="1"/>
  <c r="C26" i="1"/>
  <c r="C25" i="1"/>
  <c r="C24" i="1"/>
  <c r="C22" i="1"/>
  <c r="C23" i="1"/>
  <c r="I12" i="1" a="1"/>
  <c r="I12" i="1" s="1"/>
  <c r="I10" i="1" a="1"/>
  <c r="I10" i="1" s="1"/>
  <c r="I11" i="1" a="1"/>
  <c r="I11" i="1" s="1"/>
  <c r="P3" i="3"/>
  <c r="I13" i="1" a="1"/>
  <c r="I13" i="1" s="1"/>
  <c r="I7" i="1" a="1"/>
  <c r="I7" i="1" s="1"/>
  <c r="I8" i="1" a="1"/>
  <c r="I8" i="1" s="1"/>
  <c r="I6" i="1" a="1"/>
  <c r="I6" i="1" s="1"/>
  <c r="I15" i="1" a="1"/>
  <c r="I15" i="1" s="1"/>
  <c r="I9" i="1" a="1"/>
  <c r="I9" i="1" s="1"/>
  <c r="C10" i="1"/>
  <c r="E10" i="1" s="1"/>
  <c r="I14" i="1" a="1"/>
  <c r="I14" i="1" s="1"/>
  <c r="J8" i="1" l="1"/>
  <c r="P8" i="1"/>
  <c r="K8" i="1"/>
  <c r="N8" i="1" s="1"/>
  <c r="O8" i="1"/>
  <c r="M8" i="1"/>
  <c r="L8" i="1"/>
  <c r="K7" i="1"/>
  <c r="N7" i="1" s="1"/>
  <c r="L7" i="1"/>
  <c r="O7" i="1"/>
  <c r="M7" i="1"/>
  <c r="P7" i="1"/>
  <c r="J7" i="1"/>
  <c r="J9" i="1"/>
  <c r="K9" i="1"/>
  <c r="N9" i="1" s="1"/>
  <c r="P9" i="1"/>
  <c r="L9" i="1"/>
  <c r="O9" i="1"/>
  <c r="M9" i="1"/>
  <c r="M6" i="1"/>
  <c r="J6" i="1"/>
  <c r="O6" i="1"/>
  <c r="K6" i="1"/>
  <c r="N6" i="1" s="1"/>
  <c r="P6" i="1"/>
  <c r="L6" i="1"/>
  <c r="P13" i="1"/>
  <c r="L13" i="1"/>
  <c r="M13" i="1"/>
  <c r="K13" i="1"/>
  <c r="N13" i="1" s="1"/>
  <c r="O13" i="1"/>
  <c r="J13" i="1"/>
  <c r="P14" i="1"/>
  <c r="O14" i="1"/>
  <c r="J14" i="1"/>
  <c r="M14" i="1"/>
  <c r="L14" i="1"/>
  <c r="K14" i="1"/>
  <c r="N14" i="1" s="1"/>
  <c r="P11" i="1"/>
  <c r="J11" i="1"/>
  <c r="M11" i="1"/>
  <c r="K11" i="1"/>
  <c r="N11" i="1" s="1"/>
  <c r="L11" i="1"/>
  <c r="O11" i="1"/>
  <c r="L10" i="1"/>
  <c r="K10" i="1"/>
  <c r="N10" i="1" s="1"/>
  <c r="O10" i="1"/>
  <c r="M10" i="1"/>
  <c r="P10" i="1"/>
  <c r="J10" i="1"/>
  <c r="L12" i="1"/>
  <c r="P12" i="1"/>
  <c r="J12" i="1"/>
  <c r="K12" i="1"/>
  <c r="N12" i="1" s="1"/>
  <c r="O12" i="1"/>
  <c r="M12" i="1"/>
  <c r="J15" i="1"/>
  <c r="K15" i="1"/>
  <c r="N15" i="1" s="1"/>
  <c r="L15" i="1"/>
  <c r="O15" i="1"/>
  <c r="P15" i="1"/>
  <c r="M15" i="1"/>
  <c r="C27" i="1"/>
  <c r="D23" i="1" s="1"/>
  <c r="D26" i="1" l="1"/>
  <c r="D22" i="1"/>
  <c r="D25" i="1"/>
  <c r="D24" i="1"/>
  <c r="D2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M5" authorId="0" shapeId="0" xr:uid="{2576B338-792F-48D6-B141-96BB0FDEA314}">
      <text>
        <r>
          <rPr>
            <b/>
            <sz val="9"/>
            <color indexed="81"/>
            <rFont val="돋움"/>
            <family val="3"/>
            <charset val="129"/>
          </rPr>
          <t>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재고에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포함안됨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L20" authorId="0" shapeId="0" xr:uid="{8CD4577F-74AC-4E52-ADB3-3BE153DF552C}">
      <text>
        <r>
          <rPr>
            <b/>
            <sz val="9"/>
            <color indexed="81"/>
            <rFont val="돋움"/>
            <family val="3"/>
            <charset val="129"/>
          </rPr>
          <t>재고가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소진되기까지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걸리는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E1" authorId="0" shapeId="0" xr:uid="{1ADA7D95-C883-45F4-B2B9-8E5802F6CED9}">
      <text>
        <r>
          <rPr>
            <b/>
            <sz val="9"/>
            <color indexed="81"/>
            <rFont val="돋움"/>
            <family val="3"/>
            <charset val="129"/>
          </rPr>
          <t>전년도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출고물량의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표준편차</t>
        </r>
      </text>
    </comment>
    <comment ref="J2" authorId="0" shapeId="0" xr:uid="{0A2B46AE-FBF8-49BF-A78C-220B9CB71CC7}">
      <text>
        <r>
          <rPr>
            <b/>
            <sz val="9"/>
            <color indexed="81"/>
            <rFont val="돋움"/>
            <family val="3"/>
            <charset val="129"/>
          </rPr>
          <t>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목적으로</t>
        </r>
        <r>
          <rPr>
            <b/>
            <sz val="9"/>
            <color indexed="81"/>
            <rFont val="Tahoma"/>
            <family val="2"/>
          </rPr>
          <t xml:space="preserve"> XYZ </t>
        </r>
        <r>
          <rPr>
            <b/>
            <sz val="9"/>
            <color indexed="81"/>
            <rFont val="돋움"/>
            <family val="3"/>
            <charset val="129"/>
          </rPr>
          <t>보정계수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추가적용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I1" authorId="0" shapeId="0" xr:uid="{D407007F-F5EA-4523-A23D-BBF872A632EF}">
      <text>
        <r>
          <rPr>
            <b/>
            <sz val="9"/>
            <color indexed="81"/>
            <rFont val="돋움"/>
            <family val="3"/>
            <charset val="129"/>
          </rPr>
          <t>현재고에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아니며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가이드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숫자임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권장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K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일정기간동안 재고가 몇번 판매되는지</t>
        </r>
      </text>
    </comment>
    <comment ref="L1" authorId="0" shapeId="0" xr:uid="{051CEF6E-D406-4AA1-80B1-B26AC9DA163D}">
      <text>
        <r>
          <rPr>
            <b/>
            <sz val="9"/>
            <color indexed="81"/>
            <rFont val="돋움"/>
            <family val="3"/>
            <charset val="129"/>
          </rPr>
          <t>침구업체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연회전율</t>
        </r>
        <r>
          <rPr>
            <b/>
            <sz val="9"/>
            <color indexed="81"/>
            <rFont val="Tahoma"/>
            <family val="2"/>
          </rPr>
          <t xml:space="preserve"> 6 </t>
        </r>
        <r>
          <rPr>
            <b/>
            <sz val="9"/>
            <color indexed="81"/>
            <rFont val="돋움"/>
            <family val="3"/>
            <charset val="129"/>
          </rPr>
          <t>전후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MURO</author>
  </authors>
  <commentList>
    <comment ref="E1" authorId="0" shapeId="0" xr:uid="{7D7F6CD3-5DFF-4FAD-8D07-430C2766F528}">
      <text>
        <r>
          <rPr>
            <b/>
            <sz val="9"/>
            <color indexed="81"/>
            <rFont val="돋움"/>
            <family val="3"/>
            <charset val="129"/>
          </rPr>
          <t>브랜드팀과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정립해야함</t>
        </r>
      </text>
    </comment>
    <comment ref="H1" authorId="0" shapeId="0" xr:uid="{A2150AB4-C183-4AFC-894B-68AFD5B2B44A}">
      <text>
        <r>
          <rPr>
            <b/>
            <sz val="9"/>
            <color indexed="81"/>
            <rFont val="돋움"/>
            <family val="3"/>
            <charset val="129"/>
          </rPr>
          <t>최근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개월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출고량</t>
        </r>
      </text>
    </comment>
    <comment ref="M1" authorId="0" shapeId="0" xr:uid="{4FDCB408-BF7B-4646-955F-72CA8B9CF7C4}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일평균출고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리드타임</t>
        </r>
        <r>
          <rPr>
            <b/>
            <sz val="9"/>
            <color indexed="81"/>
            <rFont val="Tahoma"/>
            <family val="2"/>
          </rPr>
          <t>x</t>
        </r>
        <r>
          <rPr>
            <b/>
            <sz val="9"/>
            <color indexed="81"/>
            <rFont val="돋움"/>
            <family val="3"/>
            <charset val="129"/>
          </rPr>
          <t>사이클보정계수</t>
        </r>
        <r>
          <rPr>
            <b/>
            <sz val="9"/>
            <color indexed="81"/>
            <rFont val="Tahoma"/>
            <family val="2"/>
          </rPr>
          <t>)+</t>
        </r>
        <r>
          <rPr>
            <b/>
            <sz val="9"/>
            <color indexed="81"/>
            <rFont val="돋움"/>
            <family val="3"/>
            <charset val="129"/>
          </rPr>
          <t>안전재고</t>
        </r>
        <r>
          <rPr>
            <b/>
            <sz val="9"/>
            <color indexed="81"/>
            <rFont val="Tahoma"/>
            <family val="2"/>
          </rPr>
          <t xml:space="preserve"> -&gt; </t>
        </r>
        <r>
          <rPr>
            <b/>
            <sz val="9"/>
            <color indexed="81"/>
            <rFont val="돋움"/>
            <family val="3"/>
            <charset val="129"/>
          </rPr>
          <t>오른쪽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</t>
        </r>
      </text>
    </comment>
    <comment ref="O1" authorId="0" shapeId="0" xr:uid="{6BC7DC5F-5650-4090-B9D3-3C7E779A9185}">
      <text>
        <r>
          <rPr>
            <b/>
            <sz val="9"/>
            <color indexed="81"/>
            <rFont val="Tahoma"/>
            <family val="2"/>
          </rPr>
          <t xml:space="preserve">MOQ 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<sst xmlns="http://schemas.openxmlformats.org/spreadsheetml/2006/main" count="1915" uniqueCount="718">
  <si>
    <t>최근3개월 
평균출고</t>
  </si>
  <si>
    <t>PSI 통합 대시보드 - 2026년 1월 기준</t>
  </si>
  <si>
    <t>주요 재고 지표</t>
  </si>
  <si>
    <t>긴급 조치 필요 품목 TOP 10</t>
  </si>
  <si>
    <t>긴급조치 TOP10 선정 기준</t>
  </si>
  <si>
    <t>지표</t>
  </si>
  <si>
    <t>값</t>
  </si>
  <si>
    <t>단위</t>
  </si>
  <si>
    <t>상태</t>
  </si>
  <si>
    <t>순위</t>
  </si>
  <si>
    <t>SKU코드</t>
  </si>
  <si>
    <t>제품명</t>
  </si>
  <si>
    <t>현재고</t>
  </si>
  <si>
    <t>안전재고</t>
  </si>
  <si>
    <t>조치사항</t>
  </si>
  <si>
    <t>총 SKU 수</t>
  </si>
  <si>
    <t>개</t>
  </si>
  <si>
    <t>-</t>
  </si>
  <si>
    <t>총 재고금액</t>
  </si>
  <si>
    <t>원</t>
  </si>
  <si>
    <t>-부족 (현재고 &lt; 안전재고) - 최우선</t>
  </si>
  <si>
    <t>평균 재고회전일</t>
  </si>
  <si>
    <t>일</t>
  </si>
  <si>
    <t>재고부족 품목</t>
  </si>
  <si>
    <t>재주문필요 품목</t>
  </si>
  <si>
    <t>재고과잉 품목</t>
  </si>
  <si>
    <t>제외:</t>
  </si>
  <si>
    <t>ABC-XYZ 재고 분포 (품목 수)</t>
  </si>
  <si>
    <t>ABC-XYZ</t>
  </si>
  <si>
    <t>X (안정)</t>
  </si>
  <si>
    <t>Y (중간)</t>
  </si>
  <si>
    <t>Z (불안정)</t>
  </si>
  <si>
    <t>합계</t>
  </si>
  <si>
    <t>2. 정렬 기준</t>
  </si>
  <si>
    <t>A (고가치)</t>
  </si>
  <si>
    <t>심각도 순서:</t>
  </si>
  <si>
    <t>B (중가치)</t>
  </si>
  <si>
    <t>* 재고분석 시트에서 필터링하여 확인</t>
  </si>
  <si>
    <t>1순위: 부족 품목</t>
  </si>
  <si>
    <t>C (저가치)</t>
  </si>
  <si>
    <t xml:space="preserve">   - 정렬: (안전재고 - 현재고) 차이 큰 순서</t>
  </si>
  <si>
    <t>재고회전일 분석</t>
  </si>
  <si>
    <t xml:space="preserve">   - 또는: 현재고 ÷ 안전재고 비율이 낮은 순서</t>
  </si>
  <si>
    <t>회전 느림 TOP 5 (개선 필요)</t>
  </si>
  <si>
    <t>재고 상태별 현황</t>
  </si>
  <si>
    <t>SKU</t>
  </si>
  <si>
    <t>최근3개월 
월 평균출고량</t>
  </si>
  <si>
    <t>회전일</t>
  </si>
  <si>
    <t>2순위: 재주문필요 품목</t>
  </si>
  <si>
    <t>재고상태</t>
  </si>
  <si>
    <t>품목수</t>
  </si>
  <si>
    <t>비율(%)</t>
  </si>
  <si>
    <t xml:space="preserve">   - 정렬: 안전재고에 가까운 순서</t>
  </si>
  <si>
    <t>적정</t>
  </si>
  <si>
    <t>발주진행</t>
  </si>
  <si>
    <t>3순위: 과잉 품목</t>
  </si>
  <si>
    <t>부족</t>
  </si>
  <si>
    <t>긴급발주</t>
  </si>
  <si>
    <t xml:space="preserve">   - 정렬: (현재고 - 안전재고×2) 차이 큰 순서</t>
  </si>
  <si>
    <t>과잉</t>
  </si>
  <si>
    <t>프로모션검토</t>
  </si>
  <si>
    <t>-참조-</t>
  </si>
  <si>
    <t>회전 빠름 TOP 5</t>
  </si>
  <si>
    <t>1. 이 대시보드는 '재고분석' 시트 데이터를 기반으로 자동 계산</t>
  </si>
  <si>
    <t>2. 재고부족/재주문필요 품목이 있으면 즉시 '발주전략' 시트를 확인</t>
  </si>
  <si>
    <t>3. AX 등급(고가치+안정수요)은 충분한 재고를 유지필요</t>
  </si>
  <si>
    <t>4. CZ 등급(저가치+불안정수요)은 주문 기반으로 운영</t>
  </si>
  <si>
    <t>5. 재고회전일이 60일 이상이면 과잉재고로 판단하여 판촉 검토 필요</t>
  </si>
  <si>
    <t>* 재고분석 시트를 회전일 기준으로 정렬하여 확인</t>
  </si>
  <si>
    <t>재고</t>
  </si>
  <si>
    <t>수요</t>
  </si>
  <si>
    <t>공급</t>
  </si>
  <si>
    <t>카테고리</t>
  </si>
  <si>
    <t>계절</t>
  </si>
  <si>
    <t>기초재고</t>
  </si>
  <si>
    <t>말재고실적</t>
  </si>
  <si>
    <t>SCM F/C</t>
  </si>
  <si>
    <t>MD F/C</t>
  </si>
  <si>
    <t>S&amp;OP</t>
  </si>
  <si>
    <t>실판매</t>
  </si>
  <si>
    <t>입고계획</t>
  </si>
  <si>
    <t>입고실적</t>
  </si>
  <si>
    <t>말재고계획</t>
  </si>
  <si>
    <t>최근3개월 
월 평균출고</t>
  </si>
  <si>
    <t>매입원가</t>
  </si>
  <si>
    <t>재고금액</t>
  </si>
  <si>
    <t>재고상태 판단 기준</t>
  </si>
  <si>
    <t>조건</t>
  </si>
  <si>
    <t>의미</t>
  </si>
  <si>
    <t>부족 (품절위험)</t>
  </si>
  <si>
    <t>현재고 &lt; 안전재고</t>
  </si>
  <si>
    <t>현재고 &lt;100개</t>
  </si>
  <si>
    <t>변동성 커버하지만 여유 없음</t>
  </si>
  <si>
    <t>적정 (적정 운영버퍼)</t>
  </si>
  <si>
    <t>안정적 운영</t>
  </si>
  <si>
    <t>과도한 안전 마진</t>
  </si>
  <si>
    <t>B</t>
  </si>
  <si>
    <t>C</t>
  </si>
  <si>
    <t>A</t>
  </si>
  <si>
    <t>서비스 
레벨</t>
  </si>
  <si>
    <t>10번 중 1번 품절</t>
  </si>
  <si>
    <t>100번 중 1번 품절</t>
  </si>
  <si>
    <t>1,000번 중 1번 품절</t>
  </si>
  <si>
    <t>매우 높은 서비스</t>
  </si>
  <si>
    <t>서비스 레벨(Service Level)별 안전계수(Z-score)</t>
  </si>
  <si>
    <t>정상 상황 (창고/자금 여유)</t>
  </si>
  <si>
    <t>등급</t>
  </si>
  <si>
    <t>재고 수준</t>
  </si>
  <si>
    <t>주문 전략</t>
  </si>
  <si>
    <t>AX</t>
  </si>
  <si>
    <t>높은재고</t>
  </si>
  <si>
    <t>분기 1회 대량 (FCL)</t>
  </si>
  <si>
    <t>중간재고</t>
  </si>
  <si>
    <t>월 1회 (LCL)</t>
  </si>
  <si>
    <t>AY</t>
  </si>
  <si>
    <t>월 1회 중량</t>
  </si>
  <si>
    <t>낮은재고</t>
  </si>
  <si>
    <t>격주 1회</t>
  </si>
  <si>
    <t>AZ</t>
  </si>
  <si>
    <t>긴급 대응</t>
  </si>
  <si>
    <t>중단</t>
  </si>
  <si>
    <t>BX</t>
  </si>
  <si>
    <t>분기 1회</t>
  </si>
  <si>
    <t>격월 1회</t>
  </si>
  <si>
    <t>BY</t>
  </si>
  <si>
    <t>표준재고</t>
  </si>
  <si>
    <t>최소재고</t>
  </si>
  <si>
    <t>BZ</t>
  </si>
  <si>
    <t>수요 기반</t>
  </si>
  <si>
    <t>CX</t>
  </si>
  <si>
    <t>반기 1회</t>
  </si>
  <si>
    <t>재고 소진만</t>
  </si>
  <si>
    <t>CY</t>
  </si>
  <si>
    <t>연 1~2회</t>
  </si>
  <si>
    <t>CZ</t>
  </si>
  <si>
    <t>재고없음</t>
  </si>
  <si>
    <t>단종 검토</t>
  </si>
  <si>
    <t>즉시 단종</t>
  </si>
  <si>
    <t>#</t>
  </si>
  <si>
    <t>구분</t>
  </si>
  <si>
    <t>SKU#</t>
  </si>
  <si>
    <t>물류코드</t>
  </si>
  <si>
    <t>상품명</t>
  </si>
  <si>
    <t>색상</t>
  </si>
  <si>
    <t>사이즈</t>
  </si>
  <si>
    <t>개별원가</t>
  </si>
  <si>
    <t>정상 상황일시 (장기재고 낮고, 창고공간 충분할시)</t>
  </si>
  <si>
    <t>현황</t>
  </si>
  <si>
    <t>사방넷#</t>
  </si>
  <si>
    <t>바코드</t>
  </si>
  <si>
    <t>최종
상품명</t>
  </si>
  <si>
    <t>25년
1월</t>
  </si>
  <si>
    <t>25년
2월</t>
  </si>
  <si>
    <t>25년
3월</t>
  </si>
  <si>
    <t>25년
4월</t>
  </si>
  <si>
    <t>25년
5월</t>
  </si>
  <si>
    <t>25년
6월</t>
  </si>
  <si>
    <t>25년
7월</t>
  </si>
  <si>
    <t>25년
8월</t>
  </si>
  <si>
    <t>25년
9월</t>
  </si>
  <si>
    <t>25년
10월</t>
  </si>
  <si>
    <t>25년
11월</t>
  </si>
  <si>
    <t>25년
12월</t>
  </si>
  <si>
    <t>매입
원가</t>
  </si>
  <si>
    <t>최근3개월 
월 출고평균량</t>
  </si>
  <si>
    <t>10~12월
출고원가</t>
  </si>
  <si>
    <t>출고원가
비중(%)</t>
  </si>
  <si>
    <t>ABC
등급</t>
  </si>
  <si>
    <t>표준
편차</t>
  </si>
  <si>
    <t>변동계수
(CV)</t>
  </si>
  <si>
    <t>XYZ
등급</t>
  </si>
  <si>
    <t>ABC-XYZ
등급</t>
  </si>
  <si>
    <t>전년 대비 성장률
(1월발주/3월입고)</t>
  </si>
  <si>
    <t>발주여부</t>
  </si>
  <si>
    <t>SKU
비중</t>
  </si>
  <si>
    <t>연간매출</t>
  </si>
  <si>
    <t>매출
비중</t>
  </si>
  <si>
    <t>누적매출</t>
  </si>
  <si>
    <t>매출비중</t>
  </si>
  <si>
    <t>연간
매출</t>
  </si>
  <si>
    <t>중요도</t>
  </si>
  <si>
    <t>수요 특성</t>
  </si>
  <si>
    <t>발주주기</t>
  </si>
  <si>
    <t>1회 발주량</t>
  </si>
  <si>
    <t>목표재고</t>
  </si>
  <si>
    <t>핵심 로직</t>
  </si>
  <si>
    <t>여름</t>
  </si>
  <si>
    <t>0~70%</t>
  </si>
  <si>
    <t>매우 높음</t>
  </si>
  <si>
    <t>매우 안정</t>
  </si>
  <si>
    <t>매월 필수</t>
  </si>
  <si>
    <t>1.0~1.2개월</t>
  </si>
  <si>
    <t>0.3~0.5</t>
  </si>
  <si>
    <t>1.3~1.7개월</t>
  </si>
  <si>
    <t>1.2~1.5개월치</t>
  </si>
  <si>
    <t>결품=치명</t>
  </si>
  <si>
    <t>90~100%</t>
  </si>
  <si>
    <t>70~90%</t>
  </si>
  <si>
    <t>중간 변동</t>
  </si>
  <si>
    <t>매월/격월</t>
  </si>
  <si>
    <t>1.2~1.5개월</t>
  </si>
  <si>
    <t>0.5~0.8</t>
  </si>
  <si>
    <t>1.7~2.3개월</t>
  </si>
  <si>
    <t>1.5~2개월치</t>
  </si>
  <si>
    <t>시즌 가중</t>
  </si>
  <si>
    <t>불안정</t>
  </si>
  <si>
    <t>필요월만</t>
  </si>
  <si>
    <t>1~2개월</t>
  </si>
  <si>
    <t>2.0~3.0개월</t>
  </si>
  <si>
    <t>2~3개월치</t>
  </si>
  <si>
    <t>기획 반영</t>
  </si>
  <si>
    <t>중간</t>
  </si>
  <si>
    <t>안정</t>
  </si>
  <si>
    <t>매월</t>
  </si>
  <si>
    <t>1.0개월</t>
  </si>
  <si>
    <t>1.3개월</t>
  </si>
  <si>
    <t>1~1.3개월치</t>
  </si>
  <si>
    <t>자동 계산</t>
  </si>
  <si>
    <t>XYZ변동성 기준</t>
  </si>
  <si>
    <t>격월</t>
  </si>
  <si>
    <t>1.5개월</t>
  </si>
  <si>
    <t>2.0개월</t>
  </si>
  <si>
    <t>추세 확인</t>
  </si>
  <si>
    <t xml:space="preserve">X  </t>
  </si>
  <si>
    <t>수요 변동 적음</t>
  </si>
  <si>
    <t>&lt;0.5</t>
  </si>
  <si>
    <t>필요시</t>
  </si>
  <si>
    <t>최소</t>
  </si>
  <si>
    <t>0.8~1.0</t>
  </si>
  <si>
    <t>2.0~2.5개월</t>
  </si>
  <si>
    <t>과잉 금지</t>
  </si>
  <si>
    <t xml:space="preserve">Y  </t>
  </si>
  <si>
    <t>계절성/변동있음</t>
  </si>
  <si>
    <t>&lt;=1</t>
  </si>
  <si>
    <t>낮음</t>
  </si>
  <si>
    <t>0.2~0.3</t>
  </si>
  <si>
    <t>2개월치</t>
  </si>
  <si>
    <t>채움용</t>
  </si>
  <si>
    <t>사계절</t>
  </si>
  <si>
    <t xml:space="preserve">Z  </t>
  </si>
  <si>
    <t>예측 어려움</t>
  </si>
  <si>
    <t>&gt;1</t>
  </si>
  <si>
    <t>분기</t>
  </si>
  <si>
    <t>0.5~1.0</t>
  </si>
  <si>
    <t>1.5~2.5개월</t>
  </si>
  <si>
    <t>축소</t>
  </si>
  <si>
    <t>매우 낮음</t>
  </si>
  <si>
    <t>매우 불안정</t>
  </si>
  <si>
    <t>수입 중단</t>
  </si>
  <si>
    <t>주문/기획별</t>
  </si>
  <si>
    <t>재고 소진만/정리대상</t>
  </si>
  <si>
    <t>계</t>
  </si>
  <si>
    <t>계절별 변동계수(CV) - 표준편차 산출 기준</t>
  </si>
  <si>
    <t>CV 계산 기간</t>
  </si>
  <si>
    <t>제외 기간</t>
  </si>
  <si>
    <t>이유</t>
  </si>
  <si>
    <t>봄</t>
  </si>
  <si>
    <t>3~5월만</t>
  </si>
  <si>
    <t>6~2월 제외</t>
  </si>
  <si>
    <t>연중 판매</t>
  </si>
  <si>
    <t>1~12월 전체</t>
  </si>
  <si>
    <t>없음</t>
  </si>
  <si>
    <t>비시즌 0개 제외</t>
  </si>
  <si>
    <t>4~10월만</t>
  </si>
  <si>
    <t>11~3월 제외</t>
  </si>
  <si>
    <t>가을</t>
  </si>
  <si>
    <t>9~11월만</t>
  </si>
  <si>
    <t>12~8월 제외</t>
  </si>
  <si>
    <t>겨울</t>
  </si>
  <si>
    <t>9~2월만</t>
  </si>
  <si>
    <t>3~8월 제외</t>
  </si>
  <si>
    <t>사방넷 상품코드</t>
  </si>
  <si>
    <t>SKU ID</t>
  </si>
  <si>
    <t>상품명(창고표기명0</t>
  </si>
  <si>
    <t>Brand</t>
  </si>
  <si>
    <t>ITEM</t>
  </si>
  <si>
    <t>COLOR</t>
  </si>
  <si>
    <t>SIZE</t>
  </si>
  <si>
    <t>Container Q'ty</t>
  </si>
  <si>
    <t>CARTON</t>
  </si>
  <si>
    <t>Q'TY</t>
  </si>
  <si>
    <t>Invoice#</t>
  </si>
  <si>
    <t>Unit Price($)</t>
  </si>
  <si>
    <t>Invoice Amount($)</t>
  </si>
  <si>
    <t>신고필증#</t>
  </si>
  <si>
    <t>B/L#</t>
  </si>
  <si>
    <t>CNTR#</t>
  </si>
  <si>
    <t>입항예정일</t>
  </si>
  <si>
    <t>입항일</t>
  </si>
  <si>
    <t>창고입고
예정일</t>
  </si>
  <si>
    <t>창고실입고일</t>
  </si>
  <si>
    <t>구분</t>
    <phoneticPr fontId="15" type="noConversion"/>
  </si>
  <si>
    <t>ABC
등급</t>
    <phoneticPr fontId="15" type="noConversion"/>
  </si>
  <si>
    <t>XYZ
등급</t>
    <phoneticPr fontId="15" type="noConversion"/>
  </si>
  <si>
    <t>ABC
등급</t>
    <phoneticPr fontId="15" type="noConversion"/>
  </si>
  <si>
    <t>XYZ
등급</t>
    <phoneticPr fontId="15" type="noConversion"/>
  </si>
  <si>
    <t>재고회전일
(Days of Inventory)</t>
    <phoneticPr fontId="15" type="noConversion"/>
  </si>
  <si>
    <t>재고</t>
    <phoneticPr fontId="15" type="noConversion"/>
  </si>
  <si>
    <t>수요
표준편차</t>
    <phoneticPr fontId="15" type="noConversion"/>
  </si>
  <si>
    <t>리드타임
(일)</t>
    <phoneticPr fontId="15" type="noConversion"/>
  </si>
  <si>
    <t>일평균
판매</t>
    <phoneticPr fontId="15" type="noConversion"/>
  </si>
  <si>
    <t>대시보드</t>
    <phoneticPr fontId="15" type="noConversion"/>
  </si>
  <si>
    <t>PSI_메인</t>
    <phoneticPr fontId="15" type="noConversion"/>
  </si>
  <si>
    <t>재고분석</t>
    <phoneticPr fontId="15" type="noConversion"/>
  </si>
  <si>
    <t>안전재고</t>
    <phoneticPr fontId="15" type="noConversion"/>
  </si>
  <si>
    <t>ABC-XYZ분석</t>
    <phoneticPr fontId="15" type="noConversion"/>
  </si>
  <si>
    <t>출고</t>
    <phoneticPr fontId="15" type="noConversion"/>
  </si>
  <si>
    <t>입항스케줄</t>
    <phoneticPr fontId="15" type="noConversion"/>
  </si>
  <si>
    <t>기존데이타</t>
    <phoneticPr fontId="15" type="noConversion"/>
  </si>
  <si>
    <t>내용</t>
    <phoneticPr fontId="15" type="noConversion"/>
  </si>
  <si>
    <t>비고</t>
    <phoneticPr fontId="15" type="noConversion"/>
  </si>
  <si>
    <t>재고지표, 상태별 현황</t>
    <phoneticPr fontId="15" type="noConversion"/>
  </si>
  <si>
    <t>월별 공급계획, 입출고, 재고 현황</t>
    <phoneticPr fontId="15" type="noConversion"/>
  </si>
  <si>
    <t>안전재고 산출</t>
    <phoneticPr fontId="15" type="noConversion"/>
  </si>
  <si>
    <t>구분에 따른 재고전략</t>
    <phoneticPr fontId="15" type="noConversion"/>
  </si>
  <si>
    <t>년/월 출고 RAW 데이터</t>
    <phoneticPr fontId="15" type="noConversion"/>
  </si>
  <si>
    <t>창고-본사 재고 데이터</t>
    <phoneticPr fontId="15" type="noConversion"/>
  </si>
  <si>
    <t>PSI 시트 구성</t>
    <phoneticPr fontId="15" type="noConversion"/>
  </si>
  <si>
    <t>수입 관련 일정 및 현황</t>
    <phoneticPr fontId="15" type="noConversion"/>
  </si>
  <si>
    <t>-</t>
    <phoneticPr fontId="15" type="noConversion"/>
  </si>
  <si>
    <t>재고상태에 따른 조치 가이드</t>
    <phoneticPr fontId="15" type="noConversion"/>
  </si>
  <si>
    <t>공급물량 산출</t>
    <phoneticPr fontId="15" type="noConversion"/>
  </si>
  <si>
    <t>3. 재고 소진 독려 (마케팅, 캠페인, 페기, 기부 등)</t>
    <phoneticPr fontId="15" type="noConversion"/>
  </si>
  <si>
    <t>SKU#</t>
    <phoneticPr fontId="15" type="noConversion"/>
  </si>
  <si>
    <t>1월</t>
    <phoneticPr fontId="15" type="noConversion"/>
  </si>
  <si>
    <t>2월</t>
    <phoneticPr fontId="15" type="noConversion"/>
  </si>
  <si>
    <t>3월</t>
    <phoneticPr fontId="15" type="noConversion"/>
  </si>
  <si>
    <t>실출고량</t>
    <phoneticPr fontId="15" type="noConversion"/>
  </si>
  <si>
    <t>코드</t>
    <phoneticPr fontId="15" type="noConversion"/>
  </si>
  <si>
    <t>품명</t>
  </si>
  <si>
    <t>발주일</t>
  </si>
  <si>
    <t>요청일</t>
  </si>
  <si>
    <t>발주량</t>
  </si>
  <si>
    <t>1차 입고일</t>
    <phoneticPr fontId="15" type="noConversion"/>
  </si>
  <si>
    <t>2차 입고일</t>
    <phoneticPr fontId="15" type="noConversion"/>
  </si>
  <si>
    <t>지연일수</t>
    <phoneticPr fontId="15" type="noConversion"/>
  </si>
  <si>
    <t>납기준수율</t>
    <phoneticPr fontId="15" type="noConversion"/>
  </si>
  <si>
    <t>요청일(월)</t>
    <phoneticPr fontId="15" type="noConversion"/>
  </si>
  <si>
    <t>생산 CAPA</t>
    <phoneticPr fontId="15" type="noConversion"/>
  </si>
  <si>
    <t>1차
리드타임</t>
    <phoneticPr fontId="15" type="noConversion"/>
  </si>
  <si>
    <t>총지연일수</t>
    <phoneticPr fontId="15" type="noConversion"/>
  </si>
  <si>
    <t>총리드타임</t>
    <phoneticPr fontId="15" type="noConversion"/>
  </si>
  <si>
    <t>리드타임
(기준)</t>
    <phoneticPr fontId="15" type="noConversion"/>
  </si>
  <si>
    <t>생산 납기관리</t>
    <phoneticPr fontId="15" type="noConversion"/>
  </si>
  <si>
    <t>납기기준 일정 vs 실 입고일</t>
    <phoneticPr fontId="15" type="noConversion"/>
  </si>
  <si>
    <t>계획 대비 출고량</t>
    <phoneticPr fontId="15" type="noConversion"/>
  </si>
  <si>
    <t>실출고율</t>
    <phoneticPr fontId="15" type="noConversion"/>
  </si>
  <si>
    <t>포캐스트</t>
    <phoneticPr fontId="15" type="noConversion"/>
  </si>
  <si>
    <t>계</t>
    <phoneticPr fontId="15" type="noConversion"/>
  </si>
  <si>
    <t>예시</t>
    <phoneticPr fontId="15" type="noConversion"/>
  </si>
  <si>
    <t>회전율 관리 예시</t>
    <phoneticPr fontId="15" type="noConversion"/>
  </si>
  <si>
    <t>평균</t>
    <phoneticPr fontId="15" type="noConversion"/>
  </si>
  <si>
    <t>back</t>
    <phoneticPr fontId="15" type="noConversion"/>
  </si>
  <si>
    <t>해석되는 신호</t>
  </si>
  <si>
    <t>높음</t>
  </si>
  <si>
    <t>안전재고 재산정, 발주 주기 단축</t>
  </si>
  <si>
    <t>치명</t>
  </si>
  <si>
    <t>전월 → 당월</t>
  </si>
  <si>
    <t>리스크</t>
  </si>
  <si>
    <t>관리 방향</t>
  </si>
  <si>
    <t>실행 방안</t>
  </si>
  <si>
    <t>AX → AY</t>
  </si>
  <si>
    <t>핵심 SKU 수요 흔들림 시작</t>
  </si>
  <si>
    <t>선제 관리</t>
  </si>
  <si>
    <t>AY → AZ</t>
  </si>
  <si>
    <t>고중요 SKU 예측 불가</t>
  </si>
  <si>
    <t>집중 통제</t>
  </si>
  <si>
    <t>정량발주 중단, 수기 관리</t>
  </si>
  <si>
    <t>AX → AZ</t>
  </si>
  <si>
    <t>최상위 위험 전환</t>
  </si>
  <si>
    <t>구조 재검토</t>
  </si>
  <si>
    <t>판매/상품 구조 재설계</t>
  </si>
  <si>
    <t>BX → BY</t>
  </si>
  <si>
    <t>중간 SKU 불안정 진입</t>
  </si>
  <si>
    <t>추적 관리</t>
  </si>
  <si>
    <t>발주 횟수 증가</t>
  </si>
  <si>
    <t>BY → BZ</t>
  </si>
  <si>
    <t>관리 효율 저하</t>
  </si>
  <si>
    <t>유지 여부 판단</t>
  </si>
  <si>
    <t>재고 축소, C등급 검토</t>
  </si>
  <si>
    <t>CZ → CY</t>
  </si>
  <si>
    <t>죽은 SKU 회복 신호</t>
  </si>
  <si>
    <t>관찰</t>
  </si>
  <si>
    <t>테스트 발주</t>
  </si>
  <si>
    <t>CY → CX</t>
  </si>
  <si>
    <t>안정 SKU 전환</t>
  </si>
  <si>
    <t>성장 관리</t>
  </si>
  <si>
    <t>BX 승급 후보</t>
  </si>
  <si>
    <t>BX → AX</t>
  </si>
  <si>
    <t>핵심 SKU 성장</t>
  </si>
  <si>
    <t>관리 상향</t>
  </si>
  <si>
    <t>안전재고·발주 정책 강화</t>
  </si>
  <si>
    <t>AZ → AY / AX</t>
  </si>
  <si>
    <t>리스크 해소</t>
  </si>
  <si>
    <t>매우 긍정</t>
  </si>
  <si>
    <t>정상화</t>
  </si>
  <si>
    <t>표준 발주 복귀</t>
  </si>
  <si>
    <t>전월 등급</t>
  </si>
  <si>
    <t>당월 등급</t>
  </si>
  <si>
    <t>중요도 증감</t>
  </si>
  <si>
    <t>안정성 증감</t>
  </si>
  <si>
    <t>관리 신호</t>
  </si>
  <si>
    <t>BX</t>
    <phoneticPr fontId="15" type="noConversion"/>
  </si>
  <si>
    <t>AX</t>
    <phoneticPr fontId="15" type="noConversion"/>
  </si>
  <si>
    <t>X</t>
    <phoneticPr fontId="15" type="noConversion"/>
  </si>
  <si>
    <t>Y</t>
    <phoneticPr fontId="15" type="noConversion"/>
  </si>
  <si>
    <t>Z</t>
    <phoneticPr fontId="15" type="noConversion"/>
  </si>
  <si>
    <t>XYZ</t>
    <phoneticPr fontId="15" type="noConversion"/>
  </si>
  <si>
    <t>ABC</t>
    <phoneticPr fontId="15" type="noConversion"/>
  </si>
  <si>
    <t>1. 회전율 증감 (과거 재고 현황 리뷰 하기 위함, 미래지표x)</t>
    <phoneticPr fontId="15" type="noConversion"/>
  </si>
  <si>
    <t>SCM기준 (과거 PSI 트렌드 기준) vs 영업 (미래 시장트렌드, 인사이트, 캠페인 활동)</t>
    <phoneticPr fontId="15" type="noConversion"/>
  </si>
  <si>
    <t>ABC/XYZ</t>
    <phoneticPr fontId="15" type="noConversion"/>
  </si>
  <si>
    <t>기준일</t>
    <phoneticPr fontId="15" type="noConversion"/>
  </si>
  <si>
    <t>기초재고</t>
    <phoneticPr fontId="15" type="noConversion"/>
  </si>
  <si>
    <t>출고량</t>
    <phoneticPr fontId="15" type="noConversion"/>
  </si>
  <si>
    <t>기말재고</t>
    <phoneticPr fontId="15" type="noConversion"/>
  </si>
  <si>
    <t>결품여부</t>
    <phoneticPr fontId="15" type="noConversion"/>
  </si>
  <si>
    <t>결품시작일</t>
    <phoneticPr fontId="15" type="noConversion"/>
  </si>
  <si>
    <t>결품종료일</t>
    <phoneticPr fontId="15" type="noConversion"/>
  </si>
  <si>
    <t>결품지속일수</t>
    <phoneticPr fontId="15" type="noConversion"/>
  </si>
  <si>
    <t>결품원인</t>
    <phoneticPr fontId="15" type="noConversion"/>
  </si>
  <si>
    <t>결품관리 시트 (AX)</t>
    <phoneticPr fontId="15" type="noConversion"/>
  </si>
  <si>
    <t>AX 결품률</t>
    <phoneticPr fontId="15" type="noConversion"/>
  </si>
  <si>
    <t>전체 결품률</t>
    <phoneticPr fontId="15" type="noConversion"/>
  </si>
  <si>
    <t>XY</t>
    <phoneticPr fontId="15" type="noConversion"/>
  </si>
  <si>
    <t>N</t>
    <phoneticPr fontId="15" type="noConversion"/>
  </si>
  <si>
    <t>납기지연</t>
    <phoneticPr fontId="15" type="noConversion"/>
  </si>
  <si>
    <t>조치상태</t>
    <phoneticPr fontId="15" type="noConversion"/>
  </si>
  <si>
    <t>정상화</t>
    <phoneticPr fontId="15" type="noConversion"/>
  </si>
  <si>
    <t>입고대기</t>
    <phoneticPr fontId="15" type="noConversion"/>
  </si>
  <si>
    <t>발주진행</t>
    <phoneticPr fontId="15" type="noConversion"/>
  </si>
  <si>
    <t>미조치</t>
    <phoneticPr fontId="15" type="noConversion"/>
  </si>
  <si>
    <t>해당월</t>
    <phoneticPr fontId="15" type="noConversion"/>
  </si>
  <si>
    <t>기준일 입력</t>
    <phoneticPr fontId="15" type="noConversion"/>
  </si>
  <si>
    <t>결품관리</t>
    <phoneticPr fontId="15" type="noConversion"/>
  </si>
  <si>
    <t>월별 결품률 관리</t>
    <phoneticPr fontId="15" type="noConversion"/>
  </si>
  <si>
    <t>26년_KPI_지표</t>
    <phoneticPr fontId="15" type="noConversion"/>
  </si>
  <si>
    <t>회전율 관리</t>
    <phoneticPr fontId="15" type="noConversion"/>
  </si>
  <si>
    <t>납기준수 관리</t>
    <phoneticPr fontId="15" type="noConversion"/>
  </si>
  <si>
    <t>수입/구매 납기율 관리</t>
    <phoneticPr fontId="15" type="noConversion"/>
  </si>
  <si>
    <t>XYZ 등급 월별 관리 및 실행방안</t>
    <phoneticPr fontId="15" type="noConversion"/>
  </si>
  <si>
    <t>회전율 및 회전일 관리</t>
    <phoneticPr fontId="15" type="noConversion"/>
  </si>
  <si>
    <t>1월_회전율</t>
    <phoneticPr fontId="15" type="noConversion"/>
  </si>
  <si>
    <t>1월_회전일</t>
    <phoneticPr fontId="15" type="noConversion"/>
  </si>
  <si>
    <t>2월_회전율</t>
    <phoneticPr fontId="15" type="noConversion"/>
  </si>
  <si>
    <t>2월_회전일</t>
    <phoneticPr fontId="15" type="noConversion"/>
  </si>
  <si>
    <t>3월_회전율</t>
    <phoneticPr fontId="15" type="noConversion"/>
  </si>
  <si>
    <t>3월_회전일</t>
    <phoneticPr fontId="15" type="noConversion"/>
  </si>
  <si>
    <t>회전율</t>
    <phoneticPr fontId="15" type="noConversion"/>
  </si>
  <si>
    <t>회전일</t>
    <phoneticPr fontId="15" type="noConversion"/>
  </si>
  <si>
    <t>회전일 : 소진대기 까지 걸리는 기간</t>
    <phoneticPr fontId="15" type="noConversion"/>
  </si>
  <si>
    <t>회전율 : 일정기간 동안 몇번 판매되는지</t>
    <phoneticPr fontId="15" type="noConversion"/>
  </si>
  <si>
    <t>출고 (2)</t>
    <phoneticPr fontId="15" type="noConversion"/>
  </si>
  <si>
    <t>포캐스트 vs 실출고율</t>
    <phoneticPr fontId="15" type="noConversion"/>
  </si>
  <si>
    <t>KPI_평가항목/성과지표</t>
    <phoneticPr fontId="15" type="noConversion"/>
  </si>
  <si>
    <t>수요예측 vs 공급계획</t>
  </si>
  <si>
    <t>안전재고 준수율</t>
  </si>
  <si>
    <t>적정재고 달성률</t>
    <phoneticPr fontId="15" type="noConversion"/>
  </si>
  <si>
    <t>결품률 최소화 관리</t>
    <phoneticPr fontId="15" type="noConversion"/>
  </si>
  <si>
    <t>재고회전율</t>
    <phoneticPr fontId="15" type="noConversion"/>
  </si>
  <si>
    <t>공급업체 납기준수율</t>
    <phoneticPr fontId="15" type="noConversion"/>
  </si>
  <si>
    <t>납기준수</t>
    <phoneticPr fontId="15" type="noConversion"/>
  </si>
  <si>
    <t>월 재고회전율
(Turnover rate)</t>
    <phoneticPr fontId="15" type="noConversion"/>
  </si>
  <si>
    <t>SCM통합 지표</t>
    <phoneticPr fontId="15" type="noConversion"/>
  </si>
  <si>
    <t>결품률</t>
    <phoneticPr fontId="15" type="noConversion"/>
  </si>
  <si>
    <t>안정성 관리</t>
    <phoneticPr fontId="15" type="noConversion"/>
  </si>
  <si>
    <t xml:space="preserve">XX 재고 관리로 전월대비 XX% 개선 </t>
    <phoneticPr fontId="15" type="noConversion"/>
  </si>
  <si>
    <t>예측률 사응과 브랜드팀의 인사이트 및 시장변동성 적용 성과로 출고율 상승</t>
    <phoneticPr fontId="15" type="noConversion"/>
  </si>
  <si>
    <t xml:space="preserve">물류 운송 이슈와 WMS 초기 도입에 따른 버퍼링(적응)기간으로 결품률 증가 </t>
    <phoneticPr fontId="15" type="noConversion"/>
  </si>
  <si>
    <t>생산 관리 집중과 신속한 대응으로 준수율 개선</t>
    <phoneticPr fontId="15" type="noConversion"/>
  </si>
  <si>
    <t xml:space="preserve">시즌성 제품 판매 하락으로 Z 증가 </t>
    <phoneticPr fontId="15" type="noConversion"/>
  </si>
  <si>
    <t>통합지표</t>
    <phoneticPr fontId="15" type="noConversion"/>
  </si>
  <si>
    <t>월 마감 통합지표</t>
    <phoneticPr fontId="15" type="noConversion"/>
  </si>
  <si>
    <t>적정재고 관리 (회전율)</t>
    <phoneticPr fontId="15" type="noConversion"/>
  </si>
  <si>
    <t>납기준수율 관리 예시</t>
    <phoneticPr fontId="15" type="noConversion"/>
  </si>
  <si>
    <r>
      <t xml:space="preserve">XYZ 증감에 따른 관리 포인트 </t>
    </r>
    <r>
      <rPr>
        <b/>
        <sz val="11"/>
        <color rgb="FFFF0000"/>
        <rFont val="맑은 고딕"/>
        <family val="3"/>
        <charset val="129"/>
        <scheme val="minor"/>
      </rPr>
      <t>예시</t>
    </r>
    <phoneticPr fontId="15" type="noConversion"/>
  </si>
  <si>
    <t>수요변동 관리</t>
    <phoneticPr fontId="15" type="noConversion"/>
  </si>
  <si>
    <t>XYZ 활용 목적:</t>
    <phoneticPr fontId="15" type="noConversion"/>
  </si>
  <si>
    <t>X(변동성 낮음) :  수요예측 용이 (정량발주, 낮은 안전재고)</t>
    <phoneticPr fontId="15" type="noConversion"/>
  </si>
  <si>
    <t>Y(중간 변동성) : 어느정도 예측가능 (적정 안전재고, 주기적 검토)</t>
    <phoneticPr fontId="15" type="noConversion"/>
  </si>
  <si>
    <t>Z(높은 변동성) : 수요예측 어려움 (높은 안전재고 또는 주문확정 후 생산방식 검토)</t>
    <phoneticPr fontId="15" type="noConversion"/>
  </si>
  <si>
    <t>25년 연간
출고원가</t>
    <phoneticPr fontId="15" type="noConversion"/>
  </si>
  <si>
    <t>25년 출고원가
누적(%)</t>
    <phoneticPr fontId="15" type="noConversion"/>
  </si>
  <si>
    <t>25년 월평균
판매수량</t>
    <phoneticPr fontId="15" type="noConversion"/>
  </si>
  <si>
    <t>25년 연간
판매수량</t>
    <phoneticPr fontId="15" type="noConversion"/>
  </si>
  <si>
    <t>재고전략</t>
    <phoneticPr fontId="15" type="noConversion"/>
  </si>
  <si>
    <t>"=IF(AC2&amp;AG2="AX","AX - 높은재고+분기대량(FCL)",IF(AC2&amp;AG2="AY","AY - 중간재고+월간중량",IF(AC2&amp;AG2="AZ","AZ - 낮은재고+긴급대응",IF(AC2&amp;AG2="BX","BX - 중간재고+분기주문",IF(AC2&amp;AG2="BY","BY - 표준재고+격월주문",IF(AC2&amp;AG2="BZ","BZ - 낮은재고+수요기반",IF(AC2&amp;AG2="CX","CX - 최소재고+반기주문",IF(AC2&amp;AG2="CY","CY - 최소재고+연1~2회",IF(AC2&amp;AG2="CZ","CZ - 재고없음+단종검토","")))))))))"</t>
    <phoneticPr fontId="15" type="noConversion"/>
  </si>
  <si>
    <t>"=IF(AC2="A",IF(AG2="X","AX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즉시단종"))))"</t>
    <phoneticPr fontId="15" type="noConversion"/>
  </si>
  <si>
    <t>위기상황 경우 (현재적용중)</t>
    <phoneticPr fontId="15" type="noConversion"/>
  </si>
  <si>
    <t>정상 경우 (향후 재고안정화 후)</t>
    <phoneticPr fontId="15" type="noConversion"/>
  </si>
  <si>
    <r>
      <t xml:space="preserve">위기 상황 (창고부족/자금부족) - </t>
    </r>
    <r>
      <rPr>
        <b/>
        <sz val="11"/>
        <color rgb="FFFF0000"/>
        <rFont val="맑은 고딕"/>
        <family val="3"/>
        <charset val="129"/>
        <scheme val="major"/>
      </rPr>
      <t>현재 적용 중</t>
    </r>
    <phoneticPr fontId="15" type="noConversion"/>
  </si>
  <si>
    <t>공급물량 산출 방식</t>
    <phoneticPr fontId="15" type="noConversion"/>
  </si>
  <si>
    <t>수요예측 (S&amp;OP_미팅시 협의)</t>
    <phoneticPr fontId="15" type="noConversion"/>
  </si>
  <si>
    <t>수요예측 및 SOP미팅</t>
    <phoneticPr fontId="15" type="noConversion"/>
  </si>
  <si>
    <t>목적</t>
    <phoneticPr fontId="15" type="noConversion"/>
  </si>
  <si>
    <t>납기관리</t>
    <phoneticPr fontId="15" type="noConversion"/>
  </si>
  <si>
    <t>재고관리</t>
    <phoneticPr fontId="15" type="noConversion"/>
  </si>
  <si>
    <t xml:space="preserve">KPI 평가 및 지표 </t>
    <phoneticPr fontId="15" type="noConversion"/>
  </si>
  <si>
    <t>월 마감</t>
    <phoneticPr fontId="15" type="noConversion"/>
  </si>
  <si>
    <t>루틴</t>
    <phoneticPr fontId="15" type="noConversion"/>
  </si>
  <si>
    <t>분기</t>
    <phoneticPr fontId="15" type="noConversion"/>
  </si>
  <si>
    <t>주별</t>
    <phoneticPr fontId="15" type="noConversion"/>
  </si>
  <si>
    <t>월별</t>
    <phoneticPr fontId="15" type="noConversion"/>
  </si>
  <si>
    <t>주기</t>
    <phoneticPr fontId="15" type="noConversion"/>
  </si>
  <si>
    <t>재고소진 독려</t>
    <phoneticPr fontId="15" type="noConversion"/>
  </si>
  <si>
    <t>대시보드 또는 재고분석 시트 이용</t>
    <phoneticPr fontId="15" type="noConversion"/>
  </si>
  <si>
    <t>연 재고회전율</t>
    <phoneticPr fontId="15" type="noConversion"/>
  </si>
  <si>
    <t>권장조치</t>
    <phoneticPr fontId="15" type="noConversion"/>
  </si>
  <si>
    <t>권장수량</t>
    <phoneticPr fontId="15" type="noConversion"/>
  </si>
  <si>
    <t>회전율
평가</t>
    <phoneticPr fontId="15" type="noConversion"/>
  </si>
  <si>
    <t>A</t>
    <phoneticPr fontId="15" type="noConversion"/>
  </si>
  <si>
    <t>B</t>
    <phoneticPr fontId="15" type="noConversion"/>
  </si>
  <si>
    <t>C</t>
    <phoneticPr fontId="15" type="noConversion"/>
  </si>
  <si>
    <t>안전
계수</t>
    <phoneticPr fontId="15" type="noConversion"/>
  </si>
  <si>
    <t>표준편차×√LT×안전계수x보정계수</t>
    <phoneticPr fontId="15" type="noConversion"/>
  </si>
  <si>
    <r>
      <t>Z-score 
(</t>
    </r>
    <r>
      <rPr>
        <b/>
        <u/>
        <sz val="11"/>
        <color rgb="FFFF0000"/>
        <rFont val="맑은 고딕"/>
        <family val="3"/>
        <charset val="129"/>
        <scheme val="minor"/>
      </rPr>
      <t>안전계수</t>
    </r>
    <r>
      <rPr>
        <b/>
        <sz val="11"/>
        <rFont val="맑은 고딕"/>
        <family val="3"/>
        <charset val="129"/>
        <scheme val="minor"/>
      </rPr>
      <t>)</t>
    </r>
    <phoneticPr fontId="15" type="noConversion"/>
  </si>
  <si>
    <t>안전재고 계산식</t>
    <phoneticPr fontId="15" type="noConversion"/>
  </si>
  <si>
    <t>재고없음</t>
    <phoneticPr fontId="15" type="noConversion"/>
  </si>
  <si>
    <t>현상유지</t>
    <phoneticPr fontId="15" type="noConversion"/>
  </si>
  <si>
    <t>확인필요</t>
    <phoneticPr fontId="15" type="noConversion"/>
  </si>
  <si>
    <t>2. ABC/XYZ 관리 (XYZ 반기별 갱신 권장)</t>
    <phoneticPr fontId="15" type="noConversion"/>
  </si>
  <si>
    <t>현재고</t>
    <phoneticPr fontId="15" type="noConversion"/>
  </si>
  <si>
    <t>발주량</t>
    <phoneticPr fontId="15" type="noConversion"/>
  </si>
  <si>
    <t>평균
일출고량</t>
    <phoneticPr fontId="15" type="noConversion"/>
  </si>
  <si>
    <t>적정재고</t>
    <phoneticPr fontId="15" type="noConversion"/>
  </si>
  <si>
    <t>MOQ</t>
    <phoneticPr fontId="15" type="noConversion"/>
  </si>
  <si>
    <t>MOQ감안 발주량</t>
    <phoneticPr fontId="15" type="noConversion"/>
  </si>
  <si>
    <t>리드
타임</t>
    <phoneticPr fontId="15" type="noConversion"/>
  </si>
  <si>
    <t>발주
주기</t>
    <phoneticPr fontId="15" type="noConversion"/>
  </si>
  <si>
    <t>2. 최종 공급 물량 산출</t>
    <phoneticPr fontId="15" type="noConversion"/>
  </si>
  <si>
    <t>4)ABC/XYZ 구분</t>
    <phoneticPr fontId="15" type="noConversion"/>
  </si>
  <si>
    <t>5)안전재고 설정</t>
    <phoneticPr fontId="15" type="noConversion"/>
  </si>
  <si>
    <t>6)재고 상태 설정</t>
    <phoneticPr fontId="15" type="noConversion"/>
  </si>
  <si>
    <t>7)발주 여부 설정</t>
    <phoneticPr fontId="15" type="noConversion"/>
  </si>
  <si>
    <t>A등급 기준 (등급별 차등적용) -&gt; 왼쪽 N칼럼 재고상태 수식 참조</t>
    <phoneticPr fontId="15" type="noConversion"/>
  </si>
  <si>
    <r>
      <t>XYZ</t>
    </r>
    <r>
      <rPr>
        <b/>
        <u/>
        <sz val="11"/>
        <color rgb="FFFF0000"/>
        <rFont val="맑은 고딕"/>
        <family val="3"/>
        <charset val="129"/>
        <scheme val="minor"/>
      </rPr>
      <t>보정계수</t>
    </r>
    <r>
      <rPr>
        <b/>
        <sz val="11"/>
        <rFont val="맑은 고딕"/>
        <family val="3"/>
        <charset val="129"/>
        <scheme val="minor"/>
      </rPr>
      <t xml:space="preserve">
(재고 축소목적)</t>
    </r>
    <phoneticPr fontId="15" type="noConversion"/>
  </si>
  <si>
    <t>주요확인 및 업데이트 필요 사항</t>
    <phoneticPr fontId="15" type="noConversion"/>
  </si>
  <si>
    <t>공급물량</t>
    <phoneticPr fontId="15" type="noConversion"/>
  </si>
  <si>
    <t>월 공급물량 산출</t>
    <phoneticPr fontId="15" type="noConversion"/>
  </si>
  <si>
    <t>적정 오른쪽 캡쳐(표) 참조 -&gt; 정상이므로 제외</t>
    <phoneticPr fontId="15" type="noConversion"/>
  </si>
  <si>
    <t>-재주문필요</t>
    <phoneticPr fontId="15" type="noConversion"/>
  </si>
  <si>
    <t>-과잉</t>
    <phoneticPr fontId="15" type="noConversion"/>
  </si>
  <si>
    <t>1. 재고 상태 필터링</t>
    <phoneticPr fontId="15" type="noConversion"/>
  </si>
  <si>
    <t xml:space="preserve">긴급 조치가 필요한 상태: 오른쪽 캡쳐(표)참조 </t>
    <phoneticPr fontId="15" type="noConversion"/>
  </si>
  <si>
    <r>
      <t>1)</t>
    </r>
    <r>
      <rPr>
        <sz val="11"/>
        <color rgb="FF0070C0"/>
        <rFont val="맑은 고딕"/>
        <family val="3"/>
        <charset val="129"/>
        <scheme val="minor"/>
      </rPr>
      <t>리드타임</t>
    </r>
    <r>
      <rPr>
        <sz val="11"/>
        <color theme="1"/>
        <rFont val="맑은 고딕"/>
        <family val="3"/>
        <charset val="129"/>
        <scheme val="minor"/>
      </rPr>
      <t xml:space="preserve"> : 발주부터 입고완료까지의 기간 (가용재고시까지의 기간)</t>
    </r>
    <phoneticPr fontId="15" type="noConversion"/>
  </si>
  <si>
    <r>
      <t>2)</t>
    </r>
    <r>
      <rPr>
        <sz val="11"/>
        <color rgb="FFFF0000"/>
        <rFont val="맑은 고딕"/>
        <family val="3"/>
        <charset val="129"/>
        <scheme val="minor"/>
      </rPr>
      <t>월평균 출고량</t>
    </r>
    <r>
      <rPr>
        <sz val="11"/>
        <color theme="1"/>
        <rFont val="맑은 고딕"/>
        <family val="3"/>
        <charset val="129"/>
        <scheme val="minor"/>
      </rPr>
      <t xml:space="preserve"> : 전년 동월 물량 + 올해 예상 증감 % 감안 + 계절성 감안(예, 겨울에는 여름제품 발주안함)</t>
    </r>
    <phoneticPr fontId="15" type="noConversion"/>
  </si>
  <si>
    <t>1. 기준정립 및 설정</t>
    <phoneticPr fontId="15" type="noConversion"/>
  </si>
  <si>
    <r>
      <t>3)</t>
    </r>
    <r>
      <rPr>
        <sz val="11"/>
        <color rgb="FF00B050"/>
        <rFont val="맑은 고딕"/>
        <family val="3"/>
        <charset val="129"/>
        <scheme val="minor"/>
      </rPr>
      <t>안전재고</t>
    </r>
    <r>
      <rPr>
        <sz val="11"/>
        <color theme="1"/>
        <rFont val="맑은 고딕"/>
        <family val="3"/>
        <charset val="129"/>
        <scheme val="minor"/>
      </rPr>
      <t xml:space="preserve"> : √LT(루트리드타임) x 수요표준편차 x 서비스레벨 -&gt; "수요변동성"만 고려됨 , 향후 추가 리드타임 고려된 산출식으로 고도화 필요</t>
    </r>
    <phoneticPr fontId="15" type="noConversion"/>
  </si>
  <si>
    <t>재주문 (버퍼 부족)</t>
    <phoneticPr fontId="15" type="noConversion"/>
  </si>
  <si>
    <t>과잉 (과도 안전마진)</t>
    <phoneticPr fontId="15" type="noConversion"/>
  </si>
  <si>
    <t>긴급발주</t>
    <phoneticPr fontId="15" type="noConversion"/>
  </si>
  <si>
    <t>브랜드팀에 가이드 제시(S&amp;OP)</t>
    <phoneticPr fontId="15" type="noConversion"/>
  </si>
  <si>
    <t>예측 물량 도출(S&amp;OP)</t>
    <phoneticPr fontId="15" type="noConversion"/>
  </si>
  <si>
    <t>기간별 평가</t>
    <phoneticPr fontId="15" type="noConversion"/>
  </si>
  <si>
    <t>추세선 분석/리뷰 및 개선방안 도출</t>
    <phoneticPr fontId="15" type="noConversion"/>
  </si>
  <si>
    <t>데일리 현황 체크 및 필요시 정량발주</t>
    <phoneticPr fontId="15" type="noConversion"/>
  </si>
  <si>
    <t>안전재고 : ABC 서비스 레벨 + XYZ보정계수 -&gt; 상황에 맞게 비율(1.25 1.15 등) 적용(수정) 해야함</t>
    <phoneticPr fontId="15" type="noConversion"/>
  </si>
  <si>
    <t>적정재고 지표(재고분석) : 등급별 재고 대비 안전재고 비율(일출고량x리드타임+안전재고)</t>
    <phoneticPr fontId="15" type="noConversion"/>
  </si>
  <si>
    <t>PSI_메인 : 월별 입출고/재고 물량 관리 데이터 -&gt; 발생시 마다 업데이트</t>
    <phoneticPr fontId="15" type="noConversion"/>
  </si>
  <si>
    <t>현재고 : 재고현황 (향후 WMS 추출 양식으로 변경 필요)</t>
    <phoneticPr fontId="15" type="noConversion"/>
  </si>
  <si>
    <t>SCM 주 업무</t>
    <phoneticPr fontId="15" type="noConversion"/>
  </si>
  <si>
    <t>발생시 마다 기재 관리</t>
    <phoneticPr fontId="15" type="noConversion"/>
  </si>
  <si>
    <t>안전재고 ≤ 현재고 &lt; 적정재고×0.8</t>
    <phoneticPr fontId="15" type="noConversion"/>
  </si>
  <si>
    <t>적정재고x0.8 ≤ 현재고 &lt; 적정재고×1.2</t>
    <phoneticPr fontId="15" type="noConversion"/>
  </si>
  <si>
    <t>현재고 &gt;= 적정재고 x 1.2</t>
    <phoneticPr fontId="15" type="noConversion"/>
  </si>
  <si>
    <t>AY</t>
    <phoneticPr fontId="15" type="noConversion"/>
  </si>
  <si>
    <t>AZ</t>
    <phoneticPr fontId="15" type="noConversion"/>
  </si>
  <si>
    <t>BY</t>
    <phoneticPr fontId="15" type="noConversion"/>
  </si>
  <si>
    <t>BZ</t>
    <phoneticPr fontId="15" type="noConversion"/>
  </si>
  <si>
    <t>CX</t>
    <phoneticPr fontId="15" type="noConversion"/>
  </si>
  <si>
    <t>CY</t>
    <phoneticPr fontId="15" type="noConversion"/>
  </si>
  <si>
    <t>CZ</t>
    <phoneticPr fontId="15" type="noConversion"/>
  </si>
  <si>
    <t>ABC/
XYZ</t>
    <phoneticPr fontId="15" type="noConversion"/>
  </si>
  <si>
    <t>보정
계수</t>
    <phoneticPr fontId="15" type="noConversion"/>
  </si>
  <si>
    <r>
      <t xml:space="preserve">(일평균출고 × LT × </t>
    </r>
    <r>
      <rPr>
        <b/>
        <u/>
        <sz val="11"/>
        <color rgb="FFFF0000"/>
        <rFont val="맑은 고딕"/>
        <family val="3"/>
        <charset val="129"/>
        <scheme val="minor"/>
      </rPr>
      <t>사이클보정계수</t>
    </r>
    <r>
      <rPr>
        <sz val="11"/>
        <color theme="1"/>
        <rFont val="맑은 고딕"/>
        <family val="2"/>
        <scheme val="minor"/>
      </rPr>
      <t>) + 안전재고</t>
    </r>
    <phoneticPr fontId="15" type="noConversion"/>
  </si>
  <si>
    <t>예시 (안전재고=100개, 적정재고=450개)</t>
    <phoneticPr fontId="15" type="noConversion"/>
  </si>
  <si>
    <t>100 ~ 360개</t>
    <phoneticPr fontId="15" type="noConversion"/>
  </si>
  <si>
    <t>360 ~ 540개</t>
    <phoneticPr fontId="15" type="noConversion"/>
  </si>
  <si>
    <t>현재고 &gt; 540개</t>
    <phoneticPr fontId="15" type="noConversion"/>
  </si>
  <si>
    <t>(일평균출고 x 리드타임 x 사이클보정계수) + 안전재고</t>
    <phoneticPr fontId="15" type="noConversion"/>
  </si>
  <si>
    <t>ABC1</t>
  </si>
  <si>
    <t>ABC1</t>
    <phoneticPr fontId="15" type="noConversion"/>
  </si>
  <si>
    <t>ABC2</t>
  </si>
  <si>
    <t>ABC3</t>
  </si>
  <si>
    <t>ABC4</t>
  </si>
  <si>
    <t>ABC5</t>
  </si>
  <si>
    <t>ABC6</t>
  </si>
  <si>
    <t>ABC7</t>
  </si>
  <si>
    <t>ABC8</t>
  </si>
  <si>
    <t>ABC9</t>
  </si>
  <si>
    <t>ABC10</t>
  </si>
  <si>
    <t>ABC11</t>
  </si>
  <si>
    <t>ABC12</t>
  </si>
  <si>
    <t>ABC13</t>
  </si>
  <si>
    <t>ABC14</t>
  </si>
  <si>
    <t>ABC15</t>
  </si>
  <si>
    <t>ABC16</t>
  </si>
  <si>
    <t>ABC17</t>
  </si>
  <si>
    <t>ABC18</t>
  </si>
  <si>
    <t>ABC19</t>
  </si>
  <si>
    <t>ABC20</t>
  </si>
  <si>
    <t>ABC21</t>
  </si>
  <si>
    <t>ABC22</t>
  </si>
  <si>
    <t>ABC23</t>
  </si>
  <si>
    <t>ABC24</t>
  </si>
  <si>
    <t>ABC25</t>
  </si>
  <si>
    <t>ABC26</t>
  </si>
  <si>
    <t>ABC27</t>
  </si>
  <si>
    <t>ABC28</t>
  </si>
  <si>
    <t>ABC29</t>
  </si>
  <si>
    <t>ABC30</t>
  </si>
  <si>
    <t>ABC31</t>
  </si>
  <si>
    <t>ABC32</t>
  </si>
  <si>
    <t>ABC33</t>
  </si>
  <si>
    <t>ABC34</t>
  </si>
  <si>
    <t>ABC35</t>
  </si>
  <si>
    <t>ABC36</t>
  </si>
  <si>
    <t>ABC37</t>
  </si>
  <si>
    <t>ABC38</t>
  </si>
  <si>
    <t>ABC39</t>
  </si>
  <si>
    <t>ABC40</t>
  </si>
  <si>
    <t>ABC41</t>
  </si>
  <si>
    <t>ABC42</t>
  </si>
  <si>
    <t>ABC43</t>
  </si>
  <si>
    <t>ABC44</t>
  </si>
  <si>
    <t>ABC45</t>
  </si>
  <si>
    <t>ABC46</t>
  </si>
  <si>
    <t>ABC47</t>
  </si>
  <si>
    <t>ABC48</t>
  </si>
  <si>
    <t>ABC49</t>
  </si>
  <si>
    <t>ABC50</t>
  </si>
  <si>
    <t>ABC51</t>
  </si>
  <si>
    <t>ABC52</t>
  </si>
  <si>
    <t>ABC53</t>
  </si>
  <si>
    <t>ABC54</t>
  </si>
  <si>
    <t>ABC55</t>
  </si>
  <si>
    <t>ABC56</t>
  </si>
  <si>
    <t>ABC57</t>
  </si>
  <si>
    <t>ABC58</t>
  </si>
  <si>
    <t>ABC59</t>
  </si>
  <si>
    <t>ABC60</t>
  </si>
  <si>
    <t>ABC61</t>
  </si>
  <si>
    <t>ABC62</t>
  </si>
  <si>
    <t>ABC63</t>
  </si>
  <si>
    <t>ABC64</t>
  </si>
  <si>
    <t>ABC65</t>
  </si>
  <si>
    <t>ABC66</t>
  </si>
  <si>
    <t>ABC67</t>
  </si>
  <si>
    <t>ABC68</t>
  </si>
  <si>
    <t>ABC69</t>
  </si>
  <si>
    <t>ABC70</t>
  </si>
  <si>
    <t>ABC71</t>
  </si>
  <si>
    <t>ABC72</t>
  </si>
  <si>
    <t>ABC73</t>
  </si>
  <si>
    <t>ABC74</t>
  </si>
  <si>
    <t>ABC75</t>
  </si>
  <si>
    <t>ABC76</t>
  </si>
  <si>
    <t>ABC77</t>
  </si>
  <si>
    <t>ABC78</t>
  </si>
  <si>
    <t>ABC79</t>
  </si>
  <si>
    <t>ABC80</t>
  </si>
  <si>
    <t>ABC81</t>
  </si>
  <si>
    <t>ABC82</t>
  </si>
  <si>
    <t>ABC83</t>
  </si>
  <si>
    <t>ABC84</t>
  </si>
  <si>
    <t>ABC85</t>
  </si>
  <si>
    <t>ABC86</t>
  </si>
  <si>
    <t>ABC87</t>
  </si>
  <si>
    <t>ABC88</t>
  </si>
  <si>
    <t>ABC89</t>
  </si>
  <si>
    <t>ABC90</t>
  </si>
  <si>
    <t>ABC91</t>
  </si>
  <si>
    <t>ABC92</t>
  </si>
  <si>
    <t>ABC93</t>
  </si>
  <si>
    <t>ABC94</t>
  </si>
  <si>
    <t>ABC95</t>
  </si>
  <si>
    <t>ABC96</t>
  </si>
  <si>
    <t>ABC97</t>
  </si>
  <si>
    <t>ABC98</t>
  </si>
  <si>
    <t>ABC99</t>
  </si>
  <si>
    <t>열1</t>
  </si>
  <si>
    <t>열2</t>
  </si>
  <si>
    <t>열3</t>
  </si>
  <si>
    <t>열4</t>
  </si>
  <si>
    <t>열5</t>
  </si>
  <si>
    <t>열6</t>
  </si>
  <si>
    <t>열7</t>
  </si>
  <si>
    <t>열8</t>
  </si>
  <si>
    <t xml:space="preserve"> 16,185 </t>
  </si>
  <si>
    <t>ABC2</t>
    <phoneticPr fontId="15" type="noConversion"/>
  </si>
  <si>
    <t>ABC82</t>
    <phoneticPr fontId="15" type="noConversion"/>
  </si>
  <si>
    <t>ABC98</t>
    <phoneticPr fontId="15" type="noConversion"/>
  </si>
  <si>
    <t>ABC55</t>
    <phoneticPr fontId="15" type="noConversion"/>
  </si>
  <si>
    <t>ABC78</t>
    <phoneticPr fontId="15" type="noConversion"/>
  </si>
  <si>
    <t>ABC87</t>
    <phoneticPr fontId="15" type="noConversion"/>
  </si>
  <si>
    <t>ABC23</t>
    <phoneticPr fontId="15" type="noConversion"/>
  </si>
  <si>
    <t>ABC43</t>
    <phoneticPr fontId="15" type="noConversion"/>
  </si>
  <si>
    <t>ABC54</t>
    <phoneticPr fontId="15" type="noConversion"/>
  </si>
  <si>
    <t>ABC21</t>
    <phoneticPr fontId="15" type="noConversion"/>
  </si>
  <si>
    <t>ABC76</t>
    <phoneticPr fontId="15" type="noConversion"/>
  </si>
  <si>
    <t>ABC88</t>
    <phoneticPr fontId="15" type="noConversion"/>
  </si>
  <si>
    <t>ABC32</t>
    <phoneticPr fontId="15" type="noConversion"/>
  </si>
  <si>
    <t>ABC68</t>
    <phoneticPr fontId="15" type="noConversion"/>
  </si>
  <si>
    <t>\</t>
    <phoneticPr fontId="15" type="noConversion"/>
  </si>
  <si>
    <t>SKU
코드</t>
    <phoneticPr fontId="15" type="noConversion"/>
  </si>
  <si>
    <t>20번 중 1번 품절 -&gt; 일반적으로 사용하지만  현재 과잉재고로 레벨 낮추기를 권장</t>
    <phoneticPr fontId="15" type="noConversion"/>
  </si>
  <si>
    <t>년월
(예정)</t>
    <phoneticPr fontId="15" type="noConversion"/>
  </si>
  <si>
    <r>
      <rPr>
        <sz val="11"/>
        <color theme="1"/>
        <rFont val="맑은 고딕"/>
        <family val="3"/>
        <charset val="129"/>
        <scheme val="minor"/>
      </rPr>
      <t xml:space="preserve">년월
</t>
    </r>
    <r>
      <rPr>
        <sz val="11"/>
        <color theme="1"/>
        <rFont val="맑은 고딕"/>
        <family val="2"/>
        <charset val="129"/>
        <scheme val="minor"/>
      </rPr>
      <t>(실입고)</t>
    </r>
    <phoneticPr fontId="15" type="noConversion"/>
  </si>
  <si>
    <t>재주문</t>
    <phoneticPr fontId="15" type="noConversion"/>
  </si>
  <si>
    <t>신재품</t>
    <phoneticPr fontId="15" type="noConversion"/>
  </si>
  <si>
    <t>단종예정</t>
    <phoneticPr fontId="15" type="noConversion"/>
  </si>
  <si>
    <t>기존제품</t>
    <phoneticPr fontId="15" type="noConversion"/>
  </si>
  <si>
    <t>발주일</t>
    <phoneticPr fontId="15" type="noConversion"/>
  </si>
  <si>
    <t>구매원가</t>
    <phoneticPr fontId="15" type="noConversion"/>
  </si>
  <si>
    <t>예상입고일</t>
    <phoneticPr fontId="15" type="noConversion"/>
  </si>
  <si>
    <t>제품명</t>
    <phoneticPr fontId="15" type="noConversion"/>
  </si>
  <si>
    <t>발주 후 재고소진일</t>
    <phoneticPr fontId="15" type="noConversion"/>
  </si>
  <si>
    <t>발주 전 재고소진일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</si>
</sst>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"/>
    <numFmt numFmtId="177" formatCode="0_);[Red]\(0\)"/>
    <numFmt numFmtId="178" formatCode="_-* #,##0.0_-;\-* #,##0.0_-;_-* &quot;-&quot;??_-;_-@_-"/>
    <numFmt numFmtId="179" formatCode="0.0%"/>
    <numFmt numFmtId="180" formatCode="_-* #,##0.0_-;\-* #,##0.0_-;_-* &quot;-&quot;_-;_-@_-"/>
    <numFmt numFmtId="181" formatCode="_-* #,##0.0000_-;\-* #,##0.0000_-;_-* &quot;-&quot;??_-;_-@_-"/>
    <numFmt numFmtId="182" formatCode="_-* #,##0.000_-;\-* #,##0.000_-;_-* &quot;-&quot;_-;_-@_-"/>
    <numFmt numFmtId="183" formatCode="_-* #,##0.00_-;\-* #,##0.00_-;_-* &quot;-&quot;_-;_-@_-"/>
  </numFmts>
  <fonts count="7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2"/>
      <color rgb="FF1F4E78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sz val="9"/>
      <color rgb="FF444444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rgb="FF666666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Calibri"/>
      <family val="2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color rgb="FFFF0000"/>
      <name val="맑은 고딕"/>
      <family val="3"/>
      <charset val="129"/>
      <scheme val="minor"/>
    </font>
    <font>
      <sz val="9"/>
      <color theme="1"/>
      <name val="맑은 고딕 (본문)"/>
      <family val="3"/>
      <charset val="129"/>
    </font>
    <font>
      <b/>
      <sz val="9"/>
      <color indexed="8"/>
      <name val="맑은 고딕"/>
      <family val="3"/>
      <charset val="129"/>
      <scheme val="minor"/>
    </font>
    <font>
      <b/>
      <sz val="9"/>
      <color theme="1"/>
      <name val="맑은 고딕 (본문)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2" tint="-0.499984740745262"/>
      <name val="맑은 고딕"/>
      <family val="2"/>
      <charset val="129"/>
      <scheme val="minor"/>
    </font>
    <font>
      <sz val="9"/>
      <color theme="2" tint="-0.499984740745262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2"/>
      <name val="宋体"/>
      <family val="3"/>
      <charset val="129"/>
    </font>
    <font>
      <sz val="12"/>
      <name val="微软雅黑"/>
      <family val="2"/>
      <charset val="134"/>
    </font>
    <font>
      <b/>
      <sz val="11"/>
      <color rgb="FFFF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rgb="FFFFFFFF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rgb="FFFF0000"/>
      <name val="맑은 고딕"/>
      <family val="3"/>
      <charset val="129"/>
      <scheme val="major"/>
    </font>
    <font>
      <b/>
      <u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u/>
      <sz val="11"/>
      <name val="맑은 고딕"/>
      <family val="2"/>
      <scheme val="minor"/>
    </font>
    <font>
      <sz val="11"/>
      <name val="맑은 고딕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  <fill>
      <patternFill patternType="solid">
        <fgColor rgb="FFC6E0B4"/>
        <bgColor rgb="FFC6E0B4"/>
      </patternFill>
    </fill>
    <fill>
      <patternFill patternType="solid">
        <fgColor rgb="FFF4B084"/>
        <bgColor rgb="FFF4B084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E2EFDA"/>
      </patternFill>
    </fill>
    <fill>
      <patternFill patternType="solid">
        <fgColor rgb="FF1C4587"/>
        <bgColor indexed="64"/>
      </patternFill>
    </fill>
    <fill>
      <patternFill patternType="solid">
        <fgColor rgb="FF00B0F0"/>
        <bgColor rgb="FF1F4E78"/>
      </patternFill>
    </fill>
    <fill>
      <patternFill patternType="solid">
        <fgColor rgb="FFFFFF00"/>
        <bgColor rgb="FF1F4E7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454545"/>
      </left>
      <right style="medium">
        <color rgb="FF454545"/>
      </right>
      <top style="medium">
        <color rgb="FF454545"/>
      </top>
      <bottom style="medium">
        <color rgb="FF454545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auto="1"/>
      </left>
      <right/>
      <top style="thin">
        <color indexed="0"/>
      </top>
      <bottom/>
      <diagonal/>
    </border>
    <border>
      <left style="thin">
        <color auto="1"/>
      </left>
      <right/>
      <top style="thin">
        <color indexed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6">
    <xf numFmtId="0" fontId="0" fillId="0" borderId="0"/>
    <xf numFmtId="41" fontId="16" fillId="0" borderId="0">
      <alignment vertical="center"/>
    </xf>
    <xf numFmtId="0" fontId="23" fillId="0" borderId="0">
      <alignment vertical="center"/>
    </xf>
    <xf numFmtId="0" fontId="25" fillId="0" borderId="0"/>
    <xf numFmtId="41" fontId="5" fillId="0" borderId="0">
      <alignment vertical="center"/>
    </xf>
    <xf numFmtId="9" fontId="5" fillId="0" borderId="0">
      <alignment vertical="center"/>
    </xf>
    <xf numFmtId="0" fontId="5" fillId="0" borderId="0">
      <alignment vertical="center"/>
    </xf>
    <xf numFmtId="0" fontId="25" fillId="0" borderId="0"/>
    <xf numFmtId="41" fontId="25" fillId="0" borderId="0">
      <alignment vertical="center"/>
    </xf>
    <xf numFmtId="0" fontId="5" fillId="0" borderId="0">
      <alignment vertical="center"/>
    </xf>
    <xf numFmtId="41" fontId="5" fillId="0" borderId="0">
      <alignment vertical="center"/>
    </xf>
    <xf numFmtId="0" fontId="18" fillId="0" borderId="0">
      <alignment vertical="center"/>
    </xf>
    <xf numFmtId="9" fontId="5" fillId="0" borderId="0">
      <alignment vertical="center"/>
    </xf>
    <xf numFmtId="0" fontId="49" fillId="0" borderId="0"/>
    <xf numFmtId="9" fontId="16" fillId="0" borderId="0">
      <alignment vertical="center"/>
    </xf>
    <xf numFmtId="0" fontId="66" fillId="0" borderId="0" applyNumberFormat="0" applyFill="0" applyBorder="0" applyAlignment="0" applyProtection="0"/>
  </cellStyleXfs>
  <cellXfs count="495">
    <xf numFmtId="0" fontId="0" fillId="0" borderId="0" xfId="0"/>
    <xf numFmtId="0" fontId="9" fillId="0" borderId="0" xfId="0" applyFont="1"/>
    <xf numFmtId="0" fontId="11" fillId="0" borderId="0" xfId="0" applyFont="1"/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12" fillId="0" borderId="0" xfId="0" applyFont="1"/>
    <xf numFmtId="3" fontId="0" fillId="4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 wrapText="1"/>
    </xf>
    <xf numFmtId="3" fontId="0" fillId="6" borderId="1" xfId="0" applyNumberFormat="1" applyFill="1" applyBorder="1" applyAlignment="1">
      <alignment horizontal="center" vertical="center" wrapText="1"/>
    </xf>
    <xf numFmtId="0" fontId="13" fillId="0" borderId="0" xfId="0" quotePrefix="1" applyFont="1"/>
    <xf numFmtId="0" fontId="17" fillId="0" borderId="0" xfId="0" applyFont="1"/>
    <xf numFmtId="3" fontId="0" fillId="0" borderId="2" xfId="0" applyNumberFormat="1" applyBorder="1" applyAlignment="1">
      <alignment horizontal="center" vertical="center" wrapText="1"/>
    </xf>
    <xf numFmtId="3" fontId="0" fillId="4" borderId="8" xfId="0" applyNumberFormat="1" applyFill="1" applyBorder="1" applyAlignment="1">
      <alignment horizontal="center" vertical="center" wrapText="1"/>
    </xf>
    <xf numFmtId="3" fontId="0" fillId="6" borderId="9" xfId="0" applyNumberFormat="1" applyFill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3" fontId="0" fillId="6" borderId="2" xfId="0" applyNumberForma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2" fillId="0" borderId="0" xfId="0" applyFont="1"/>
    <xf numFmtId="0" fontId="24" fillId="0" borderId="0" xfId="2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1" fontId="28" fillId="0" borderId="1" xfId="4" applyFont="1" applyBorder="1" applyAlignment="1">
      <alignment horizontal="right"/>
    </xf>
    <xf numFmtId="41" fontId="28" fillId="0" borderId="1" xfId="4" applyFont="1" applyBorder="1" applyAlignment="1"/>
    <xf numFmtId="41" fontId="0" fillId="0" borderId="1" xfId="1" applyFont="1" applyBorder="1" applyAlignment="1">
      <alignment horizontal="center" vertical="center" wrapText="1"/>
    </xf>
    <xf numFmtId="0" fontId="5" fillId="0" borderId="0" xfId="6" applyAlignment="1">
      <alignment horizontal="center" vertical="center"/>
    </xf>
    <xf numFmtId="41" fontId="0" fillId="0" borderId="0" xfId="4" applyFont="1" applyAlignment="1">
      <alignment horizontal="center" vertical="center"/>
    </xf>
    <xf numFmtId="0" fontId="32" fillId="0" borderId="1" xfId="6" applyFont="1" applyBorder="1" applyAlignment="1">
      <alignment horizontal="center" vertical="center" wrapText="1"/>
    </xf>
    <xf numFmtId="41" fontId="32" fillId="0" borderId="1" xfId="4" applyFont="1" applyBorder="1" applyAlignment="1">
      <alignment horizontal="center" vertical="center" wrapText="1"/>
    </xf>
    <xf numFmtId="0" fontId="32" fillId="0" borderId="0" xfId="6" applyFont="1" applyAlignment="1">
      <alignment horizontal="center" vertical="center" wrapText="1"/>
    </xf>
    <xf numFmtId="0" fontId="32" fillId="0" borderId="1" xfId="6" applyFont="1" applyBorder="1" applyAlignment="1">
      <alignment horizontal="center" vertical="center"/>
    </xf>
    <xf numFmtId="41" fontId="32" fillId="0" borderId="1" xfId="4" applyFont="1" applyBorder="1" applyAlignment="1">
      <alignment horizontal="center" vertical="center"/>
    </xf>
    <xf numFmtId="0" fontId="33" fillId="0" borderId="1" xfId="6" applyFont="1" applyBorder="1" applyAlignment="1">
      <alignment horizontal="center" vertical="center" wrapText="1"/>
    </xf>
    <xf numFmtId="0" fontId="34" fillId="0" borderId="1" xfId="6" applyFont="1" applyBorder="1" applyAlignment="1">
      <alignment horizontal="center" vertical="center" wrapText="1"/>
    </xf>
    <xf numFmtId="0" fontId="5" fillId="0" borderId="0" xfId="6">
      <alignment vertical="center"/>
    </xf>
    <xf numFmtId="0" fontId="5" fillId="0" borderId="1" xfId="6" applyBorder="1">
      <alignment vertical="center"/>
    </xf>
    <xf numFmtId="177" fontId="18" fillId="0" borderId="1" xfId="6" applyNumberFormat="1" applyFont="1" applyBorder="1" applyAlignment="1">
      <alignment horizontal="center"/>
    </xf>
    <xf numFmtId="177" fontId="5" fillId="0" borderId="1" xfId="6" applyNumberFormat="1" applyBorder="1" applyAlignment="1">
      <alignment horizontal="center" vertical="center"/>
    </xf>
    <xf numFmtId="0" fontId="5" fillId="0" borderId="1" xfId="6" applyBorder="1" applyAlignment="1">
      <alignment horizontal="center" vertical="center"/>
    </xf>
    <xf numFmtId="41" fontId="27" fillId="0" borderId="17" xfId="4" applyFont="1" applyBorder="1" applyAlignment="1">
      <alignment horizontal="center"/>
    </xf>
    <xf numFmtId="41" fontId="27" fillId="0" borderId="19" xfId="4" applyFont="1" applyBorder="1" applyAlignment="1">
      <alignment horizontal="center"/>
    </xf>
    <xf numFmtId="41" fontId="0" fillId="0" borderId="1" xfId="4" applyFont="1" applyBorder="1">
      <alignment vertical="center"/>
    </xf>
    <xf numFmtId="179" fontId="0" fillId="0" borderId="1" xfId="5" applyNumberFormat="1" applyFont="1" applyBorder="1">
      <alignment vertical="center"/>
    </xf>
    <xf numFmtId="9" fontId="0" fillId="0" borderId="1" xfId="5" applyFont="1" applyBorder="1">
      <alignment vertical="center"/>
    </xf>
    <xf numFmtId="176" fontId="5" fillId="0" borderId="1" xfId="6" applyNumberFormat="1" applyBorder="1" applyAlignment="1">
      <alignment horizontal="center" vertical="center"/>
    </xf>
    <xf numFmtId="9" fontId="0" fillId="0" borderId="1" xfId="5" applyFont="1" applyBorder="1" applyAlignment="1">
      <alignment horizontal="center" vertical="center"/>
    </xf>
    <xf numFmtId="41" fontId="0" fillId="0" borderId="1" xfId="4" applyFont="1" applyBorder="1" applyAlignment="1">
      <alignment horizontal="center" vertical="center"/>
    </xf>
    <xf numFmtId="0" fontId="33" fillId="0" borderId="1" xfId="6" applyFont="1" applyBorder="1" applyAlignment="1">
      <alignment vertical="center" wrapText="1"/>
    </xf>
    <xf numFmtId="0" fontId="5" fillId="0" borderId="1" xfId="6" applyBorder="1" applyAlignment="1">
      <alignment vertical="center" wrapText="1"/>
    </xf>
    <xf numFmtId="0" fontId="5" fillId="0" borderId="1" xfId="6" applyBorder="1" applyAlignment="1">
      <alignment horizontal="left" vertical="center" wrapText="1"/>
    </xf>
    <xf numFmtId="0" fontId="32" fillId="0" borderId="1" xfId="6" applyFont="1" applyBorder="1" applyAlignment="1">
      <alignment horizontal="left" vertical="center" wrapText="1"/>
    </xf>
    <xf numFmtId="0" fontId="32" fillId="0" borderId="1" xfId="6" applyFont="1" applyBorder="1" applyAlignment="1">
      <alignment vertical="center" wrapText="1"/>
    </xf>
    <xf numFmtId="0" fontId="35" fillId="0" borderId="1" xfId="6" applyFont="1" applyBorder="1" applyAlignment="1">
      <alignment vertical="center" wrapText="1"/>
    </xf>
    <xf numFmtId="41" fontId="0" fillId="0" borderId="0" xfId="4" applyFont="1">
      <alignment vertical="center"/>
    </xf>
    <xf numFmtId="0" fontId="33" fillId="13" borderId="1" xfId="6" applyFont="1" applyFill="1" applyBorder="1" applyAlignment="1">
      <alignment vertical="center" wrapText="1"/>
    </xf>
    <xf numFmtId="0" fontId="5" fillId="13" borderId="1" xfId="6" applyFill="1" applyBorder="1" applyAlignment="1">
      <alignment vertical="center" wrapText="1"/>
    </xf>
    <xf numFmtId="0" fontId="5" fillId="13" borderId="1" xfId="6" applyFill="1" applyBorder="1" applyAlignment="1">
      <alignment horizontal="left" vertical="center" wrapText="1"/>
    </xf>
    <xf numFmtId="0" fontId="32" fillId="13" borderId="1" xfId="6" applyFont="1" applyFill="1" applyBorder="1" applyAlignment="1">
      <alignment horizontal="left" vertical="center" wrapText="1"/>
    </xf>
    <xf numFmtId="0" fontId="32" fillId="13" borderId="1" xfId="6" applyFont="1" applyFill="1" applyBorder="1" applyAlignment="1">
      <alignment vertical="center" wrapText="1"/>
    </xf>
    <xf numFmtId="0" fontId="35" fillId="13" borderId="1" xfId="6" applyFont="1" applyFill="1" applyBorder="1" applyAlignment="1">
      <alignment vertical="center" wrapText="1"/>
    </xf>
    <xf numFmtId="0" fontId="5" fillId="13" borderId="1" xfId="6" applyFill="1" applyBorder="1">
      <alignment vertical="center"/>
    </xf>
    <xf numFmtId="41" fontId="32" fillId="0" borderId="0" xfId="4" applyFont="1" applyAlignment="1">
      <alignment horizontal="center" vertical="center" wrapText="1"/>
    </xf>
    <xf numFmtId="0" fontId="5" fillId="0" borderId="0" xfId="6" applyAlignment="1">
      <alignment vertical="center" wrapText="1"/>
    </xf>
    <xf numFmtId="0" fontId="32" fillId="0" borderId="0" xfId="6" applyFont="1" applyAlignment="1">
      <alignment vertical="center" wrapText="1"/>
    </xf>
    <xf numFmtId="41" fontId="32" fillId="0" borderId="0" xfId="4" applyFont="1" applyAlignment="1">
      <alignment vertical="center" wrapText="1"/>
    </xf>
    <xf numFmtId="0" fontId="5" fillId="0" borderId="0" xfId="6" applyAlignment="1">
      <alignment horizontal="left" vertical="center" wrapText="1"/>
    </xf>
    <xf numFmtId="0" fontId="32" fillId="0" borderId="0" xfId="6" applyFont="1" applyAlignment="1">
      <alignment horizontal="left" vertical="center" wrapText="1"/>
    </xf>
    <xf numFmtId="9" fontId="0" fillId="0" borderId="0" xfId="5" applyFont="1">
      <alignment vertical="center"/>
    </xf>
    <xf numFmtId="41" fontId="0" fillId="0" borderId="3" xfId="4" applyFont="1" applyBorder="1">
      <alignment vertical="center"/>
    </xf>
    <xf numFmtId="179" fontId="0" fillId="0" borderId="0" xfId="5" applyNumberFormat="1" applyFont="1">
      <alignment vertical="center"/>
    </xf>
    <xf numFmtId="0" fontId="6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10" fillId="7" borderId="8" xfId="0" applyFont="1" applyFill="1" applyBorder="1" applyAlignment="1">
      <alignment horizontal="center" vertical="center" wrapText="1"/>
    </xf>
    <xf numFmtId="3" fontId="0" fillId="7" borderId="9" xfId="0" applyNumberForma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3" fontId="0" fillId="7" borderId="11" xfId="0" applyNumberFormat="1" applyFill="1" applyBorder="1" applyAlignment="1">
      <alignment horizontal="center" vertical="center" wrapText="1"/>
    </xf>
    <xf numFmtId="3" fontId="0" fillId="7" borderId="12" xfId="0" applyNumberForma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3" fontId="10" fillId="7" borderId="11" xfId="0" applyNumberFormat="1" applyFont="1" applyFill="1" applyBorder="1" applyAlignment="1">
      <alignment horizontal="center" vertical="center" wrapText="1"/>
    </xf>
    <xf numFmtId="176" fontId="10" fillId="7" borderId="11" xfId="0" applyNumberFormat="1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0" fillId="12" borderId="0" xfId="0" applyFill="1"/>
    <xf numFmtId="0" fontId="0" fillId="14" borderId="8" xfId="0" applyFill="1" applyBorder="1" applyAlignment="1">
      <alignment horizontal="center" vertical="center" wrapText="1"/>
    </xf>
    <xf numFmtId="0" fontId="39" fillId="15" borderId="0" xfId="9" applyFont="1" applyFill="1">
      <alignment vertical="center"/>
    </xf>
    <xf numFmtId="0" fontId="31" fillId="15" borderId="0" xfId="9" applyFont="1" applyFill="1">
      <alignment vertical="center"/>
    </xf>
    <xf numFmtId="0" fontId="31" fillId="15" borderId="0" xfId="9" applyFont="1" applyFill="1" applyAlignment="1">
      <alignment horizontal="left" vertical="center"/>
    </xf>
    <xf numFmtId="41" fontId="31" fillId="15" borderId="0" xfId="10" applyFont="1" applyFill="1">
      <alignment vertical="center"/>
    </xf>
    <xf numFmtId="41" fontId="31" fillId="0" borderId="0" xfId="10" applyFont="1">
      <alignment vertical="center"/>
    </xf>
    <xf numFmtId="41" fontId="26" fillId="15" borderId="0" xfId="10" applyFont="1" applyFill="1" applyAlignment="1">
      <alignment horizontal="center" vertical="center"/>
    </xf>
    <xf numFmtId="0" fontId="26" fillId="15" borderId="0" xfId="11" applyFont="1" applyFill="1">
      <alignment vertical="center"/>
    </xf>
    <xf numFmtId="41" fontId="26" fillId="15" borderId="0" xfId="10" applyFont="1" applyFill="1">
      <alignment vertical="center"/>
    </xf>
    <xf numFmtId="0" fontId="40" fillId="16" borderId="1" xfId="2" applyFont="1" applyFill="1" applyBorder="1" applyAlignment="1">
      <alignment horizontal="center" vertical="center"/>
    </xf>
    <xf numFmtId="0" fontId="41" fillId="16" borderId="1" xfId="2" applyFont="1" applyFill="1" applyBorder="1" applyAlignment="1">
      <alignment horizontal="center" vertical="center"/>
    </xf>
    <xf numFmtId="0" fontId="42" fillId="16" borderId="1" xfId="11" applyFont="1" applyFill="1" applyBorder="1" applyAlignment="1">
      <alignment horizontal="left" vertical="center"/>
    </xf>
    <xf numFmtId="0" fontId="42" fillId="17" borderId="1" xfId="11" applyFont="1" applyFill="1" applyBorder="1" applyAlignment="1">
      <alignment horizontal="center" vertical="center"/>
    </xf>
    <xf numFmtId="41" fontId="42" fillId="17" borderId="1" xfId="10" applyFont="1" applyFill="1" applyBorder="1" applyAlignment="1">
      <alignment horizontal="center" vertical="center"/>
    </xf>
    <xf numFmtId="0" fontId="42" fillId="17" borderId="1" xfId="2" applyFont="1" applyFill="1" applyBorder="1" applyAlignment="1">
      <alignment horizontal="center" vertical="center"/>
    </xf>
    <xf numFmtId="0" fontId="29" fillId="15" borderId="0" xfId="9" applyFont="1" applyFill="1">
      <alignment vertical="center"/>
    </xf>
    <xf numFmtId="41" fontId="29" fillId="15" borderId="0" xfId="10" applyFont="1" applyFill="1">
      <alignment vertical="center"/>
    </xf>
    <xf numFmtId="0" fontId="29" fillId="15" borderId="0" xfId="11" applyFont="1" applyFill="1">
      <alignment vertical="center"/>
    </xf>
    <xf numFmtId="0" fontId="29" fillId="15" borderId="0" xfId="11" applyFont="1" applyFill="1" applyAlignment="1">
      <alignment horizontal="center" vertical="center"/>
    </xf>
    <xf numFmtId="0" fontId="18" fillId="0" borderId="0" xfId="9" applyFont="1">
      <alignment vertical="center"/>
    </xf>
    <xf numFmtId="41" fontId="18" fillId="0" borderId="0" xfId="10" applyFont="1">
      <alignment vertical="center"/>
    </xf>
    <xf numFmtId="0" fontId="18" fillId="0" borderId="0" xfId="9" applyFont="1" applyAlignment="1">
      <alignment horizontal="center" vertical="center"/>
    </xf>
    <xf numFmtId="41" fontId="18" fillId="0" borderId="0" xfId="10" applyFont="1" applyAlignment="1">
      <alignment vertical="center" wrapText="1"/>
    </xf>
    <xf numFmtId="0" fontId="18" fillId="0" borderId="0" xfId="9" applyFont="1" applyAlignment="1">
      <alignment vertical="center" wrapText="1"/>
    </xf>
    <xf numFmtId="0" fontId="19" fillId="0" borderId="1" xfId="9" applyFont="1" applyBorder="1" applyAlignment="1">
      <alignment horizontal="center" vertical="center"/>
    </xf>
    <xf numFmtId="0" fontId="19" fillId="0" borderId="20" xfId="9" applyFont="1" applyBorder="1" applyAlignment="1">
      <alignment horizontal="center" vertical="center"/>
    </xf>
    <xf numFmtId="177" fontId="18" fillId="0" borderId="1" xfId="9" applyNumberFormat="1" applyFont="1" applyBorder="1" applyAlignment="1">
      <alignment horizontal="center" vertical="center"/>
    </xf>
    <xf numFmtId="0" fontId="19" fillId="0" borderId="22" xfId="9" applyFont="1" applyBorder="1" applyAlignment="1">
      <alignment horizontal="center" vertical="center"/>
    </xf>
    <xf numFmtId="0" fontId="19" fillId="0" borderId="20" xfId="13" applyFont="1" applyBorder="1" applyAlignment="1">
      <alignment horizontal="center" vertical="center"/>
    </xf>
    <xf numFmtId="0" fontId="19" fillId="0" borderId="1" xfId="13" applyFont="1" applyBorder="1" applyAlignment="1">
      <alignment horizontal="center" vertical="center"/>
    </xf>
    <xf numFmtId="0" fontId="50" fillId="0" borderId="1" xfId="9" applyFont="1" applyBorder="1" applyAlignment="1">
      <alignment horizontal="center" vertical="center"/>
    </xf>
    <xf numFmtId="41" fontId="16" fillId="0" borderId="0" xfId="1">
      <alignment vertical="center"/>
    </xf>
    <xf numFmtId="41" fontId="16" fillId="0" borderId="29" xfId="1" applyBorder="1">
      <alignment vertical="center"/>
    </xf>
    <xf numFmtId="41" fontId="16" fillId="0" borderId="26" xfId="1" applyBorder="1">
      <alignment vertical="center"/>
    </xf>
    <xf numFmtId="41" fontId="0" fillId="0" borderId="29" xfId="4" applyFont="1" applyBorder="1">
      <alignment vertical="center"/>
    </xf>
    <xf numFmtId="0" fontId="14" fillId="0" borderId="0" xfId="0" applyFont="1"/>
    <xf numFmtId="0" fontId="0" fillId="11" borderId="0" xfId="0" applyFill="1"/>
    <xf numFmtId="0" fontId="54" fillId="0" borderId="0" xfId="0" applyFont="1" applyAlignment="1">
      <alignment vertical="center"/>
    </xf>
    <xf numFmtId="0" fontId="54" fillId="0" borderId="34" xfId="0" applyFont="1" applyBorder="1" applyAlignment="1">
      <alignment horizontal="center" vertical="center"/>
    </xf>
    <xf numFmtId="0" fontId="53" fillId="0" borderId="0" xfId="0" applyFont="1"/>
    <xf numFmtId="0" fontId="53" fillId="0" borderId="34" xfId="0" applyFont="1" applyBorder="1" applyAlignment="1">
      <alignment vertical="center"/>
    </xf>
    <xf numFmtId="0" fontId="5" fillId="11" borderId="0" xfId="6" applyFill="1" applyAlignment="1">
      <alignment horizontal="center" vertical="center"/>
    </xf>
    <xf numFmtId="0" fontId="55" fillId="11" borderId="0" xfId="6" applyFont="1" applyFill="1" applyAlignment="1">
      <alignment horizontal="left" vertical="center"/>
    </xf>
    <xf numFmtId="0" fontId="56" fillId="0" borderId="0" xfId="0" applyFont="1" applyAlignment="1">
      <alignment vertical="center"/>
    </xf>
    <xf numFmtId="0" fontId="19" fillId="0" borderId="0" xfId="0" applyFont="1"/>
    <xf numFmtId="43" fontId="0" fillId="0" borderId="0" xfId="0" applyNumberFormat="1"/>
    <xf numFmtId="41" fontId="5" fillId="0" borderId="0" xfId="6" applyNumberFormat="1" applyAlignment="1">
      <alignment horizontal="center" vertical="center"/>
    </xf>
    <xf numFmtId="9" fontId="0" fillId="0" borderId="0" xfId="5" applyFont="1" applyAlignment="1">
      <alignment horizontal="center" vertical="center"/>
    </xf>
    <xf numFmtId="0" fontId="5" fillId="0" borderId="21" xfId="6" applyBorder="1">
      <alignment vertical="center"/>
    </xf>
    <xf numFmtId="0" fontId="37" fillId="0" borderId="21" xfId="6" applyFont="1" applyBorder="1" applyAlignment="1">
      <alignment vertical="center" wrapText="1"/>
    </xf>
    <xf numFmtId="9" fontId="16" fillId="0" borderId="21" xfId="14" applyBorder="1" applyAlignment="1">
      <alignment horizontal="center" vertical="center"/>
    </xf>
    <xf numFmtId="0" fontId="32" fillId="0" borderId="21" xfId="0" applyFont="1" applyBorder="1" applyAlignment="1">
      <alignment horizontal="center"/>
    </xf>
    <xf numFmtId="0" fontId="0" fillId="0" borderId="21" xfId="0" applyBorder="1"/>
    <xf numFmtId="0" fontId="6" fillId="10" borderId="35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3" fontId="0" fillId="0" borderId="21" xfId="0" applyNumberForma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4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8" fillId="0" borderId="8" xfId="0" applyFont="1" applyBorder="1" applyAlignment="1">
      <alignment horizontal="center"/>
    </xf>
    <xf numFmtId="0" fontId="18" fillId="0" borderId="21" xfId="0" applyFont="1" applyBorder="1"/>
    <xf numFmtId="0" fontId="18" fillId="0" borderId="6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/>
    <xf numFmtId="0" fontId="18" fillId="20" borderId="13" xfId="0" applyFont="1" applyFill="1" applyBorder="1" applyAlignment="1">
      <alignment horizontal="center"/>
    </xf>
    <xf numFmtId="0" fontId="10" fillId="21" borderId="14" xfId="0" applyFont="1" applyFill="1" applyBorder="1" applyAlignment="1">
      <alignment horizontal="center" vertical="center" wrapText="1"/>
    </xf>
    <xf numFmtId="0" fontId="10" fillId="21" borderId="15" xfId="0" applyFont="1" applyFill="1" applyBorder="1" applyAlignment="1">
      <alignment horizontal="center" vertical="center" wrapText="1"/>
    </xf>
    <xf numFmtId="0" fontId="59" fillId="0" borderId="0" xfId="0" applyFont="1"/>
    <xf numFmtId="0" fontId="58" fillId="0" borderId="0" xfId="0" applyFont="1"/>
    <xf numFmtId="41" fontId="18" fillId="0" borderId="0" xfId="1" applyFont="1">
      <alignment vertical="center"/>
    </xf>
    <xf numFmtId="41" fontId="18" fillId="0" borderId="21" xfId="0" applyNumberFormat="1" applyFont="1" applyBorder="1"/>
    <xf numFmtId="41" fontId="18" fillId="0" borderId="11" xfId="0" applyNumberFormat="1" applyFont="1" applyBorder="1"/>
    <xf numFmtId="0" fontId="32" fillId="20" borderId="1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32" fillId="0" borderId="0" xfId="6" applyNumberFormat="1" applyFont="1" applyAlignment="1">
      <alignment horizontal="left" vertical="center"/>
    </xf>
    <xf numFmtId="181" fontId="0" fillId="0" borderId="0" xfId="0" applyNumberFormat="1"/>
    <xf numFmtId="0" fontId="60" fillId="0" borderId="21" xfId="0" applyFont="1" applyBorder="1"/>
    <xf numFmtId="49" fontId="32" fillId="0" borderId="21" xfId="6" applyNumberFormat="1" applyFont="1" applyBorder="1" applyAlignment="1">
      <alignment horizontal="center" vertical="center"/>
    </xf>
    <xf numFmtId="0" fontId="5" fillId="0" borderId="21" xfId="6" applyBorder="1" applyAlignment="1">
      <alignment horizontal="center" vertical="center"/>
    </xf>
    <xf numFmtId="0" fontId="5" fillId="0" borderId="0" xfId="6" applyAlignment="1">
      <alignment horizontal="left" vertical="center"/>
    </xf>
    <xf numFmtId="0" fontId="4" fillId="0" borderId="0" xfId="6" applyFont="1">
      <alignment vertical="center"/>
    </xf>
    <xf numFmtId="0" fontId="36" fillId="0" borderId="21" xfId="6" applyFont="1" applyBorder="1" applyAlignment="1">
      <alignment vertical="center" wrapText="1"/>
    </xf>
    <xf numFmtId="0" fontId="33" fillId="0" borderId="21" xfId="6" applyFont="1" applyBorder="1" applyAlignment="1">
      <alignment vertical="center" wrapText="1"/>
    </xf>
    <xf numFmtId="0" fontId="33" fillId="0" borderId="21" xfId="6" applyFont="1" applyBorder="1" applyAlignment="1">
      <alignment horizontal="center" vertical="center" wrapText="1"/>
    </xf>
    <xf numFmtId="9" fontId="33" fillId="0" borderId="21" xfId="5" applyFont="1" applyBorder="1" applyAlignment="1">
      <alignment vertical="center" wrapText="1"/>
    </xf>
    <xf numFmtId="41" fontId="33" fillId="0" borderId="21" xfId="4" applyFont="1" applyBorder="1" applyAlignment="1">
      <alignment vertical="center" wrapText="1"/>
    </xf>
    <xf numFmtId="0" fontId="5" fillId="0" borderId="1" xfId="6" applyBorder="1" applyAlignment="1">
      <alignment horizontal="right" vertical="center"/>
    </xf>
    <xf numFmtId="9" fontId="0" fillId="0" borderId="1" xfId="5" applyFont="1" applyBorder="1" applyAlignment="1">
      <alignment horizontal="right" vertical="center"/>
    </xf>
    <xf numFmtId="41" fontId="33" fillId="0" borderId="1" xfId="4" applyFont="1" applyBorder="1" applyAlignment="1">
      <alignment horizontal="right" vertical="center" wrapText="1"/>
    </xf>
    <xf numFmtId="9" fontId="33" fillId="0" borderId="1" xfId="5" applyFont="1" applyBorder="1" applyAlignment="1">
      <alignment horizontal="right" vertical="center" wrapText="1"/>
    </xf>
    <xf numFmtId="179" fontId="33" fillId="0" borderId="1" xfId="5" applyNumberFormat="1" applyFont="1" applyBorder="1" applyAlignment="1">
      <alignment horizontal="right" vertical="center" wrapText="1"/>
    </xf>
    <xf numFmtId="0" fontId="33" fillId="0" borderId="1" xfId="6" applyFont="1" applyBorder="1" applyAlignment="1">
      <alignment horizontal="right" vertical="center" wrapText="1"/>
    </xf>
    <xf numFmtId="0" fontId="33" fillId="13" borderId="1" xfId="6" applyFont="1" applyFill="1" applyBorder="1" applyAlignment="1">
      <alignment horizontal="right" vertical="center" wrapText="1"/>
    </xf>
    <xf numFmtId="9" fontId="33" fillId="13" borderId="1" xfId="5" applyFont="1" applyFill="1" applyBorder="1" applyAlignment="1">
      <alignment horizontal="right" vertical="center" wrapText="1"/>
    </xf>
    <xf numFmtId="41" fontId="33" fillId="13" borderId="1" xfId="4" applyFont="1" applyFill="1" applyBorder="1" applyAlignment="1">
      <alignment horizontal="right" vertical="center" wrapText="1"/>
    </xf>
    <xf numFmtId="179" fontId="33" fillId="13" borderId="1" xfId="5" applyNumberFormat="1" applyFont="1" applyFill="1" applyBorder="1" applyAlignment="1">
      <alignment horizontal="right" vertical="center" wrapText="1"/>
    </xf>
    <xf numFmtId="0" fontId="36" fillId="0" borderId="21" xfId="6" applyFont="1" applyBorder="1" applyAlignment="1">
      <alignment horizontal="center" vertical="center" wrapText="1"/>
    </xf>
    <xf numFmtId="0" fontId="4" fillId="0" borderId="21" xfId="6" applyFont="1" applyBorder="1">
      <alignment vertical="center"/>
    </xf>
    <xf numFmtId="0" fontId="36" fillId="11" borderId="21" xfId="6" applyFont="1" applyFill="1" applyBorder="1" applyAlignment="1">
      <alignment vertical="center" wrapText="1"/>
    </xf>
    <xf numFmtId="0" fontId="37" fillId="11" borderId="21" xfId="6" applyFont="1" applyFill="1" applyBorder="1" applyAlignment="1">
      <alignment vertical="center" wrapText="1"/>
    </xf>
    <xf numFmtId="0" fontId="52" fillId="0" borderId="0" xfId="0" applyFont="1" applyAlignment="1">
      <alignment vertical="center"/>
    </xf>
    <xf numFmtId="0" fontId="5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41" fontId="18" fillId="0" borderId="9" xfId="1" applyFont="1" applyBorder="1">
      <alignment vertical="center"/>
    </xf>
    <xf numFmtId="41" fontId="18" fillId="0" borderId="9" xfId="0" applyNumberFormat="1" applyFont="1" applyBorder="1"/>
    <xf numFmtId="41" fontId="18" fillId="0" borderId="7" xfId="0" applyNumberFormat="1" applyFont="1" applyBorder="1"/>
    <xf numFmtId="41" fontId="18" fillId="0" borderId="12" xfId="0" applyNumberFormat="1" applyFont="1" applyBorder="1"/>
    <xf numFmtId="0" fontId="32" fillId="0" borderId="0" xfId="0" applyFont="1"/>
    <xf numFmtId="176" fontId="18" fillId="0" borderId="9" xfId="0" applyNumberFormat="1" applyFont="1" applyBorder="1"/>
    <xf numFmtId="176" fontId="18" fillId="0" borderId="12" xfId="0" applyNumberFormat="1" applyFont="1" applyBorder="1"/>
    <xf numFmtId="0" fontId="0" fillId="0" borderId="29" xfId="0" applyBorder="1"/>
    <xf numFmtId="0" fontId="24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center" vertical="center" wrapText="1"/>
    </xf>
    <xf numFmtId="178" fontId="0" fillId="0" borderId="0" xfId="0" applyNumberFormat="1"/>
    <xf numFmtId="0" fontId="51" fillId="0" borderId="0" xfId="0" applyFont="1" applyAlignment="1">
      <alignment horizontal="center" vertical="center" wrapText="1"/>
    </xf>
    <xf numFmtId="0" fontId="32" fillId="0" borderId="29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18" borderId="0" xfId="0" applyFont="1" applyFill="1"/>
    <xf numFmtId="0" fontId="18" fillId="0" borderId="0" xfId="0" applyFont="1"/>
    <xf numFmtId="0" fontId="32" fillId="11" borderId="0" xfId="0" applyFont="1" applyFill="1"/>
    <xf numFmtId="0" fontId="0" fillId="0" borderId="29" xfId="0" applyBorder="1" applyAlignment="1">
      <alignment horizontal="center"/>
    </xf>
    <xf numFmtId="0" fontId="24" fillId="0" borderId="29" xfId="2" applyFont="1" applyBorder="1" applyAlignment="1">
      <alignment horizontal="center" vertical="center"/>
    </xf>
    <xf numFmtId="9" fontId="16" fillId="0" borderId="29" xfId="14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4" fontId="19" fillId="0" borderId="29" xfId="0" applyNumberFormat="1" applyFont="1" applyBorder="1" applyAlignment="1">
      <alignment horizontal="center" vertical="center"/>
    </xf>
    <xf numFmtId="9" fontId="19" fillId="0" borderId="29" xfId="14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41" fontId="19" fillId="0" borderId="29" xfId="0" applyNumberFormat="1" applyFont="1" applyBorder="1" applyAlignment="1">
      <alignment horizontal="center" vertical="center"/>
    </xf>
    <xf numFmtId="0" fontId="19" fillId="0" borderId="3" xfId="2" applyFont="1" applyBorder="1" applyAlignment="1">
      <alignment horizontal="left" vertical="center"/>
    </xf>
    <xf numFmtId="0" fontId="67" fillId="22" borderId="29" xfId="0" applyFont="1" applyFill="1" applyBorder="1" applyAlignment="1">
      <alignment horizontal="center" vertical="center" shrinkToFit="1"/>
    </xf>
    <xf numFmtId="14" fontId="67" fillId="22" borderId="29" xfId="0" applyNumberFormat="1" applyFont="1" applyFill="1" applyBorder="1" applyAlignment="1">
      <alignment horizontal="center" vertical="center" wrapText="1"/>
    </xf>
    <xf numFmtId="0" fontId="67" fillId="22" borderId="29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14" fontId="19" fillId="0" borderId="29" xfId="0" applyNumberFormat="1" applyFont="1" applyBorder="1" applyAlignment="1">
      <alignment horizontal="center" vertical="center" wrapText="1"/>
    </xf>
    <xf numFmtId="41" fontId="19" fillId="0" borderId="29" xfId="1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66" fillId="0" borderId="0" xfId="15"/>
    <xf numFmtId="9" fontId="16" fillId="0" borderId="0" xfId="14" applyAlignment="1">
      <alignment horizontal="center" vertical="center"/>
    </xf>
    <xf numFmtId="9" fontId="0" fillId="0" borderId="29" xfId="0" applyNumberFormat="1" applyBorder="1" applyAlignment="1">
      <alignment horizontal="center"/>
    </xf>
    <xf numFmtId="0" fontId="68" fillId="11" borderId="0" xfId="0" applyFont="1" applyFill="1"/>
    <xf numFmtId="0" fontId="57" fillId="11" borderId="0" xfId="0" applyFont="1" applyFill="1"/>
    <xf numFmtId="2" fontId="0" fillId="0" borderId="29" xfId="0" applyNumberFormat="1" applyBorder="1"/>
    <xf numFmtId="0" fontId="24" fillId="0" borderId="29" xfId="2" applyFont="1" applyBorder="1">
      <alignment vertical="center"/>
    </xf>
    <xf numFmtId="2" fontId="0" fillId="0" borderId="29" xfId="0" applyNumberFormat="1" applyBorder="1" applyAlignment="1">
      <alignment horizontal="center"/>
    </xf>
    <xf numFmtId="2" fontId="32" fillId="0" borderId="29" xfId="0" applyNumberFormat="1" applyFont="1" applyBorder="1" applyAlignment="1">
      <alignment horizontal="center"/>
    </xf>
    <xf numFmtId="0" fontId="32" fillId="0" borderId="29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11" borderId="29" xfId="0" applyFill="1" applyBorder="1" applyAlignment="1">
      <alignment horizontal="center"/>
    </xf>
    <xf numFmtId="0" fontId="56" fillId="0" borderId="0" xfId="0" applyFont="1" applyAlignment="1">
      <alignment horizontal="center"/>
    </xf>
    <xf numFmtId="9" fontId="16" fillId="0" borderId="0" xfId="14" quotePrefix="1">
      <alignment vertical="center"/>
    </xf>
    <xf numFmtId="14" fontId="0" fillId="0" borderId="0" xfId="0" applyNumberFormat="1"/>
    <xf numFmtId="14" fontId="56" fillId="0" borderId="0" xfId="0" applyNumberFormat="1" applyFont="1" applyAlignment="1">
      <alignment horizontal="center"/>
    </xf>
    <xf numFmtId="14" fontId="57" fillId="11" borderId="0" xfId="0" applyNumberFormat="1" applyFont="1" applyFill="1"/>
    <xf numFmtId="14" fontId="68" fillId="0" borderId="0" xfId="0" applyNumberFormat="1" applyFont="1"/>
    <xf numFmtId="41" fontId="0" fillId="0" borderId="29" xfId="0" applyNumberFormat="1" applyBorder="1"/>
    <xf numFmtId="41" fontId="16" fillId="0" borderId="27" xfId="1" applyBorder="1">
      <alignment vertical="center"/>
    </xf>
    <xf numFmtId="9" fontId="32" fillId="0" borderId="29" xfId="0" applyNumberFormat="1" applyFon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9" fontId="32" fillId="0" borderId="29" xfId="14" applyFont="1" applyBorder="1" applyAlignment="1">
      <alignment horizontal="center" vertical="center"/>
    </xf>
    <xf numFmtId="1" fontId="18" fillId="0" borderId="21" xfId="0" applyNumberFormat="1" applyFont="1" applyBorder="1"/>
    <xf numFmtId="1" fontId="18" fillId="0" borderId="11" xfId="0" applyNumberFormat="1" applyFont="1" applyBorder="1"/>
    <xf numFmtId="0" fontId="68" fillId="0" borderId="0" xfId="0" applyFont="1"/>
    <xf numFmtId="0" fontId="3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6" borderId="33" xfId="0" applyNumberFormat="1" applyFill="1" applyBorder="1" applyAlignment="1">
      <alignment horizontal="center" vertical="center" wrapText="1"/>
    </xf>
    <xf numFmtId="3" fontId="0" fillId="4" borderId="36" xfId="0" applyNumberFormat="1" applyFill="1" applyBorder="1" applyAlignment="1">
      <alignment horizontal="center" vertical="center" wrapText="1"/>
    </xf>
    <xf numFmtId="3" fontId="0" fillId="4" borderId="32" xfId="0" applyNumberFormat="1" applyFill="1" applyBorder="1" applyAlignment="1">
      <alignment horizontal="center" vertical="center" wrapText="1"/>
    </xf>
    <xf numFmtId="3" fontId="0" fillId="5" borderId="32" xfId="0" applyNumberFormat="1" applyFill="1" applyBorder="1" applyAlignment="1">
      <alignment horizontal="center" vertical="center" wrapText="1"/>
    </xf>
    <xf numFmtId="3" fontId="0" fillId="6" borderId="32" xfId="0" applyNumberFormat="1" applyFill="1" applyBorder="1" applyAlignment="1">
      <alignment horizontal="center" vertical="center" wrapText="1"/>
    </xf>
    <xf numFmtId="3" fontId="0" fillId="0" borderId="32" xfId="0" applyNumberFormat="1" applyBorder="1" applyAlignment="1">
      <alignment horizontal="center" vertical="center" wrapText="1"/>
    </xf>
    <xf numFmtId="3" fontId="0" fillId="6" borderId="37" xfId="0" applyNumberFormat="1" applyFill="1" applyBorder="1" applyAlignment="1">
      <alignment horizontal="center" vertical="center" wrapText="1"/>
    </xf>
    <xf numFmtId="3" fontId="0" fillId="6" borderId="29" xfId="0" applyNumberFormat="1" applyFill="1" applyBorder="1" applyAlignment="1">
      <alignment horizontal="center" vertical="center" wrapText="1"/>
    </xf>
    <xf numFmtId="3" fontId="0" fillId="4" borderId="29" xfId="0" applyNumberFormat="1" applyFill="1" applyBorder="1" applyAlignment="1">
      <alignment horizontal="center" vertical="center" wrapText="1"/>
    </xf>
    <xf numFmtId="3" fontId="0" fillId="5" borderId="29" xfId="0" applyNumberFormat="1" applyFill="1" applyBorder="1" applyAlignment="1">
      <alignment horizontal="center" vertical="center" wrapText="1"/>
    </xf>
    <xf numFmtId="3" fontId="0" fillId="0" borderId="29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38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 wrapText="1"/>
    </xf>
    <xf numFmtId="0" fontId="5" fillId="0" borderId="31" xfId="6" applyBorder="1">
      <alignment vertical="center"/>
    </xf>
    <xf numFmtId="9" fontId="0" fillId="0" borderId="40" xfId="5" applyFont="1" applyBorder="1" applyAlignment="1">
      <alignment horizontal="center" vertical="center"/>
    </xf>
    <xf numFmtId="9" fontId="0" fillId="0" borderId="30" xfId="5" applyFont="1" applyBorder="1" applyAlignment="1">
      <alignment horizontal="center" vertical="center"/>
    </xf>
    <xf numFmtId="0" fontId="32" fillId="0" borderId="16" xfId="6" applyFont="1" applyBorder="1" applyAlignment="1">
      <alignment horizontal="center" vertical="center" wrapText="1"/>
    </xf>
    <xf numFmtId="0" fontId="32" fillId="0" borderId="28" xfId="6" applyFont="1" applyBorder="1" applyAlignment="1">
      <alignment horizontal="center" vertical="center" wrapText="1"/>
    </xf>
    <xf numFmtId="41" fontId="32" fillId="0" borderId="28" xfId="4" applyFont="1" applyBorder="1" applyAlignment="1">
      <alignment horizontal="center" vertical="center" wrapText="1"/>
    </xf>
    <xf numFmtId="179" fontId="32" fillId="0" borderId="28" xfId="5" applyNumberFormat="1" applyFont="1" applyBorder="1" applyAlignment="1">
      <alignment horizontal="center" vertical="center" wrapText="1"/>
    </xf>
    <xf numFmtId="9" fontId="32" fillId="0" borderId="28" xfId="5" applyFont="1" applyBorder="1" applyAlignment="1">
      <alignment horizontal="center" vertical="center" wrapText="1"/>
    </xf>
    <xf numFmtId="41" fontId="32" fillId="0" borderId="40" xfId="4" applyFont="1" applyBorder="1" applyAlignment="1">
      <alignment horizontal="center" vertical="center" wrapText="1"/>
    </xf>
    <xf numFmtId="0" fontId="19" fillId="0" borderId="28" xfId="9" applyFont="1" applyBorder="1" applyAlignment="1">
      <alignment horizontal="center" vertical="center"/>
    </xf>
    <xf numFmtId="0" fontId="19" fillId="0" borderId="27" xfId="9" applyFont="1" applyBorder="1" applyAlignment="1">
      <alignment horizontal="center" vertical="center"/>
    </xf>
    <xf numFmtId="177" fontId="18" fillId="0" borderId="1" xfId="6" applyNumberFormat="1" applyFont="1" applyBorder="1" applyAlignment="1">
      <alignment horizontal="center" vertical="center"/>
    </xf>
    <xf numFmtId="41" fontId="27" fillId="0" borderId="17" xfId="4" applyFont="1" applyBorder="1" applyAlignment="1">
      <alignment horizontal="center" vertical="center"/>
    </xf>
    <xf numFmtId="41" fontId="27" fillId="0" borderId="19" xfId="4" applyFont="1" applyBorder="1" applyAlignment="1">
      <alignment horizontal="center" vertical="center"/>
    </xf>
    <xf numFmtId="41" fontId="28" fillId="0" borderId="1" xfId="4" applyFont="1" applyBorder="1">
      <alignment vertical="center"/>
    </xf>
    <xf numFmtId="41" fontId="28" fillId="0" borderId="1" xfId="4" applyFont="1" applyBorder="1" applyAlignment="1">
      <alignment horizontal="right" vertical="center"/>
    </xf>
    <xf numFmtId="0" fontId="32" fillId="0" borderId="30" xfId="6" applyFont="1" applyBorder="1" applyAlignment="1">
      <alignment horizontal="center" vertical="center"/>
    </xf>
    <xf numFmtId="41" fontId="5" fillId="0" borderId="30" xfId="6" applyNumberFormat="1" applyBorder="1" applyAlignment="1">
      <alignment horizontal="center" vertical="center"/>
    </xf>
    <xf numFmtId="0" fontId="5" fillId="0" borderId="30" xfId="6" applyBorder="1">
      <alignment vertical="center"/>
    </xf>
    <xf numFmtId="0" fontId="5" fillId="0" borderId="31" xfId="6" applyBorder="1" applyAlignment="1">
      <alignment horizontal="center" vertical="center"/>
    </xf>
    <xf numFmtId="0" fontId="5" fillId="0" borderId="41" xfId="6" applyBorder="1">
      <alignment vertical="center"/>
    </xf>
    <xf numFmtId="0" fontId="3" fillId="0" borderId="0" xfId="6" applyFont="1">
      <alignment vertical="center"/>
    </xf>
    <xf numFmtId="41" fontId="16" fillId="0" borderId="21" xfId="1" applyBorder="1" applyAlignment="1">
      <alignment horizontal="center" vertical="center"/>
    </xf>
    <xf numFmtId="14" fontId="32" fillId="0" borderId="0" xfId="0" applyNumberFormat="1" applyFont="1"/>
    <xf numFmtId="182" fontId="16" fillId="0" borderId="41" xfId="1" applyNumberFormat="1" applyBorder="1">
      <alignment vertical="center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1" xfId="0" applyBorder="1"/>
    <xf numFmtId="0" fontId="6" fillId="2" borderId="0" xfId="0" applyFont="1" applyFill="1" applyAlignment="1">
      <alignment horizontal="center" vertical="center" wrapText="1"/>
    </xf>
    <xf numFmtId="10" fontId="56" fillId="0" borderId="41" xfId="0" applyNumberFormat="1" applyFont="1" applyBorder="1"/>
    <xf numFmtId="43" fontId="32" fillId="0" borderId="0" xfId="0" applyNumberFormat="1" applyFont="1" applyAlignment="1">
      <alignment horizontal="center"/>
    </xf>
    <xf numFmtId="183" fontId="16" fillId="0" borderId="26" xfId="1" applyNumberFormat="1" applyBorder="1">
      <alignment vertical="center"/>
    </xf>
    <xf numFmtId="0" fontId="56" fillId="0" borderId="0" xfId="0" applyFont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41" fontId="18" fillId="0" borderId="0" xfId="0" applyNumberFormat="1" applyFont="1"/>
    <xf numFmtId="0" fontId="0" fillId="0" borderId="36" xfId="0" applyBorder="1" applyAlignment="1">
      <alignment horizontal="center" vertical="center" wrapText="1"/>
    </xf>
    <xf numFmtId="0" fontId="20" fillId="2" borderId="27" xfId="0" applyFont="1" applyFill="1" applyBorder="1" applyAlignment="1">
      <alignment horizontal="center" vertical="center" wrapText="1"/>
    </xf>
    <xf numFmtId="180" fontId="16" fillId="0" borderId="0" xfId="1" applyNumberFormat="1">
      <alignment vertical="center"/>
    </xf>
    <xf numFmtId="0" fontId="20" fillId="2" borderId="32" xfId="0" applyFont="1" applyFill="1" applyBorder="1" applyAlignment="1">
      <alignment horizontal="center" vertical="center" wrapText="1"/>
    </xf>
    <xf numFmtId="0" fontId="0" fillId="0" borderId="41" xfId="0" applyBorder="1" applyAlignment="1">
      <alignment vertical="center"/>
    </xf>
    <xf numFmtId="0" fontId="0" fillId="0" borderId="41" xfId="0" applyBorder="1" applyAlignment="1">
      <alignment horizontal="center" vertical="center"/>
    </xf>
    <xf numFmtId="180" fontId="0" fillId="0" borderId="41" xfId="0" applyNumberFormat="1" applyBorder="1"/>
    <xf numFmtId="0" fontId="71" fillId="0" borderId="0" xfId="15" applyFont="1" applyFill="1"/>
    <xf numFmtId="0" fontId="56" fillId="18" borderId="0" xfId="15" applyFont="1" applyFill="1"/>
    <xf numFmtId="0" fontId="72" fillId="0" borderId="0" xfId="15" applyFont="1" applyFill="1"/>
    <xf numFmtId="0" fontId="72" fillId="0" borderId="29" xfId="15" applyFont="1" applyBorder="1"/>
    <xf numFmtId="0" fontId="19" fillId="11" borderId="0" xfId="0" applyFont="1" applyFill="1"/>
    <xf numFmtId="0" fontId="56" fillId="11" borderId="0" xfId="0" applyFont="1" applyFill="1"/>
    <xf numFmtId="0" fontId="72" fillId="0" borderId="0" xfId="15" applyFont="1"/>
    <xf numFmtId="0" fontId="18" fillId="0" borderId="29" xfId="0" applyFont="1" applyBorder="1"/>
    <xf numFmtId="0" fontId="18" fillId="0" borderId="29" xfId="0" applyFont="1" applyBorder="1" applyAlignment="1">
      <alignment wrapText="1"/>
    </xf>
    <xf numFmtId="0" fontId="18" fillId="11" borderId="0" xfId="0" applyFont="1" applyFill="1"/>
    <xf numFmtId="0" fontId="18" fillId="18" borderId="0" xfId="0" applyFont="1" applyFill="1"/>
    <xf numFmtId="0" fontId="56" fillId="0" borderId="29" xfId="0" applyFont="1" applyBorder="1" applyAlignment="1">
      <alignment horizontal="center"/>
    </xf>
    <xf numFmtId="0" fontId="72" fillId="0" borderId="29" xfId="15" applyFont="1" applyBorder="1" applyAlignment="1">
      <alignment horizontal="left"/>
    </xf>
    <xf numFmtId="0" fontId="19" fillId="0" borderId="29" xfId="0" applyFont="1" applyBorder="1"/>
    <xf numFmtId="2" fontId="0" fillId="0" borderId="41" xfId="0" applyNumberFormat="1" applyBorder="1"/>
    <xf numFmtId="0" fontId="0" fillId="0" borderId="41" xfId="0" applyBorder="1" applyAlignment="1">
      <alignment horizontal="center"/>
    </xf>
    <xf numFmtId="0" fontId="56" fillId="0" borderId="41" xfId="0" applyFont="1" applyBorder="1" applyAlignment="1">
      <alignment horizontal="center" vertical="center" wrapText="1"/>
    </xf>
    <xf numFmtId="10" fontId="56" fillId="0" borderId="41" xfId="0" applyNumberFormat="1" applyFont="1" applyBorder="1" applyAlignment="1">
      <alignment vertical="center" wrapText="1"/>
    </xf>
    <xf numFmtId="0" fontId="19" fillId="0" borderId="41" xfId="0" applyFont="1" applyBorder="1" applyAlignment="1">
      <alignment vertical="center" wrapText="1"/>
    </xf>
    <xf numFmtId="10" fontId="56" fillId="11" borderId="41" xfId="0" applyNumberFormat="1" applyFont="1" applyFill="1" applyBorder="1" applyAlignment="1">
      <alignment vertical="center" wrapText="1"/>
    </xf>
    <xf numFmtId="0" fontId="56" fillId="11" borderId="41" xfId="0" applyFont="1" applyFill="1" applyBorder="1" applyAlignment="1">
      <alignment vertical="center" wrapText="1"/>
    </xf>
    <xf numFmtId="0" fontId="19" fillId="11" borderId="41" xfId="0" applyFont="1" applyFill="1" applyBorder="1" applyAlignment="1">
      <alignment vertical="center" wrapText="1"/>
    </xf>
    <xf numFmtId="41" fontId="0" fillId="0" borderId="41" xfId="0" applyNumberFormat="1" applyBorder="1"/>
    <xf numFmtId="0" fontId="51" fillId="24" borderId="27" xfId="0" applyFont="1" applyFill="1" applyBorder="1" applyAlignment="1">
      <alignment horizontal="center" vertical="center" wrapText="1"/>
    </xf>
    <xf numFmtId="0" fontId="18" fillId="0" borderId="41" xfId="0" applyFont="1" applyBorder="1"/>
    <xf numFmtId="0" fontId="73" fillId="0" borderId="41" xfId="15" applyFont="1" applyBorder="1"/>
    <xf numFmtId="0" fontId="57" fillId="0" borderId="0" xfId="0" applyFont="1"/>
    <xf numFmtId="0" fontId="72" fillId="0" borderId="0" xfId="15" applyFont="1" applyFill="1" applyBorder="1"/>
    <xf numFmtId="0" fontId="73" fillId="0" borderId="0" xfId="15" applyFont="1" applyAlignment="1">
      <alignment horizontal="left" vertical="center"/>
    </xf>
    <xf numFmtId="0" fontId="73" fillId="0" borderId="0" xfId="15" quotePrefix="1" applyFont="1" applyAlignment="1">
      <alignment vertical="center"/>
    </xf>
    <xf numFmtId="0" fontId="73" fillId="0" borderId="0" xfId="15" applyFont="1" applyFill="1" applyBorder="1"/>
    <xf numFmtId="0" fontId="73" fillId="0" borderId="0" xfId="15" applyFont="1"/>
    <xf numFmtId="0" fontId="0" fillId="0" borderId="0" xfId="0" applyAlignment="1">
      <alignment horizontal="right"/>
    </xf>
    <xf numFmtId="41" fontId="16" fillId="0" borderId="0" xfId="1" applyAlignment="1">
      <alignment horizontal="left" vertical="center"/>
    </xf>
    <xf numFmtId="0" fontId="0" fillId="0" borderId="0" xfId="0" applyAlignment="1">
      <alignment vertical="center"/>
    </xf>
    <xf numFmtId="2" fontId="0" fillId="0" borderId="41" xfId="0" applyNumberFormat="1" applyBorder="1" applyAlignment="1">
      <alignment horizontal="center"/>
    </xf>
    <xf numFmtId="183" fontId="0" fillId="0" borderId="0" xfId="1" applyNumberFormat="1" applyFont="1" applyAlignment="1"/>
    <xf numFmtId="182" fontId="0" fillId="0" borderId="0" xfId="1" applyNumberFormat="1" applyFont="1" applyAlignment="1"/>
    <xf numFmtId="0" fontId="32" fillId="0" borderId="21" xfId="0" applyFont="1" applyBorder="1" applyAlignment="1">
      <alignment horizontal="left"/>
    </xf>
    <xf numFmtId="0" fontId="6" fillId="10" borderId="43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1" xfId="0" applyBorder="1" applyAlignment="1">
      <alignment horizontal="left" vertical="center" wrapText="1"/>
    </xf>
    <xf numFmtId="0" fontId="0" fillId="0" borderId="45" xfId="0" applyBorder="1"/>
    <xf numFmtId="0" fontId="0" fillId="0" borderId="41" xfId="0" applyBorder="1" applyAlignment="1">
      <alignment horizontal="left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/>
    <xf numFmtId="0" fontId="68" fillId="0" borderId="9" xfId="0" applyFont="1" applyBorder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4" fontId="38" fillId="0" borderId="0" xfId="9" applyNumberFormat="1" applyFont="1">
      <alignment vertical="center"/>
    </xf>
    <xf numFmtId="0" fontId="24" fillId="0" borderId="31" xfId="2" applyFont="1" applyBorder="1" applyAlignment="1">
      <alignment horizontal="left" vertical="center"/>
    </xf>
    <xf numFmtId="0" fontId="0" fillId="25" borderId="33" xfId="0" applyFill="1" applyBorder="1" applyAlignment="1">
      <alignment vertical="center"/>
    </xf>
    <xf numFmtId="0" fontId="0" fillId="25" borderId="33" xfId="0" applyFill="1" applyBorder="1" applyAlignment="1">
      <alignment horizontal="center" vertical="center"/>
    </xf>
    <xf numFmtId="0" fontId="0" fillId="25" borderId="33" xfId="0" applyFill="1" applyBorder="1" applyAlignment="1">
      <alignment horizontal="center" vertical="center" wrapText="1"/>
    </xf>
    <xf numFmtId="3" fontId="0" fillId="25" borderId="33" xfId="0" applyNumberFormat="1" applyFill="1" applyBorder="1" applyAlignment="1">
      <alignment horizontal="center" vertical="center" wrapText="1"/>
    </xf>
    <xf numFmtId="183" fontId="0" fillId="25" borderId="33" xfId="1" applyNumberFormat="1" applyFont="1" applyFill="1" applyBorder="1">
      <alignment vertical="center"/>
    </xf>
    <xf numFmtId="41" fontId="0" fillId="25" borderId="33" xfId="1" applyFont="1" applyFill="1" applyBorder="1">
      <alignment vertical="center"/>
    </xf>
    <xf numFmtId="0" fontId="0" fillId="25" borderId="32" xfId="0" applyFill="1" applyBorder="1" applyAlignment="1">
      <alignment horizontal="center" vertical="center" wrapText="1"/>
    </xf>
    <xf numFmtId="0" fontId="0" fillId="26" borderId="33" xfId="0" applyFill="1" applyBorder="1" applyAlignment="1">
      <alignment vertical="center"/>
    </xf>
    <xf numFmtId="0" fontId="0" fillId="26" borderId="33" xfId="0" applyFill="1" applyBorder="1" applyAlignment="1">
      <alignment horizontal="center" vertical="center" wrapText="1"/>
    </xf>
    <xf numFmtId="3" fontId="0" fillId="26" borderId="33" xfId="0" applyNumberFormat="1" applyFill="1" applyBorder="1" applyAlignment="1">
      <alignment horizontal="center" vertical="center" wrapText="1"/>
    </xf>
    <xf numFmtId="183" fontId="0" fillId="26" borderId="33" xfId="1" applyNumberFormat="1" applyFont="1" applyFill="1" applyBorder="1">
      <alignment vertical="center"/>
    </xf>
    <xf numFmtId="41" fontId="0" fillId="26" borderId="33" xfId="1" applyFont="1" applyFill="1" applyBorder="1">
      <alignment vertical="center"/>
    </xf>
    <xf numFmtId="0" fontId="0" fillId="26" borderId="32" xfId="0" applyFill="1" applyBorder="1" applyAlignment="1">
      <alignment horizontal="center" vertical="center" wrapText="1"/>
    </xf>
    <xf numFmtId="41" fontId="0" fillId="25" borderId="32" xfId="1" applyFont="1" applyFill="1" applyBorder="1">
      <alignment vertical="center"/>
    </xf>
    <xf numFmtId="41" fontId="0" fillId="26" borderId="32" xfId="1" applyFont="1" applyFill="1" applyBorder="1">
      <alignment vertical="center"/>
    </xf>
    <xf numFmtId="41" fontId="0" fillId="25" borderId="30" xfId="1" applyFont="1" applyFill="1" applyBorder="1">
      <alignment vertical="center"/>
    </xf>
    <xf numFmtId="41" fontId="0" fillId="25" borderId="50" xfId="1" applyFont="1" applyFill="1" applyBorder="1">
      <alignment vertical="center"/>
    </xf>
    <xf numFmtId="0" fontId="0" fillId="25" borderId="49" xfId="0" applyFill="1" applyBorder="1"/>
    <xf numFmtId="0" fontId="0" fillId="26" borderId="49" xfId="0" applyFill="1" applyBorder="1"/>
    <xf numFmtId="41" fontId="16" fillId="0" borderId="49" xfId="1" applyBorder="1">
      <alignment vertical="center"/>
    </xf>
    <xf numFmtId="0" fontId="32" fillId="0" borderId="1" xfId="9" applyFont="1" applyBorder="1">
      <alignment vertical="center"/>
    </xf>
    <xf numFmtId="0" fontId="32" fillId="0" borderId="20" xfId="9" applyFont="1" applyBorder="1">
      <alignment vertical="center"/>
    </xf>
    <xf numFmtId="0" fontId="32" fillId="0" borderId="27" xfId="9" applyFont="1" applyBorder="1">
      <alignment vertical="center"/>
    </xf>
    <xf numFmtId="0" fontId="32" fillId="0" borderId="18" xfId="9" applyFont="1" applyBorder="1">
      <alignment vertical="center"/>
    </xf>
    <xf numFmtId="0" fontId="30" fillId="0" borderId="1" xfId="2" quotePrefix="1" applyFont="1" applyBorder="1" applyAlignment="1">
      <alignment horizontal="center" vertical="center"/>
    </xf>
    <xf numFmtId="0" fontId="29" fillId="0" borderId="50" xfId="11" applyFont="1" applyBorder="1">
      <alignment vertical="center"/>
    </xf>
    <xf numFmtId="0" fontId="46" fillId="0" borderId="1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0" fontId="30" fillId="0" borderId="1" xfId="9" applyFont="1" applyBorder="1" applyAlignment="1">
      <alignment horizontal="center" vertical="center"/>
    </xf>
    <xf numFmtId="0" fontId="30" fillId="0" borderId="50" xfId="9" applyFont="1" applyBorder="1" applyAlignment="1">
      <alignment horizontal="center" vertical="center"/>
    </xf>
    <xf numFmtId="0" fontId="43" fillId="0" borderId="1" xfId="2" applyFont="1" applyBorder="1" applyAlignment="1">
      <alignment horizontal="center" vertical="center"/>
    </xf>
    <xf numFmtId="0" fontId="44" fillId="0" borderId="1" xfId="9" applyFont="1" applyBorder="1" applyAlignment="1">
      <alignment horizontal="left" vertical="center"/>
    </xf>
    <xf numFmtId="0" fontId="39" fillId="0" borderId="1" xfId="11" applyFont="1" applyBorder="1" applyAlignment="1">
      <alignment horizontal="left" vertical="center"/>
    </xf>
    <xf numFmtId="0" fontId="31" fillId="0" borderId="1" xfId="11" applyFont="1" applyBorder="1">
      <alignment vertical="center"/>
    </xf>
    <xf numFmtId="41" fontId="31" fillId="0" borderId="1" xfId="10" applyFont="1" applyBorder="1">
      <alignment vertical="center"/>
    </xf>
    <xf numFmtId="0" fontId="45" fillId="0" borderId="1" xfId="2" applyFont="1" applyBorder="1" applyAlignment="1">
      <alignment horizontal="right" vertical="center"/>
    </xf>
    <xf numFmtId="0" fontId="47" fillId="0" borderId="1" xfId="9" applyFont="1" applyBorder="1" applyAlignment="1">
      <alignment horizontal="left" vertical="center"/>
    </xf>
    <xf numFmtId="0" fontId="39" fillId="0" borderId="1" xfId="9" applyFont="1" applyBorder="1" applyAlignment="1">
      <alignment horizontal="left" vertical="center"/>
    </xf>
    <xf numFmtId="0" fontId="31" fillId="0" borderId="1" xfId="9" applyFont="1" applyBorder="1">
      <alignment vertical="center"/>
    </xf>
    <xf numFmtId="0" fontId="29" fillId="0" borderId="19" xfId="9" applyFont="1" applyBorder="1" applyAlignment="1">
      <alignment horizontal="center" vertical="center"/>
    </xf>
    <xf numFmtId="49" fontId="44" fillId="0" borderId="1" xfId="9" applyNumberFormat="1" applyFont="1" applyBorder="1" applyAlignment="1">
      <alignment horizontal="left" vertical="center"/>
    </xf>
    <xf numFmtId="49" fontId="39" fillId="0" borderId="19" xfId="9" applyNumberFormat="1" applyFont="1" applyBorder="1" applyAlignment="1">
      <alignment horizontal="left" vertical="center"/>
    </xf>
    <xf numFmtId="0" fontId="31" fillId="0" borderId="1" xfId="9" applyFont="1" applyBorder="1" applyAlignment="1">
      <alignment horizontal="left" vertical="center"/>
    </xf>
    <xf numFmtId="49" fontId="44" fillId="0" borderId="50" xfId="9" applyNumberFormat="1" applyFont="1" applyBorder="1" applyAlignment="1">
      <alignment horizontal="left" vertical="center"/>
    </xf>
    <xf numFmtId="0" fontId="31" fillId="0" borderId="50" xfId="9" applyFont="1" applyBorder="1" applyAlignment="1">
      <alignment horizontal="left" vertical="center"/>
    </xf>
    <xf numFmtId="41" fontId="31" fillId="0" borderId="50" xfId="10" applyFont="1" applyBorder="1">
      <alignment vertical="center"/>
    </xf>
    <xf numFmtId="0" fontId="45" fillId="0" borderId="50" xfId="2" applyFont="1" applyBorder="1" applyAlignment="1">
      <alignment horizontal="right" vertical="center"/>
    </xf>
    <xf numFmtId="182" fontId="6" fillId="2" borderId="50" xfId="1" applyNumberFormat="1" applyFont="1" applyFill="1" applyBorder="1" applyAlignment="1">
      <alignment horizontal="center" vertical="center" wrapText="1"/>
    </xf>
    <xf numFmtId="183" fontId="6" fillId="23" borderId="50" xfId="1" applyNumberFormat="1" applyFont="1" applyFill="1" applyBorder="1" applyAlignment="1">
      <alignment horizontal="center" vertical="center" wrapText="1"/>
    </xf>
    <xf numFmtId="41" fontId="16" fillId="0" borderId="50" xfId="1" applyBorder="1">
      <alignment vertical="center"/>
    </xf>
    <xf numFmtId="0" fontId="0" fillId="0" borderId="50" xfId="0" applyBorder="1" applyAlignment="1">
      <alignment vertical="center"/>
    </xf>
    <xf numFmtId="0" fontId="0" fillId="0" borderId="50" xfId="0" applyBorder="1"/>
    <xf numFmtId="0" fontId="5" fillId="0" borderId="50" xfId="6" applyBorder="1" applyAlignment="1">
      <alignment horizontal="center" vertical="center"/>
    </xf>
    <xf numFmtId="9" fontId="0" fillId="0" borderId="21" xfId="14" applyFont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5" fillId="0" borderId="20" xfId="6" applyBorder="1" applyAlignment="1">
      <alignment horizontal="center" vertical="center"/>
    </xf>
    <xf numFmtId="0" fontId="5" fillId="0" borderId="18" xfId="6" applyBorder="1" applyAlignment="1">
      <alignment horizontal="center" vertical="center"/>
    </xf>
    <xf numFmtId="0" fontId="32" fillId="0" borderId="28" xfId="9" applyFont="1" applyBorder="1">
      <alignment vertical="center"/>
    </xf>
    <xf numFmtId="0" fontId="56" fillId="19" borderId="0" xfId="13" applyFont="1" applyFill="1" applyAlignment="1">
      <alignment horizontal="center" vertical="center" wrapText="1"/>
    </xf>
    <xf numFmtId="0" fontId="56" fillId="19" borderId="51" xfId="13" applyFont="1" applyFill="1" applyBorder="1" applyAlignment="1">
      <alignment horizontal="center" vertical="center" wrapText="1"/>
    </xf>
    <xf numFmtId="177" fontId="56" fillId="19" borderId="51" xfId="13" applyNumberFormat="1" applyFont="1" applyFill="1" applyBorder="1" applyAlignment="1">
      <alignment horizontal="center" vertical="center" wrapText="1"/>
    </xf>
    <xf numFmtId="0" fontId="19" fillId="25" borderId="33" xfId="9" applyFont="1" applyFill="1" applyBorder="1" applyAlignment="1">
      <alignment horizontal="center" vertical="center"/>
    </xf>
    <xf numFmtId="0" fontId="32" fillId="25" borderId="33" xfId="9" applyFont="1" applyFill="1" applyBorder="1">
      <alignment vertical="center"/>
    </xf>
    <xf numFmtId="0" fontId="18" fillId="25" borderId="33" xfId="9" applyFont="1" applyFill="1" applyBorder="1" applyAlignment="1">
      <alignment horizontal="center" vertical="center"/>
    </xf>
    <xf numFmtId="0" fontId="19" fillId="26" borderId="33" xfId="9" applyFont="1" applyFill="1" applyBorder="1" applyAlignment="1">
      <alignment horizontal="center" vertical="center"/>
    </xf>
    <xf numFmtId="0" fontId="32" fillId="26" borderId="33" xfId="9" applyFont="1" applyFill="1" applyBorder="1">
      <alignment vertical="center"/>
    </xf>
    <xf numFmtId="0" fontId="18" fillId="26" borderId="33" xfId="9" applyFont="1" applyFill="1" applyBorder="1" applyAlignment="1">
      <alignment horizontal="center" vertical="center"/>
    </xf>
    <xf numFmtId="0" fontId="19" fillId="25" borderId="52" xfId="9" applyFont="1" applyFill="1" applyBorder="1" applyAlignment="1">
      <alignment horizontal="center" vertical="center"/>
    </xf>
    <xf numFmtId="0" fontId="19" fillId="26" borderId="52" xfId="9" applyFont="1" applyFill="1" applyBorder="1" applyAlignment="1">
      <alignment horizontal="center" vertical="center"/>
    </xf>
    <xf numFmtId="0" fontId="19" fillId="25" borderId="30" xfId="9" applyFont="1" applyFill="1" applyBorder="1" applyAlignment="1">
      <alignment horizontal="center" vertical="center"/>
    </xf>
    <xf numFmtId="0" fontId="32" fillId="25" borderId="30" xfId="9" applyFont="1" applyFill="1" applyBorder="1">
      <alignment vertical="center"/>
    </xf>
    <xf numFmtId="0" fontId="18" fillId="25" borderId="30" xfId="9" applyFont="1" applyFill="1" applyBorder="1" applyAlignment="1">
      <alignment horizontal="center" vertical="center"/>
    </xf>
    <xf numFmtId="0" fontId="19" fillId="25" borderId="53" xfId="9" applyFont="1" applyFill="1" applyBorder="1" applyAlignment="1">
      <alignment horizontal="center" vertical="center"/>
    </xf>
    <xf numFmtId="0" fontId="32" fillId="0" borderId="50" xfId="9" applyFont="1" applyBorder="1">
      <alignment vertical="center"/>
    </xf>
    <xf numFmtId="14" fontId="18" fillId="0" borderId="50" xfId="9" applyNumberFormat="1" applyFont="1" applyBorder="1">
      <alignment vertical="center"/>
    </xf>
    <xf numFmtId="14" fontId="18" fillId="0" borderId="50" xfId="9" applyNumberFormat="1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41" fontId="57" fillId="13" borderId="28" xfId="4" applyFont="1" applyFill="1" applyBorder="1" applyAlignment="1">
      <alignment horizontal="center" vertical="center" wrapText="1"/>
    </xf>
    <xf numFmtId="0" fontId="18" fillId="19" borderId="54" xfId="13" applyFont="1" applyFill="1" applyBorder="1" applyAlignment="1">
      <alignment horizontal="center" vertical="center" wrapText="1"/>
    </xf>
    <xf numFmtId="177" fontId="18" fillId="0" borderId="50" xfId="9" applyNumberFormat="1" applyFont="1" applyBorder="1" applyAlignment="1">
      <alignment horizontal="center" vertical="center"/>
    </xf>
    <xf numFmtId="14" fontId="18" fillId="0" borderId="33" xfId="9" applyNumberFormat="1" applyFont="1" applyBorder="1" applyAlignment="1">
      <alignment horizontal="center" vertical="center"/>
    </xf>
    <xf numFmtId="0" fontId="18" fillId="0" borderId="33" xfId="9" applyFont="1" applyBorder="1">
      <alignment vertical="center"/>
    </xf>
    <xf numFmtId="14" fontId="18" fillId="0" borderId="33" xfId="9" applyNumberFormat="1" applyFont="1" applyBorder="1">
      <alignment vertical="center"/>
    </xf>
    <xf numFmtId="177" fontId="18" fillId="0" borderId="32" xfId="9" applyNumberFormat="1" applyFont="1" applyBorder="1" applyAlignment="1">
      <alignment horizontal="center" vertical="center"/>
    </xf>
    <xf numFmtId="0" fontId="18" fillId="0" borderId="30" xfId="9" applyFont="1" applyBorder="1">
      <alignment vertical="center"/>
    </xf>
    <xf numFmtId="0" fontId="18" fillId="0" borderId="28" xfId="9" applyFont="1" applyBorder="1">
      <alignment vertical="center"/>
    </xf>
    <xf numFmtId="14" fontId="18" fillId="0" borderId="40" xfId="9" applyNumberFormat="1" applyFont="1" applyBorder="1" applyAlignment="1">
      <alignment horizontal="center" vertical="center"/>
    </xf>
    <xf numFmtId="0" fontId="18" fillId="0" borderId="1" xfId="9" applyFont="1" applyBorder="1">
      <alignment vertical="center"/>
    </xf>
    <xf numFmtId="14" fontId="18" fillId="0" borderId="2" xfId="9" applyNumberFormat="1" applyFont="1" applyBorder="1" applyAlignment="1">
      <alignment horizontal="center" vertical="center"/>
    </xf>
    <xf numFmtId="14" fontId="18" fillId="0" borderId="1" xfId="9" applyNumberFormat="1" applyFont="1" applyBorder="1">
      <alignment vertical="center"/>
    </xf>
    <xf numFmtId="14" fontId="18" fillId="0" borderId="1" xfId="9" applyNumberFormat="1" applyFont="1" applyBorder="1" applyAlignment="1">
      <alignment horizontal="center" vertical="center"/>
    </xf>
    <xf numFmtId="0" fontId="18" fillId="0" borderId="1" xfId="9" applyFont="1" applyBorder="1" applyAlignment="1">
      <alignment horizontal="center" vertical="center"/>
    </xf>
    <xf numFmtId="0" fontId="2" fillId="0" borderId="1" xfId="6" applyFont="1" applyBorder="1">
      <alignment vertical="center"/>
    </xf>
    <xf numFmtId="183" fontId="6" fillId="2" borderId="38" xfId="1" applyNumberFormat="1" applyFont="1" applyFill="1" applyBorder="1" applyAlignment="1">
      <alignment horizontal="center" vertical="center" wrapText="1"/>
    </xf>
    <xf numFmtId="0" fontId="74" fillId="25" borderId="0" xfId="0" applyFont="1" applyFill="1"/>
    <xf numFmtId="0" fontId="19" fillId="25" borderId="51" xfId="0" applyFont="1" applyFill="1" applyBorder="1"/>
    <xf numFmtId="0" fontId="6" fillId="3" borderId="29" xfId="0" applyFont="1" applyFill="1" applyBorder="1" applyAlignment="1">
      <alignment horizontal="center" vertical="center" wrapText="1"/>
    </xf>
    <xf numFmtId="0" fontId="0" fillId="0" borderId="31" xfId="0" applyBorder="1"/>
    <xf numFmtId="0" fontId="6" fillId="3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6" fillId="3" borderId="0" xfId="0" applyFont="1" applyFill="1" applyAlignment="1">
      <alignment horizontal="center" vertical="center" wrapText="1"/>
    </xf>
    <xf numFmtId="0" fontId="0" fillId="0" borderId="0" xfId="0"/>
    <xf numFmtId="0" fontId="6" fillId="3" borderId="6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0" fillId="0" borderId="13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6" fillId="3" borderId="8" xfId="0" applyFont="1" applyFill="1" applyBorder="1" applyAlignment="1">
      <alignment horizontal="center" vertical="center" wrapText="1"/>
    </xf>
    <xf numFmtId="0" fontId="0" fillId="0" borderId="26" xfId="0" applyBorder="1"/>
    <xf numFmtId="14" fontId="6" fillId="2" borderId="0" xfId="0" applyNumberFormat="1" applyFont="1" applyFill="1" applyAlignment="1">
      <alignment horizontal="center" vertical="center" wrapText="1"/>
    </xf>
  </cellXfs>
  <cellStyles count="16">
    <cellStyle name="백분율" xfId="14" builtinId="5"/>
    <cellStyle name="백분율 2" xfId="5" xr:uid="{00000000-0005-0000-0000-000005000000}"/>
    <cellStyle name="백분율 3" xfId="12" xr:uid="{00000000-0005-0000-0000-00000C000000}"/>
    <cellStyle name="常规 19" xfId="13" xr:uid="{00000000-0005-0000-0000-00000D000000}"/>
    <cellStyle name="쉼표 [0]" xfId="1" builtinId="6"/>
    <cellStyle name="쉼표 [0] 2" xfId="4" xr:uid="{00000000-0005-0000-0000-000004000000}"/>
    <cellStyle name="쉼표 [0] 2 2" xfId="8" xr:uid="{00000000-0005-0000-0000-000008000000}"/>
    <cellStyle name="쉼표 [0] 3" xfId="10" xr:uid="{00000000-0005-0000-0000-00000A000000}"/>
    <cellStyle name="표준" xfId="0" builtinId="0"/>
    <cellStyle name="표준 2" xfId="6" xr:uid="{00000000-0005-0000-0000-000006000000}"/>
    <cellStyle name="표준 2 2" xfId="11" xr:uid="{00000000-0005-0000-0000-00000B000000}"/>
    <cellStyle name="표준 3" xfId="9" xr:uid="{00000000-0005-0000-0000-000009000000}"/>
    <cellStyle name="표준 6" xfId="2" xr:uid="{00000000-0005-0000-0000-000002000000}"/>
    <cellStyle name="표준 7" xfId="7" xr:uid="{00000000-0005-0000-0000-000007000000}"/>
    <cellStyle name="표준 8" xfId="3" xr:uid="{00000000-0005-0000-0000-000003000000}"/>
    <cellStyle name="하이퍼링크" xfId="15" builtinId="8"/>
  </cellStyles>
  <dxfs count="159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FF6B6B"/>
          <bgColor rgb="FFFF6B6B"/>
        </patternFill>
      </fill>
    </dxf>
    <dxf>
      <fill>
        <patternFill patternType="solid">
          <fgColor rgb="FFFFC7CE"/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7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7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맑은 고딕"/>
        <family val="3"/>
        <charset val="129"/>
        <scheme val="minor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 (본문)"/>
        <family val="3"/>
        <charset val="129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2"/>
        <charset val="129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border outline="0">
        <top style="thick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_-* #,##0.0_-;\-* #,##0.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-* #,##0_-;\-* #,##0_-;_-* &quot;-&quot;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2" formatCode="_-* #,##0.000_-;\-* #,##0.000_-;_-* &quot;-&quot;_-;_-@_-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83" formatCode="_-* #,##0.00_-;\-* #,##0.00_-;_-* &quot;-&quot;_-;_-@_-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1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6" formatCode="0.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numFmt numFmtId="179" formatCode="0.0%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algun Gothic"/>
        <family val="3"/>
        <charset val="129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7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numFmt numFmtId="177" formatCode="0_);[Red]\(0\)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fill>
        <patternFill patternType="solid">
          <fgColor rgb="FFFFFF00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numFmt numFmtId="33" formatCode="_-* #,##0_-;\-* #,##0_-;_-* &quot;-&quot;_-;_-@_-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3" formatCode="_-* #,##0.00_-;\-* #,##0.00_-;_-* &quot;-&quot;_-;_-@_-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numFmt numFmtId="33" formatCode="_-* #,##0_-;\-* #,##0_-;_-* &quot;-&quot;_-;_-@_-"/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통합지표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통합지표!$F$2</c:f>
              <c:strCache>
                <c:ptCount val="1"/>
                <c:pt idx="0">
                  <c:v>회전율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통합지표!$F$3:$F$5</c:f>
              <c:numCache>
                <c:formatCode>0.00</c:formatCode>
                <c:ptCount val="3"/>
                <c:pt idx="0">
                  <c:v>0.17775412609355087</c:v>
                </c:pt>
                <c:pt idx="1">
                  <c:v>0.36501736111111116</c:v>
                </c:pt>
                <c:pt idx="2">
                  <c:v>0.52333333333333332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FF-40DD-A043-29B44C466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4726431"/>
        <c:axId val="826797935"/>
      </c:barChart>
      <c:lineChart>
        <c:grouping val="stacked"/>
        <c:varyColors val="0"/>
        <c:ser>
          <c:idx val="0"/>
          <c:order val="0"/>
          <c:tx>
            <c:strRef>
              <c:f>통합지표!$C$2</c:f>
              <c:strCache>
                <c:ptCount val="1"/>
                <c:pt idx="0">
                  <c:v>실출고율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4.764485010506405E-2"/>
                  <c:y val="-1.860133566739681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8FF-40DD-A043-29B44C46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통합지표!$C$3:$C$5</c:f>
              <c:numCache>
                <c:formatCode>0%</c:formatCode>
                <c:ptCount val="3"/>
                <c:pt idx="0">
                  <c:v>0.75</c:v>
                </c:pt>
                <c:pt idx="1">
                  <c:v>0.38461538461538464</c:v>
                </c:pt>
                <c:pt idx="2">
                  <c:v>1.3111111111111111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FF-40DD-A043-29B44C466891}"/>
            </c:ext>
          </c:extLst>
        </c:ser>
        <c:ser>
          <c:idx val="1"/>
          <c:order val="1"/>
          <c:tx>
            <c:strRef>
              <c:f>통합지표!$D$2</c:f>
              <c:strCache>
                <c:ptCount val="1"/>
                <c:pt idx="0">
                  <c:v>결품률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1.0935202638776332E-2"/>
                  <c:y val="-7.2213605467143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8FF-40DD-A043-29B44C46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통합지표!$D$3:$D$5</c:f>
              <c:numCache>
                <c:formatCode>0%</c:formatCode>
                <c:ptCount val="3"/>
                <c:pt idx="0">
                  <c:v>0.33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FF-40DD-A043-29B44C466891}"/>
            </c:ext>
          </c:extLst>
        </c:ser>
        <c:ser>
          <c:idx val="3"/>
          <c:order val="3"/>
          <c:tx>
            <c:strRef>
              <c:f>통합지표!$E$2</c:f>
              <c:strCache>
                <c:ptCount val="1"/>
                <c:pt idx="0">
                  <c:v>납기준수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3.2805607916328995E-3"/>
                  <c:y val="-7.5496042079286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8FF-40DD-A043-29B44C4668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통합지표!$B$3:$B$5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통합지표!$E$3:$E$5</c:f>
              <c:numCache>
                <c:formatCode>0%</c:formatCode>
                <c:ptCount val="3"/>
                <c:pt idx="0">
                  <c:v>0.58064516129032262</c:v>
                </c:pt>
                <c:pt idx="1">
                  <c:v>0.87804878048780488</c:v>
                </c:pt>
                <c:pt idx="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FF-40DD-A043-29B44C466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761599"/>
        <c:axId val="552760639"/>
      </c:lineChart>
      <c:catAx>
        <c:axId val="55276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760639"/>
        <c:crosses val="autoZero"/>
        <c:auto val="1"/>
        <c:lblAlgn val="ctr"/>
        <c:lblOffset val="100"/>
        <c:noMultiLvlLbl val="0"/>
      </c:catAx>
      <c:valAx>
        <c:axId val="5527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52761599"/>
        <c:crosses val="autoZero"/>
        <c:crossBetween val="between"/>
      </c:valAx>
      <c:valAx>
        <c:axId val="82679793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4726431"/>
        <c:crosses val="max"/>
        <c:crossBetween val="between"/>
      </c:valAx>
      <c:catAx>
        <c:axId val="814726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67979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포캐스트 </a:t>
            </a:r>
            <a:r>
              <a:rPr lang="en-US" altLang="ko-KR"/>
              <a:t>VS </a:t>
            </a:r>
            <a:r>
              <a:rPr lang="ko-KR" altLang="en-US"/>
              <a:t>실출고율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실출고율!$B$12</c:f>
              <c:strCache>
                <c:ptCount val="1"/>
                <c:pt idx="0">
                  <c:v>포캐스트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실출고율!$C$12:$E$12</c:f>
              <c:numCache>
                <c:formatCode>General</c:formatCode>
                <c:ptCount val="3"/>
                <c:pt idx="0">
                  <c:v>360</c:v>
                </c:pt>
                <c:pt idx="1">
                  <c:v>520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48-4B97-A2DF-C540D66D2524}"/>
            </c:ext>
          </c:extLst>
        </c:ser>
        <c:ser>
          <c:idx val="1"/>
          <c:order val="1"/>
          <c:tx>
            <c:strRef>
              <c:f>실출고율!$B$13</c:f>
              <c:strCache>
                <c:ptCount val="1"/>
                <c:pt idx="0">
                  <c:v>출고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실출고율!$C$13:$E$13</c:f>
              <c:numCache>
                <c:formatCode>General</c:formatCode>
                <c:ptCount val="3"/>
                <c:pt idx="0">
                  <c:v>270</c:v>
                </c:pt>
                <c:pt idx="1">
                  <c:v>200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48-4B97-A2DF-C540D66D252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4575903"/>
        <c:axId val="944575423"/>
      </c:barChart>
      <c:lineChart>
        <c:grouping val="standard"/>
        <c:varyColors val="0"/>
        <c:ser>
          <c:idx val="2"/>
          <c:order val="2"/>
          <c:tx>
            <c:strRef>
              <c:f>실출고율!$B$14</c:f>
              <c:strCache>
                <c:ptCount val="1"/>
                <c:pt idx="0">
                  <c:v>실출고율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6.9138334920249506E-3"/>
                  <c:y val="-0.111069812187069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48-4B97-A2DF-C540D66D25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실출고율!$C$14:$E$14</c:f>
              <c:numCache>
                <c:formatCode>0%</c:formatCode>
                <c:ptCount val="3"/>
                <c:pt idx="0">
                  <c:v>0.75</c:v>
                </c:pt>
                <c:pt idx="1">
                  <c:v>0.38461538461538464</c:v>
                </c:pt>
                <c:pt idx="2">
                  <c:v>1.3111111111111111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48-4B97-A2DF-C540D66D25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2396991"/>
        <c:axId val="772397471"/>
      </c:lineChart>
      <c:catAx>
        <c:axId val="9445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423"/>
        <c:crosses val="autoZero"/>
        <c:auto val="1"/>
        <c:lblAlgn val="ctr"/>
        <c:lblOffset val="100"/>
        <c:noMultiLvlLbl val="0"/>
      </c:catAx>
      <c:valAx>
        <c:axId val="94457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903"/>
        <c:crosses val="autoZero"/>
        <c:crossBetween val="between"/>
      </c:valAx>
      <c:valAx>
        <c:axId val="77239747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2396991"/>
        <c:crosses val="max"/>
        <c:crossBetween val="between"/>
      </c:valAx>
      <c:catAx>
        <c:axId val="772396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2397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회전율 </a:t>
            </a:r>
            <a:r>
              <a:rPr lang="en-US" altLang="ko-KR"/>
              <a:t>&amp; </a:t>
            </a:r>
            <a:r>
              <a:rPr lang="ko-KR" altLang="en-US"/>
              <a:t>회전일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회전율관리!$L$7</c:f>
              <c:strCache>
                <c:ptCount val="1"/>
                <c:pt idx="0">
                  <c:v>회전율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회전율관리!$L$8:$L$10</c:f>
              <c:numCache>
                <c:formatCode>0.00</c:formatCode>
                <c:ptCount val="3"/>
                <c:pt idx="0">
                  <c:v>0.17775412609355087</c:v>
                </c:pt>
                <c:pt idx="1">
                  <c:v>0.36501736111111116</c:v>
                </c:pt>
                <c:pt idx="2">
                  <c:v>0.52333333333333332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1-4BD9-9105-59CF10AF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106063"/>
        <c:axId val="825107503"/>
      </c:barChart>
      <c:lineChart>
        <c:grouping val="standard"/>
        <c:varyColors val="0"/>
        <c:ser>
          <c:idx val="1"/>
          <c:order val="1"/>
          <c:tx>
            <c:strRef>
              <c:f>회전율관리!$M$7</c:f>
              <c:strCache>
                <c:ptCount val="1"/>
                <c:pt idx="0">
                  <c:v>회전일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6.193897271693922E-3"/>
                  <c:y val="-8.1574739322139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61-4BD9-9105-59CF10AF26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회전율관리!$M$8:$M$10</c:f>
              <c:numCache>
                <c:formatCode>_(* #,##0_);_(* \(#,##0\);_(* "-"_);_(@_)</c:formatCode>
                <c:ptCount val="3"/>
                <c:pt idx="0">
                  <c:v>168.7724536093817</c:v>
                </c:pt>
                <c:pt idx="1">
                  <c:v>82.187871581450636</c:v>
                </c:pt>
                <c:pt idx="2">
                  <c:v>57.324840764331213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61-4BD9-9105-59CF10AF2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76527"/>
        <c:axId val="130178447"/>
      </c:lineChart>
      <c:catAx>
        <c:axId val="8251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7503"/>
        <c:crosses val="autoZero"/>
        <c:auto val="1"/>
        <c:lblAlgn val="ctr"/>
        <c:lblOffset val="100"/>
        <c:noMultiLvlLbl val="0"/>
      </c:catAx>
      <c:valAx>
        <c:axId val="825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6063"/>
        <c:crosses val="autoZero"/>
        <c:crossBetween val="between"/>
      </c:valAx>
      <c:valAx>
        <c:axId val="130178447"/>
        <c:scaling>
          <c:orientation val="minMax"/>
        </c:scaling>
        <c:delete val="0"/>
        <c:axPos val="r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176527"/>
        <c:crosses val="max"/>
        <c:crossBetween val="between"/>
      </c:valAx>
      <c:catAx>
        <c:axId val="130176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17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납기준수관리!$N$2</c:f>
              <c:strCache>
                <c:ptCount val="1"/>
                <c:pt idx="0">
                  <c:v>총지연일수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납기준수관리!$N$3:$N$5</c:f>
              <c:numCache>
                <c:formatCode>General</c:formatCode>
                <c:ptCount val="3"/>
                <c:pt idx="0">
                  <c:v>26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4-422C-9417-7A0F0494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1218847"/>
        <c:axId val="8112121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납기준수관리!$G$2</c15:sqref>
                        </c15:formulaRef>
                      </c:ext>
                    </c:extLst>
                    <c:strCache>
                      <c:ptCount val="1"/>
                      <c:pt idx="0">
                        <c:v>발주량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납기준수관리!$G$3:$G$5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3"/>
                      <c:pt idx="0">
                        <c:v>500</c:v>
                      </c:pt>
                      <c:pt idx="1">
                        <c:v>300</c:v>
                      </c:pt>
                      <c:pt idx="2">
                        <c:v>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5E4-422C-9417-7A0F04946EB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납기준수관리!$H$2</c15:sqref>
                        </c15:formulaRef>
                      </c:ext>
                    </c:extLst>
                    <c:strCache>
                      <c:ptCount val="1"/>
                      <c:pt idx="0">
                        <c:v>1차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납기준수관리!$H$3:$H$5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46054</c:v>
                      </c:pt>
                      <c:pt idx="1">
                        <c:v>46073</c:v>
                      </c:pt>
                      <c:pt idx="2">
                        <c:v>46099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E4-422C-9417-7A0F04946EB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납기준수관리!$I$2</c15:sqref>
                        </c15:formulaRef>
                      </c:ext>
                    </c:extLst>
                    <c:strCache>
                      <c:ptCount val="1"/>
                      <c:pt idx="0">
                        <c:v>2차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납기준수관리!$I$3:$I$5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46063</c:v>
                      </c:pt>
                      <c:pt idx="1">
                        <c:v>0</c:v>
                      </c:pt>
                      <c:pt idx="2">
                        <c:v>46111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5E4-422C-9417-7A0F04946EB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납기준수관리!$J$2</c15:sqref>
                        </c15:formulaRef>
                      </c:ext>
                    </c:extLst>
                    <c:strCache>
                      <c:ptCount val="1"/>
                      <c:pt idx="0">
                        <c:v>1차
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납기준수관리!$J$3:$J$5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53</c:v>
                      </c:pt>
                      <c:pt idx="1">
                        <c:v>41</c:v>
                      </c:pt>
                      <c:pt idx="2">
                        <c:v>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5E4-422C-9417-7A0F04946EB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납기준수관리!$K$2</c15:sqref>
                        </c15:formulaRef>
                      </c:ext>
                    </c:extLst>
                    <c:strCache>
                      <c:ptCount val="1"/>
                      <c:pt idx="0">
                        <c:v>지연일수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납기준수관리!$K$3:$K$5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17</c:v>
                      </c:pt>
                      <c:pt idx="1">
                        <c:v>5</c:v>
                      </c:pt>
                      <c:pt idx="2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5E4-422C-9417-7A0F04946EB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납기준수관리!$L$2</c15:sqref>
                        </c15:formulaRef>
                      </c:ext>
                    </c:extLst>
                    <c:strCache>
                      <c:ptCount val="1"/>
                      <c:pt idx="0">
                        <c:v>리드타임
(기준)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납기준수관리!$L$3:$L$5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5E4-422C-9417-7A0F04946EB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납기준수관리!$M$2</c15:sqref>
                        </c15:formulaRef>
                      </c:ext>
                    </c:extLst>
                    <c:strCache>
                      <c:ptCount val="1"/>
                      <c:pt idx="0">
                        <c:v>총리드타임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납기준수관리!$M$3:$M$5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</c:v>
                      </c:pt>
                      <c:pt idx="1">
                        <c:v>41</c:v>
                      </c:pt>
                      <c:pt idx="2">
                        <c:v>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5E4-422C-9417-7A0F04946EB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납기준수관리!$O$2</c:f>
              <c:strCache>
                <c:ptCount val="1"/>
                <c:pt idx="0">
                  <c:v>납기준수율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4839628367152685E-2"/>
                  <c:y val="-5.4288534404353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E4-422C-9417-7A0F04946EB4}"/>
                </c:ext>
              </c:extLst>
            </c:dLbl>
            <c:dLbl>
              <c:idx val="1"/>
              <c:layout>
                <c:manualLayout>
                  <c:x val="-2.7777777777777779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E4-422C-9417-7A0F04946E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납기준수관리!$O$3:$O$5</c:f>
              <c:numCache>
                <c:formatCode>0%</c:formatCode>
                <c:ptCount val="3"/>
                <c:pt idx="0">
                  <c:v>0.58064516129032262</c:v>
                </c:pt>
                <c:pt idx="1">
                  <c:v>0.87804878048780488</c:v>
                </c:pt>
                <c:pt idx="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E4-422C-9417-7A0F04946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47983"/>
        <c:axId val="275737903"/>
      </c:lineChart>
      <c:catAx>
        <c:axId val="8112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2127"/>
        <c:crosses val="autoZero"/>
        <c:auto val="1"/>
        <c:lblAlgn val="ctr"/>
        <c:lblOffset val="100"/>
        <c:noMultiLvlLbl val="0"/>
      </c:catAx>
      <c:valAx>
        <c:axId val="8112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8847"/>
        <c:crosses val="autoZero"/>
        <c:crossBetween val="between"/>
      </c:valAx>
      <c:valAx>
        <c:axId val="27573790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5747983"/>
        <c:crosses val="max"/>
        <c:crossBetween val="between"/>
      </c:valAx>
      <c:catAx>
        <c:axId val="275747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73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22222222222219"/>
          <c:y val="0.8206007582385535"/>
          <c:w val="0.49666666666666665"/>
          <c:h val="0.1793992417614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결품관리!$G$2</c:f>
              <c:strCache>
                <c:ptCount val="1"/>
                <c:pt idx="0">
                  <c:v>전체 결품률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결품관리!$H$2:$J$2</c:f>
              <c:numCache>
                <c:formatCode>0%</c:formatCode>
                <c:ptCount val="3"/>
                <c:pt idx="0">
                  <c:v>0.33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2-4606-8DD1-E839504D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5775"/>
        <c:axId val="18757215"/>
      </c:barChart>
      <c:lineChart>
        <c:grouping val="standard"/>
        <c:varyColors val="0"/>
        <c:ser>
          <c:idx val="1"/>
          <c:order val="1"/>
          <c:tx>
            <c:strRef>
              <c:f>결품관리!$G$3</c:f>
              <c:strCache>
                <c:ptCount val="1"/>
                <c:pt idx="0">
                  <c:v>AX 결품률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결품관리!$H$3:$J$3</c:f>
              <c:numCache>
                <c:formatCode>0%</c:formatCode>
                <c:ptCount val="3"/>
                <c:pt idx="0">
                  <c:v>0</c:v>
                </c:pt>
                <c:pt idx="1">
                  <c:v>0.33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22-4606-8DD1-E839504D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050463"/>
        <c:axId val="767050943"/>
      </c:lineChart>
      <c:catAx>
        <c:axId val="7670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943"/>
        <c:crosses val="autoZero"/>
        <c:auto val="1"/>
        <c:lblAlgn val="ctr"/>
        <c:lblOffset val="100"/>
        <c:noMultiLvlLbl val="0"/>
      </c:catAx>
      <c:valAx>
        <c:axId val="7670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463"/>
        <c:crosses val="autoZero"/>
        <c:crossBetween val="between"/>
      </c:valAx>
      <c:valAx>
        <c:axId val="1875721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5775"/>
        <c:crosses val="max"/>
        <c:crossBetween val="between"/>
      </c:valAx>
      <c:catAx>
        <c:axId val="18755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57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수요변동성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수요변동성관리!$B$14</c:f>
              <c:strCache>
                <c:ptCount val="1"/>
                <c:pt idx="0">
                  <c:v>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730D485-BB9C-44F6-8963-CA65CB2F143E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F7E-4D34-B92F-2B56EAD8CA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DE3CBD2-77BB-42C5-896E-E75A751F4F02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F7E-4D34-B92F-2B56EAD8CA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9DC8A53-899F-43F6-BF32-41B6BA414B5A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F7E-4D34-B92F-2B56EAD8C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수요변동성관리!$C$14:$H$14</c15:sqref>
                  </c15:fullRef>
                </c:ext>
              </c:extLst>
              <c:f>수요변동성관리!$C$14:$E$14</c:f>
              <c:numCache>
                <c:formatCode>General</c:formatCode>
                <c:ptCount val="3"/>
                <c:pt idx="0">
                  <c:v>43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수요변동성관리!$F$14:$H$14</c15:f>
                <c15:dlblRangeCache>
                  <c:ptCount val="3"/>
                  <c:pt idx="0">
                    <c:v>43(11%)</c:v>
                  </c:pt>
                  <c:pt idx="1">
                    <c:v>40(10%)</c:v>
                  </c:pt>
                  <c:pt idx="2">
                    <c:v>30(7%)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7F7E-4D34-B92F-2B56EAD8CA92}"/>
            </c:ext>
          </c:extLst>
        </c:ser>
        <c:ser>
          <c:idx val="1"/>
          <c:order val="1"/>
          <c:tx>
            <c:strRef>
              <c:f>수요변동성관리!$B$15</c:f>
              <c:strCache>
                <c:ptCount val="1"/>
                <c:pt idx="0">
                  <c:v>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2436343-8058-4ABD-92C1-FC184CBE6DA9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F7E-4D34-B92F-2B56EAD8CA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77C5F52-275E-4017-9836-599DB9739168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F7E-4D34-B92F-2B56EAD8CA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9D3494-DC47-4A8F-8A50-FBC2712BB6D5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F7E-4D34-B92F-2B56EAD8C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수요변동성관리!$C$15:$H$15</c15:sqref>
                  </c15:fullRef>
                </c:ext>
              </c:extLst>
              <c:f>수요변동성관리!$C$15:$E$15</c:f>
              <c:numCache>
                <c:formatCode>General</c:formatCode>
                <c:ptCount val="3"/>
                <c:pt idx="0">
                  <c:v>74</c:v>
                </c:pt>
                <c:pt idx="1">
                  <c:v>55</c:v>
                </c:pt>
                <c:pt idx="2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수요변동성관리!$F$15:$H$15</c15:f>
                <c15:dlblRangeCache>
                  <c:ptCount val="3"/>
                  <c:pt idx="0">
                    <c:v>74(18%)</c:v>
                  </c:pt>
                  <c:pt idx="1">
                    <c:v>55(13%)</c:v>
                  </c:pt>
                  <c:pt idx="2">
                    <c:v>58(14%)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7F7E-4D34-B92F-2B56EAD8CA92}"/>
            </c:ext>
          </c:extLst>
        </c:ser>
        <c:ser>
          <c:idx val="2"/>
          <c:order val="2"/>
          <c:tx>
            <c:strRef>
              <c:f>수요변동성관리!$B$16</c:f>
              <c:strCache>
                <c:ptCount val="1"/>
                <c:pt idx="0">
                  <c:v>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D878420-7B46-4A2E-8F71-43F607DC269A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F7E-4D34-B92F-2B56EAD8CA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F85F3C-02C7-41B3-9AA3-B62150F93EDA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F7E-4D34-B92F-2B56EAD8CA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326CC5-663C-455F-BAD6-093DC06CEEB9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F7E-4D34-B92F-2B56EAD8C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수요변동성관리!$C$16:$H$16</c15:sqref>
                  </c15:fullRef>
                </c:ext>
              </c:extLst>
              <c:f>수요변동성관리!$C$16:$E$16</c:f>
              <c:numCache>
                <c:formatCode>General</c:formatCode>
                <c:ptCount val="3"/>
                <c:pt idx="0">
                  <c:v>291</c:v>
                </c:pt>
                <c:pt idx="1">
                  <c:v>313</c:v>
                </c:pt>
                <c:pt idx="2">
                  <c:v>320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수요변동성관리!$F$16:$H$16</c15:f>
                <c15:dlblRangeCache>
                  <c:ptCount val="3"/>
                  <c:pt idx="0">
                    <c:v>291(71%)</c:v>
                  </c:pt>
                  <c:pt idx="1">
                    <c:v>313(77%)</c:v>
                  </c:pt>
                  <c:pt idx="2">
                    <c:v>320(78%)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7F7E-4D34-B92F-2B56EAD8CA9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7642671"/>
        <c:axId val="677649391"/>
      </c:barChart>
      <c:catAx>
        <c:axId val="677642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7649391"/>
        <c:crosses val="autoZero"/>
        <c:auto val="1"/>
        <c:lblAlgn val="ctr"/>
        <c:lblOffset val="100"/>
        <c:noMultiLvlLbl val="0"/>
      </c:catAx>
      <c:valAx>
        <c:axId val="67764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764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포캐스트 </a:t>
            </a:r>
            <a:r>
              <a:rPr lang="en-US" altLang="ko-KR"/>
              <a:t>VS </a:t>
            </a:r>
            <a:r>
              <a:rPr lang="ko-KR" altLang="en-US"/>
              <a:t>실출고율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실출고율!$B$12</c:f>
              <c:strCache>
                <c:ptCount val="1"/>
                <c:pt idx="0">
                  <c:v>포캐스트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실출고율!$C$12:$E$12</c:f>
              <c:numCache>
                <c:formatCode>General</c:formatCode>
                <c:ptCount val="3"/>
                <c:pt idx="0">
                  <c:v>360</c:v>
                </c:pt>
                <c:pt idx="1">
                  <c:v>520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4-4E33-8FD4-0EBD1087BFB5}"/>
            </c:ext>
          </c:extLst>
        </c:ser>
        <c:ser>
          <c:idx val="1"/>
          <c:order val="1"/>
          <c:tx>
            <c:strRef>
              <c:f>실출고율!$B$13</c:f>
              <c:strCache>
                <c:ptCount val="1"/>
                <c:pt idx="0">
                  <c:v>출고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실출고율!$C$13:$E$13</c:f>
              <c:numCache>
                <c:formatCode>General</c:formatCode>
                <c:ptCount val="3"/>
                <c:pt idx="0">
                  <c:v>270</c:v>
                </c:pt>
                <c:pt idx="1">
                  <c:v>200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04-4E33-8FD4-0EBD1087BFB5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4575903"/>
        <c:axId val="944575423"/>
      </c:barChart>
      <c:lineChart>
        <c:grouping val="standard"/>
        <c:varyColors val="0"/>
        <c:ser>
          <c:idx val="2"/>
          <c:order val="2"/>
          <c:tx>
            <c:strRef>
              <c:f>실출고율!$B$14</c:f>
              <c:strCache>
                <c:ptCount val="1"/>
                <c:pt idx="0">
                  <c:v>실출고율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6.9138334920249506E-3"/>
                  <c:y val="-0.111069812187069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04-4E33-8FD4-0EBD1087BF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실출고율!$C$11:$E$11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실출고율!$C$14:$E$14</c:f>
              <c:numCache>
                <c:formatCode>0%</c:formatCode>
                <c:ptCount val="3"/>
                <c:pt idx="0">
                  <c:v>0.75</c:v>
                </c:pt>
                <c:pt idx="1">
                  <c:v>0.38461538461538464</c:v>
                </c:pt>
                <c:pt idx="2">
                  <c:v>1.3111111111111111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4-4E33-8FD4-0EBD1087BF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2396991"/>
        <c:axId val="772397471"/>
      </c:lineChart>
      <c:catAx>
        <c:axId val="944575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423"/>
        <c:crosses val="autoZero"/>
        <c:auto val="1"/>
        <c:lblAlgn val="ctr"/>
        <c:lblOffset val="100"/>
        <c:noMultiLvlLbl val="0"/>
      </c:catAx>
      <c:valAx>
        <c:axId val="94457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575903"/>
        <c:crosses val="autoZero"/>
        <c:crossBetween val="between"/>
      </c:valAx>
      <c:valAx>
        <c:axId val="77239747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2396991"/>
        <c:crosses val="max"/>
        <c:crossBetween val="between"/>
      </c:valAx>
      <c:catAx>
        <c:axId val="7723969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23974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결품률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결품관리!$G$2</c:f>
              <c:strCache>
                <c:ptCount val="1"/>
                <c:pt idx="0">
                  <c:v>전체 결품률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결품관리!$H$2:$J$2</c:f>
              <c:numCache>
                <c:formatCode>0%</c:formatCode>
                <c:ptCount val="3"/>
                <c:pt idx="0">
                  <c:v>0.33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E3-469C-865B-0AF7423F0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55775"/>
        <c:axId val="18757215"/>
      </c:barChart>
      <c:lineChart>
        <c:grouping val="standard"/>
        <c:varyColors val="0"/>
        <c:ser>
          <c:idx val="1"/>
          <c:order val="1"/>
          <c:tx>
            <c:strRef>
              <c:f>결품관리!$G$3</c:f>
              <c:strCache>
                <c:ptCount val="1"/>
                <c:pt idx="0">
                  <c:v>AX 결품률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결품관리!$H$1:$J$1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결품관리!$H$3:$J$3</c:f>
              <c:numCache>
                <c:formatCode>0%</c:formatCode>
                <c:ptCount val="3"/>
                <c:pt idx="0">
                  <c:v>0</c:v>
                </c:pt>
                <c:pt idx="1">
                  <c:v>0.33</c:v>
                </c:pt>
                <c:pt idx="2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3-469C-865B-0AF7423F0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050463"/>
        <c:axId val="767050943"/>
      </c:lineChart>
      <c:catAx>
        <c:axId val="76705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943"/>
        <c:crosses val="autoZero"/>
        <c:auto val="1"/>
        <c:lblAlgn val="ctr"/>
        <c:lblOffset val="100"/>
        <c:noMultiLvlLbl val="0"/>
      </c:catAx>
      <c:valAx>
        <c:axId val="7670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67050463"/>
        <c:crosses val="autoZero"/>
        <c:crossBetween val="between"/>
      </c:valAx>
      <c:valAx>
        <c:axId val="18757215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5775"/>
        <c:crosses val="max"/>
        <c:crossBetween val="between"/>
      </c:valAx>
      <c:catAx>
        <c:axId val="18755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7572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회전율 </a:t>
            </a:r>
            <a:r>
              <a:rPr lang="en-US" altLang="ko-KR"/>
              <a:t>&amp; </a:t>
            </a:r>
            <a:r>
              <a:rPr lang="ko-KR" altLang="en-US"/>
              <a:t>회전일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회전율관리!$L$7</c:f>
              <c:strCache>
                <c:ptCount val="1"/>
                <c:pt idx="0">
                  <c:v>회전율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회전율관리!$L$8:$L$10</c:f>
              <c:numCache>
                <c:formatCode>0.00</c:formatCode>
                <c:ptCount val="3"/>
                <c:pt idx="0">
                  <c:v>0.17775412609355087</c:v>
                </c:pt>
                <c:pt idx="1">
                  <c:v>0.36501736111111116</c:v>
                </c:pt>
                <c:pt idx="2">
                  <c:v>0.52333333333333332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5-4E88-8B91-3965F490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106063"/>
        <c:axId val="825107503"/>
      </c:barChart>
      <c:lineChart>
        <c:grouping val="standard"/>
        <c:varyColors val="0"/>
        <c:ser>
          <c:idx val="1"/>
          <c:order val="1"/>
          <c:tx>
            <c:strRef>
              <c:f>회전율관리!$M$7</c:f>
              <c:strCache>
                <c:ptCount val="1"/>
                <c:pt idx="0">
                  <c:v>회전일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6.193897271693922E-3"/>
                  <c:y val="-8.15747393221396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F5-4E88-8B91-3965F4902E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회전율관리!$K$8:$K$10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회전율관리!$M$8:$M$10</c:f>
              <c:numCache>
                <c:formatCode>_(* #,##0_);_(* \(#,##0\);_(* "-"_);_(@_)</c:formatCode>
                <c:ptCount val="3"/>
                <c:pt idx="0">
                  <c:v>168.7724536093817</c:v>
                </c:pt>
                <c:pt idx="1">
                  <c:v>82.187871581450636</c:v>
                </c:pt>
                <c:pt idx="2">
                  <c:v>57.324840764331213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5-4E88-8B91-3965F4902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76527"/>
        <c:axId val="130178447"/>
      </c:lineChart>
      <c:catAx>
        <c:axId val="82510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7503"/>
        <c:crosses val="autoZero"/>
        <c:auto val="1"/>
        <c:lblAlgn val="ctr"/>
        <c:lblOffset val="100"/>
        <c:noMultiLvlLbl val="0"/>
      </c:catAx>
      <c:valAx>
        <c:axId val="82510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25106063"/>
        <c:crosses val="autoZero"/>
        <c:crossBetween val="between"/>
      </c:valAx>
      <c:valAx>
        <c:axId val="130178447"/>
        <c:scaling>
          <c:orientation val="minMax"/>
        </c:scaling>
        <c:delete val="0"/>
        <c:axPos val="r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0176527"/>
        <c:crosses val="max"/>
        <c:crossBetween val="between"/>
      </c:valAx>
      <c:catAx>
        <c:axId val="130176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0178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/>
              <a:t>납기준수율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7"/>
          <c:order val="7"/>
          <c:tx>
            <c:strRef>
              <c:f>납기준수관리!$N$2</c:f>
              <c:strCache>
                <c:ptCount val="1"/>
                <c:pt idx="0">
                  <c:v>총지연일수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납기준수관리!$N$3:$N$5</c:f>
              <c:numCache>
                <c:formatCode>General</c:formatCode>
                <c:ptCount val="3"/>
                <c:pt idx="0">
                  <c:v>26</c:v>
                </c:pt>
                <c:pt idx="1">
                  <c:v>5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D3-409B-B448-2CBD78762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1218847"/>
        <c:axId val="8112121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납기준수관리!$G$2</c15:sqref>
                        </c15:formulaRef>
                      </c:ext>
                    </c:extLst>
                    <c:strCache>
                      <c:ptCount val="1"/>
                      <c:pt idx="0">
                        <c:v>발주량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납기준수관리!$G$3:$G$5</c15:sqref>
                        </c15:formulaRef>
                      </c:ext>
                    </c:extLst>
                    <c:numCache>
                      <c:formatCode>_(* #,##0_);_(* \(#,##0\);_(* "-"_);_(@_)</c:formatCode>
                      <c:ptCount val="3"/>
                      <c:pt idx="0">
                        <c:v>500</c:v>
                      </c:pt>
                      <c:pt idx="1">
                        <c:v>300</c:v>
                      </c:pt>
                      <c:pt idx="2">
                        <c:v>200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CD3-409B-B448-2CBD787628D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납기준수관리!$H$2</c15:sqref>
                        </c15:formulaRef>
                      </c:ext>
                    </c:extLst>
                    <c:strCache>
                      <c:ptCount val="1"/>
                      <c:pt idx="0">
                        <c:v>1차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납기준수관리!$H$3:$H$5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46054</c:v>
                      </c:pt>
                      <c:pt idx="1">
                        <c:v>46073</c:v>
                      </c:pt>
                      <c:pt idx="2">
                        <c:v>46099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CD3-409B-B448-2CBD787628D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납기준수관리!$I$2</c15:sqref>
                        </c15:formulaRef>
                      </c:ext>
                    </c:extLst>
                    <c:strCache>
                      <c:ptCount val="1"/>
                      <c:pt idx="0">
                        <c:v>2차 입고일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hade val="51000"/>
                          <a:satMod val="130000"/>
                        </a:schemeClr>
                      </a:gs>
                      <a:gs pos="80000">
                        <a:schemeClr val="accent3">
                          <a:shade val="93000"/>
                          <a:satMod val="130000"/>
                        </a:schemeClr>
                      </a:gs>
                      <a:gs pos="100000">
                        <a:schemeClr val="accent3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납기준수관리!$I$3:$I$5</c15:sqref>
                        </c15:formulaRef>
                      </c:ext>
                    </c:extLst>
                    <c:numCache>
                      <c:formatCode>m/d/yyyy</c:formatCode>
                      <c:ptCount val="3"/>
                      <c:pt idx="0">
                        <c:v>46063</c:v>
                      </c:pt>
                      <c:pt idx="1">
                        <c:v>0</c:v>
                      </c:pt>
                      <c:pt idx="2">
                        <c:v>46111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4CD3-409B-B448-2CBD787628D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납기준수관리!$J$2</c15:sqref>
                        </c15:formulaRef>
                      </c:ext>
                    </c:extLst>
                    <c:strCache>
                      <c:ptCount val="1"/>
                      <c:pt idx="0">
                        <c:v>1차
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납기준수관리!$J$3:$J$5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53</c:v>
                      </c:pt>
                      <c:pt idx="1">
                        <c:v>41</c:v>
                      </c:pt>
                      <c:pt idx="2">
                        <c:v>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CD3-409B-B448-2CBD787628D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납기준수관리!$K$2</c15:sqref>
                        </c15:formulaRef>
                      </c:ext>
                    </c:extLst>
                    <c:strCache>
                      <c:ptCount val="1"/>
                      <c:pt idx="0">
                        <c:v>지연일수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hade val="51000"/>
                          <a:satMod val="130000"/>
                        </a:schemeClr>
                      </a:gs>
                      <a:gs pos="80000">
                        <a:schemeClr val="accent5">
                          <a:shade val="93000"/>
                          <a:satMod val="130000"/>
                        </a:schemeClr>
                      </a:gs>
                      <a:gs pos="100000">
                        <a:schemeClr val="accent5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납기준수관리!$K$3:$K$5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17</c:v>
                      </c:pt>
                      <c:pt idx="1">
                        <c:v>5</c:v>
                      </c:pt>
                      <c:pt idx="2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CD3-409B-B448-2CBD787628D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납기준수관리!$L$2</c15:sqref>
                        </c15:formulaRef>
                      </c:ext>
                    </c:extLst>
                    <c:strCache>
                      <c:ptCount val="1"/>
                      <c:pt idx="0">
                        <c:v>리드타임
(기준)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satMod val="130000"/>
                        </a:schemeClr>
                      </a:gs>
                      <a:gs pos="80000">
                        <a:schemeClr val="accent6">
                          <a:shade val="93000"/>
                          <a:satMod val="130000"/>
                        </a:schemeClr>
                      </a:gs>
                      <a:gs pos="100000">
                        <a:schemeClr val="accent6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납기준수관리!$L$3:$L$5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CD3-409B-B448-2CBD787628D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납기준수관리!$M$2</c15:sqref>
                        </c15:formulaRef>
                      </c:ext>
                    </c:extLst>
                    <c:strCache>
                      <c:ptCount val="1"/>
                      <c:pt idx="0">
                        <c:v>총리드타임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hade val="51000"/>
                          <a:satMod val="130000"/>
                        </a:schemeClr>
                      </a:gs>
                      <a:gs pos="80000">
                        <a:schemeClr val="accent1">
                          <a:lumMod val="60000"/>
                          <a:shade val="93000"/>
                          <a:satMod val="130000"/>
                        </a:schemeClr>
                      </a:gs>
                      <a:gs pos="100000">
                        <a:schemeClr val="accent1">
                          <a:lumMod val="60000"/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납기준수관리!$B$3:$F$5</c15:sqref>
                        </c15:fullRef>
                        <c15:levelRef>
                          <c15:sqref>납기준수관리!$B$3:$B$5</c15:sqref>
                        </c15:levelRef>
                        <c15:formulaRef>
                          <c15:sqref>납기준수관리!$B$3:$B$5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납기준수관리!$M$3:$M$5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62</c:v>
                      </c:pt>
                      <c:pt idx="1">
                        <c:v>41</c:v>
                      </c:pt>
                      <c:pt idx="2">
                        <c:v>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CD3-409B-B448-2CBD787628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납기준수관리!$O$2</c:f>
              <c:strCache>
                <c:ptCount val="1"/>
                <c:pt idx="0">
                  <c:v>납기준수율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5.4839628367152685E-2"/>
                  <c:y val="-5.4288534404353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CD3-409B-B448-2CBD787628D1}"/>
                </c:ext>
              </c:extLst>
            </c:dLbl>
            <c:dLbl>
              <c:idx val="1"/>
              <c:layout>
                <c:manualLayout>
                  <c:x val="-2.7777777777777779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CD3-409B-B448-2CBD787628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sng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납기준수관리!$B$3:$F$5</c15:sqref>
                  </c15:fullRef>
                  <c15:levelRef>
                    <c15:sqref>납기준수관리!$B$3:$B$5</c15:sqref>
                  </c15:levelRef>
                </c:ext>
              </c:extLst>
              <c:f>납기준수관리!$B$3:$B$5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f>납기준수관리!$O$3:$O$5</c:f>
              <c:numCache>
                <c:formatCode>0%</c:formatCode>
                <c:ptCount val="3"/>
                <c:pt idx="0">
                  <c:v>0.58064516129032262</c:v>
                </c:pt>
                <c:pt idx="1">
                  <c:v>0.87804878048780488</c:v>
                </c:pt>
                <c:pt idx="2">
                  <c:v>0.6875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D3-409B-B448-2CBD78762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747983"/>
        <c:axId val="275737903"/>
      </c:lineChart>
      <c:catAx>
        <c:axId val="81121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2127"/>
        <c:crosses val="autoZero"/>
        <c:auto val="1"/>
        <c:lblAlgn val="ctr"/>
        <c:lblOffset val="100"/>
        <c:noMultiLvlLbl val="0"/>
      </c:catAx>
      <c:valAx>
        <c:axId val="81121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1218847"/>
        <c:crosses val="autoZero"/>
        <c:crossBetween val="between"/>
      </c:valAx>
      <c:valAx>
        <c:axId val="27573790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75747983"/>
        <c:crosses val="max"/>
        <c:crossBetween val="between"/>
      </c:valAx>
      <c:catAx>
        <c:axId val="275747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737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722222222222219"/>
          <c:y val="0.8206007582385535"/>
          <c:w val="0.49666666666666665"/>
          <c:h val="0.17939924176144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ko-KR" altLang="en-US" sz="16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수요변동성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수요변동성관리!$B$14</c:f>
              <c:strCache>
                <c:ptCount val="1"/>
                <c:pt idx="0">
                  <c:v>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BCEAF02-C2D6-492A-8E97-F49C47B8642A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1A5-4842-A295-56A5C96282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36F2F1A-941F-4428-B5C8-1AB8B588B020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1A5-4842-A295-56A5C96282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1B0558-15B5-4C2A-8721-E7A2040084D6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1A5-4842-A295-56A5C9628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수요변동성관리!$C$14:$H$14</c15:sqref>
                  </c15:fullRef>
                </c:ext>
              </c:extLst>
              <c:f>수요변동성관리!$C$14:$E$14</c:f>
              <c:numCache>
                <c:formatCode>General</c:formatCode>
                <c:ptCount val="3"/>
                <c:pt idx="0">
                  <c:v>43</c:v>
                </c:pt>
                <c:pt idx="1">
                  <c:v>40</c:v>
                </c:pt>
                <c:pt idx="2">
                  <c:v>30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수요변동성관리!$F$16:$H$16</c15:f>
                <c15:dlblRangeCache>
                  <c:ptCount val="3"/>
                  <c:pt idx="0">
                    <c:v>291(71%)</c:v>
                  </c:pt>
                  <c:pt idx="1">
                    <c:v>313(77%)</c:v>
                  </c:pt>
                  <c:pt idx="2">
                    <c:v>320(78%)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1A5-4842-A295-56A5C962822F}"/>
            </c:ext>
          </c:extLst>
        </c:ser>
        <c:ser>
          <c:idx val="1"/>
          <c:order val="1"/>
          <c:tx>
            <c:strRef>
              <c:f>수요변동성관리!$B$15</c:f>
              <c:strCache>
                <c:ptCount val="1"/>
                <c:pt idx="0">
                  <c:v>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0C1C409-A83C-4B2D-B691-A1166ABF620B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71A5-4842-A295-56A5C96282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DE7EB5-7C24-438A-95D5-31A7D4967045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1A5-4842-A295-56A5C96282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E67EA11-BC8B-491D-BFE2-B6226A3DA1E2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1A5-4842-A295-56A5C9628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수요변동성관리!$C$15:$H$15</c15:sqref>
                  </c15:fullRef>
                </c:ext>
              </c:extLst>
              <c:f>수요변동성관리!$C$15:$E$15</c:f>
              <c:numCache>
                <c:formatCode>General</c:formatCode>
                <c:ptCount val="3"/>
                <c:pt idx="0">
                  <c:v>74</c:v>
                </c:pt>
                <c:pt idx="1">
                  <c:v>55</c:v>
                </c:pt>
                <c:pt idx="2">
                  <c:v>58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수요변동성관리!$F$15:$H$15</c15:f>
                <c15:dlblRangeCache>
                  <c:ptCount val="3"/>
                  <c:pt idx="0">
                    <c:v>74(18%)</c:v>
                  </c:pt>
                  <c:pt idx="1">
                    <c:v>55(13%)</c:v>
                  </c:pt>
                  <c:pt idx="2">
                    <c:v>58(14%)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71A5-4842-A295-56A5C962822F}"/>
            </c:ext>
          </c:extLst>
        </c:ser>
        <c:ser>
          <c:idx val="2"/>
          <c:order val="2"/>
          <c:tx>
            <c:strRef>
              <c:f>수요변동성관리!$B$16</c:f>
              <c:strCache>
                <c:ptCount val="1"/>
                <c:pt idx="0">
                  <c:v>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73C51C6-CC80-4DE0-9B71-45971BD1C5C4}" type="CELLRANGE">
                      <a:rPr lang="en-US" altLang="ko-KR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71A5-4842-A295-56A5C962822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88F3A73-14D3-45EB-9EC4-432EB474972E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1A5-4842-A295-56A5C962822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0F195AD-71B1-43AF-A167-F2A09B3DEE2B}" type="CELLRANGE">
                      <a:rPr lang="ko-KR" altLang="en-US"/>
                      <a:pPr/>
                      <a:t>[CELLRANGE]</a:t>
                    </a:fld>
                    <a:endParaRPr lang="ko-KR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1A5-4842-A295-56A5C9628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수요변동성관리!$C$13:$H$13</c15:sqref>
                  </c15:fullRef>
                </c:ext>
              </c:extLst>
              <c:f>수요변동성관리!$C$13:$E$13</c:f>
              <c:strCache>
                <c:ptCount val="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수요변동성관리!$C$16:$H$16</c15:sqref>
                  </c15:fullRef>
                </c:ext>
              </c:extLst>
              <c:f>수요변동성관리!$C$16:$E$16</c:f>
              <c:numCache>
                <c:formatCode>General</c:formatCode>
                <c:ptCount val="3"/>
                <c:pt idx="0">
                  <c:v>291</c:v>
                </c:pt>
                <c:pt idx="1">
                  <c:v>313</c:v>
                </c:pt>
                <c:pt idx="2">
                  <c:v>320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수요변동성관리!$F$16:$H$16</c15:f>
                <c15:dlblRangeCache>
                  <c:ptCount val="3"/>
                  <c:pt idx="0">
                    <c:v>291(71%)</c:v>
                  </c:pt>
                  <c:pt idx="1">
                    <c:v>313(77%)</c:v>
                  </c:pt>
                  <c:pt idx="2">
                    <c:v>320(78%)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71A5-4842-A295-56A5C9628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7570032"/>
        <c:axId val="1117563312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수요변동성관리!$B$17</c15:sqref>
                        </c15:formulaRef>
                      </c:ext>
                    </c:extLst>
                    <c:strCache>
                      <c:ptCount val="1"/>
                      <c:pt idx="0">
                        <c:v>계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hade val="51000"/>
                          <a:satMod val="130000"/>
                        </a:schemeClr>
                      </a:gs>
                      <a:gs pos="80000">
                        <a:schemeClr val="accent4">
                          <a:shade val="93000"/>
                          <a:satMod val="130000"/>
                        </a:schemeClr>
                      </a:gs>
                      <a:gs pos="100000">
                        <a:schemeClr val="accent4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  <a:scene3d>
                    <a:camera prst="orthographicFront">
                      <a:rot lat="0" lon="0" rev="0"/>
                    </a:camera>
                    <a:lightRig rig="threePt" dir="t">
                      <a:rot lat="0" lon="0" rev="1200000"/>
                    </a:lightRig>
                  </a:scene3d>
                  <a:sp3d>
                    <a:bevelT w="63500" h="25400"/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수요변동성관리!$C$13:$H$13</c15:sqref>
                        </c15:fullRef>
                        <c15:formulaRef>
                          <c15:sqref>수요변동성관리!$C$13:$E$13</c15:sqref>
                        </c15:formulaRef>
                      </c:ext>
                    </c:extLst>
                    <c:strCache>
                      <c:ptCount val="3"/>
                      <c:pt idx="0">
                        <c:v>1월</c:v>
                      </c:pt>
                      <c:pt idx="1">
                        <c:v>2월</c:v>
                      </c:pt>
                      <c:pt idx="2">
                        <c:v>3월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수요변동성관리!$C$17:$H$17</c15:sqref>
                        </c15:fullRef>
                        <c15:formulaRef>
                          <c15:sqref>수요변동성관리!$C$17:$E$17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408</c:v>
                      </c:pt>
                      <c:pt idx="1">
                        <c:v>408</c:v>
                      </c:pt>
                      <c:pt idx="2">
                        <c:v>408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1A5-4842-A295-56A5C962822F}"/>
                  </c:ext>
                </c:extLst>
              </c15:ser>
            </c15:filteredBarSeries>
          </c:ext>
        </c:extLst>
      </c:barChart>
      <c:catAx>
        <c:axId val="111757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7563312"/>
        <c:crosses val="autoZero"/>
        <c:auto val="1"/>
        <c:lblAlgn val="ctr"/>
        <c:lblOffset val="100"/>
        <c:noMultiLvlLbl val="0"/>
      </c:catAx>
      <c:valAx>
        <c:axId val="11175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757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29882</xdr:colOff>
      <xdr:row>4</xdr:row>
      <xdr:rowOff>169193</xdr:rowOff>
    </xdr:from>
    <xdr:to>
      <xdr:col>33</xdr:col>
      <xdr:colOff>98493</xdr:colOff>
      <xdr:row>10</xdr:row>
      <xdr:rowOff>49106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EFFA452-CCF6-D197-C349-587628B2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1411" y="819134"/>
          <a:ext cx="7300140" cy="1239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18</xdr:col>
      <xdr:colOff>152400</xdr:colOff>
      <xdr:row>17</xdr:row>
      <xdr:rowOff>198777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79FD65F-AFF4-CA46-72C2-0D4D97A7A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445053</xdr:colOff>
      <xdr:row>18</xdr:row>
      <xdr:rowOff>25401</xdr:rowOff>
    </xdr:from>
    <xdr:to>
      <xdr:col>18</xdr:col>
      <xdr:colOff>146051</xdr:colOff>
      <xdr:row>30</xdr:row>
      <xdr:rowOff>95250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766AFEF-5B19-4C9E-BA0E-D27280F37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64328</xdr:colOff>
      <xdr:row>18</xdr:row>
      <xdr:rowOff>19051</xdr:rowOff>
    </xdr:from>
    <xdr:to>
      <xdr:col>9</xdr:col>
      <xdr:colOff>419100</xdr:colOff>
      <xdr:row>30</xdr:row>
      <xdr:rowOff>85311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FDD52A9-8842-4D9A-8F2F-84514EBE2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438150</xdr:colOff>
      <xdr:row>30</xdr:row>
      <xdr:rowOff>134178</xdr:rowOff>
    </xdr:from>
    <xdr:to>
      <xdr:col>18</xdr:col>
      <xdr:colOff>158750</xdr:colOff>
      <xdr:row>43</xdr:row>
      <xdr:rowOff>67916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20F8089-4888-4981-A27E-92EFD2DFD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82550</xdr:colOff>
      <xdr:row>30</xdr:row>
      <xdr:rowOff>127000</xdr:rowOff>
    </xdr:from>
    <xdr:to>
      <xdr:col>9</xdr:col>
      <xdr:colOff>400050</xdr:colOff>
      <xdr:row>43</xdr:row>
      <xdr:rowOff>57150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88274FB1-81B9-4E23-8F8C-BDB9237B0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209550</xdr:colOff>
      <xdr:row>30</xdr:row>
      <xdr:rowOff>120650</xdr:rowOff>
    </xdr:from>
    <xdr:to>
      <xdr:col>26</xdr:col>
      <xdr:colOff>107950</xdr:colOff>
      <xdr:row>43</xdr:row>
      <xdr:rowOff>57150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42DB03E-565B-4DFA-AA3F-67C873B15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11048</xdr:colOff>
      <xdr:row>15</xdr:row>
      <xdr:rowOff>0</xdr:rowOff>
    </xdr:from>
    <xdr:to>
      <xdr:col>7</xdr:col>
      <xdr:colOff>988391</xdr:colOff>
      <xdr:row>28</xdr:row>
      <xdr:rowOff>173383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20D7BCB-9EDA-3766-4216-ED9116C32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92807</xdr:colOff>
      <xdr:row>14</xdr:row>
      <xdr:rowOff>156313</xdr:rowOff>
    </xdr:from>
    <xdr:to>
      <xdr:col>18</xdr:col>
      <xdr:colOff>58615</xdr:colOff>
      <xdr:row>27</xdr:row>
      <xdr:rowOff>105513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F30162D-1040-72E3-47B7-CD5153A44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167545</xdr:rowOff>
    </xdr:from>
    <xdr:to>
      <xdr:col>7</xdr:col>
      <xdr:colOff>752535</xdr:colOff>
      <xdr:row>21</xdr:row>
      <xdr:rowOff>117849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7B6559E-8CAE-CE1D-E73D-49ED776D2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39077</xdr:colOff>
      <xdr:row>5</xdr:row>
      <xdr:rowOff>92807</xdr:rowOff>
    </xdr:from>
    <xdr:to>
      <xdr:col>8</xdr:col>
      <xdr:colOff>459154</xdr:colOff>
      <xdr:row>19</xdr:row>
      <xdr:rowOff>199292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F0F141C5-5BFF-C1CC-8864-E0BEE4EAE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219808</xdr:colOff>
      <xdr:row>20</xdr:row>
      <xdr:rowOff>49512</xdr:rowOff>
    </xdr:from>
    <xdr:to>
      <xdr:col>10</xdr:col>
      <xdr:colOff>1610823</xdr:colOff>
      <xdr:row>27</xdr:row>
      <xdr:rowOff>81899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8865031-4C49-FD76-D6AF-B25CD3E19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54" y="4347974"/>
          <a:ext cx="6309823" cy="15368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977</xdr:rowOff>
    </xdr:from>
    <xdr:to>
      <xdr:col>9</xdr:col>
      <xdr:colOff>258885</xdr:colOff>
      <xdr:row>18</xdr:row>
      <xdr:rowOff>162658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927AEFF-7780-AD9A-C8C3-D79AEFB678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1034518-9F06-43C0-84D5-678AF589E9B2}" name="표7" displayName="표7" ref="A1:J100" totalsRowShown="0" tableBorderDxfId="158">
  <autoFilter ref="A1:J100" xr:uid="{B1034518-9F06-43C0-84D5-678AF589E9B2}"/>
  <tableColumns count="10">
    <tableColumn id="1" xr3:uid="{05679D1B-44D0-424D-A9AE-26A5ACAF5FDA}" name="SKU_x000a_코드" dataDxfId="157" dataCellStyle="표준 6"/>
    <tableColumn id="2" xr3:uid="{099ABAF0-9D16-4199-8844-AC41B1DE2FD0}" name="제품명" dataDxfId="156"/>
    <tableColumn id="3" xr3:uid="{440DA664-53F4-4325-B776-64AFC0227F4B}" name="리드타임_x000a_(일)" dataDxfId="155"/>
    <tableColumn id="4" xr3:uid="{CE2940EB-64F4-423C-A7FD-67EA66179879}" name="일평균_x000a_판매" dataDxfId="154" dataCellStyle="쉼표 [0]">
      <calculatedColumnFormula>30/SUMIF('ABC-XYZ분석 (2)'!C:C,안전재고!A2,'ABC-XYZ분석 (2)'!X:X)</calculatedColumnFormula>
    </tableColumn>
    <tableColumn id="5" xr3:uid="{202C4250-5998-4415-86AA-F9A69309B676}" name="수요_x000a_표준편차" dataDxfId="153" dataCellStyle="쉼표 [0]">
      <calculatedColumnFormula>IFERROR('ABC-XYZ분석 (2)'!AE2/30,0)</calculatedColumnFormula>
    </tableColumn>
    <tableColumn id="8" xr3:uid="{DDE07FD4-DF5A-44CC-8317-D55C29884AEE}" name="ABC" dataDxfId="152" dataCellStyle="쉼표 [0]">
      <calculatedColumnFormula>_xlfn.XLOOKUP(표7[[#This Row],[SKU
코드]],'ABC-XYZ분석 (2)'!C:C,'ABC-XYZ분석 (2)'!AC:AC)</calculatedColumnFormula>
    </tableColumn>
    <tableColumn id="10" xr3:uid="{49AA00B7-CDB6-483F-8467-83DE28ABC78E}" name="XYZ" dataDxfId="151" dataCellStyle="쉼표 [0]">
      <calculatedColumnFormula>_xlfn.XLOOKUP(표7[[#This Row],[SKU
코드]],'ABC-XYZ분석 (2)'!C:C,'ABC-XYZ분석 (2)'!AG:AG)</calculatedColumnFormula>
    </tableColumn>
    <tableColumn id="11" xr3:uid="{BFFD7107-6A4E-402D-BD8E-768A9B4C13CA}" name="안전_x000a_계수" dataDxfId="150" dataCellStyle="쉼표 [0]">
      <calculatedColumnFormula>_xlfn.XLOOKUP(표7[[#This Row],[ABC]],L:L,N:N)</calculatedColumnFormula>
    </tableColumn>
    <tableColumn id="6" xr3:uid="{245E3821-040F-4C2B-A691-EE7DDBE7A069}" name="안전재고" dataDxfId="149" dataCellStyle="쉼표 [0]">
      <calculatedColumnFormula>ROUND(E2*SQRT(C2)*표7[[#This Row],[안전
계수]]*_xlfn.XLOOKUP(표7[[#This Row],[XYZ]],Q:Q,R:R),0)</calculatedColumnFormula>
    </tableColumn>
    <tableColumn id="7" xr3:uid="{C6C567CE-5224-4681-AABB-092B6902D183}" name="안전재고 계산식" dataDxfId="14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4EFD9F-72E9-46BC-9EEB-73C99AF7F60A}" name="표9" displayName="표9" ref="A1:AK100" totalsRowShown="0" headerRowDxfId="147" headerRowBorderDxfId="146" tableBorderDxfId="145" headerRowCellStyle="쉼표 [0] 2">
  <autoFilter ref="A1:AK100" xr:uid="{584EFD9F-72E9-46BC-9EEB-73C99AF7F60A}"/>
  <sortState xmlns:xlrd2="http://schemas.microsoft.com/office/spreadsheetml/2017/richdata2" ref="A2:AK100">
    <sortCondition descending="1" ref="Z1:Z100"/>
  </sortState>
  <tableColumns count="37">
    <tableColumn id="1" xr3:uid="{94507C95-F791-4454-99BF-1E4D249EE956}" name="#" dataDxfId="144" dataCellStyle="표준 2"/>
    <tableColumn id="2" xr3:uid="{0A10C486-C1E2-41C7-BA11-B85A25B941F9}" name="현황" dataDxfId="143" dataCellStyle="표준 2"/>
    <tableColumn id="3" xr3:uid="{8A7D6A13-6BCA-4FE5-A252-6F380F3EE90D}" name="SKU#" dataDxfId="142" dataCellStyle="표준 2"/>
    <tableColumn id="4" xr3:uid="{D0F4C8CC-7CC6-4541-96BB-7D2B5EDD71E9}" name="사방넷#" dataDxfId="141" dataCellStyle="표준 2"/>
    <tableColumn id="5" xr3:uid="{E84E9796-26DA-4784-886A-FE942223525D}" name="바코드" dataDxfId="140" dataCellStyle="표준 2"/>
    <tableColumn id="6" xr3:uid="{18741067-D663-4698-98EC-57063E61C915}" name="최종_x000a_상품명" dataDxfId="139" dataCellStyle="표준 2"/>
    <tableColumn id="7" xr3:uid="{20BEBD55-889C-44EF-96E8-4C059E282277}" name="상품명" dataDxfId="138" dataCellStyle="표준 2"/>
    <tableColumn id="8" xr3:uid="{42BD6D95-0DCC-453F-8632-4F7B69B7B2DA}" name="구분" dataDxfId="137" dataCellStyle="표준 2"/>
    <tableColumn id="9" xr3:uid="{6CACA4E2-D179-44B0-9E79-E81C74D37B68}" name="계절" dataDxfId="136" dataCellStyle="표준 2"/>
    <tableColumn id="10" xr3:uid="{D8DA2585-6D72-4F73-B3A8-1DCF707DAD32}" name="25년_x000a_1월" dataDxfId="135" dataCellStyle="쉼표 [0] 2"/>
    <tableColumn id="11" xr3:uid="{8F444BD9-B6E3-4363-8C00-224C19F29679}" name="25년_x000a_2월" dataDxfId="134" dataCellStyle="쉼표 [0] 2"/>
    <tableColumn id="12" xr3:uid="{E20565FA-EEF2-4CDA-ADAF-7121402BA19E}" name="25년_x000a_3월" dataDxfId="133" dataCellStyle="쉼표 [0] 2"/>
    <tableColumn id="13" xr3:uid="{55D0D095-D366-4F2C-A50E-D8AC483BD03C}" name="25년_x000a_4월" dataDxfId="132" dataCellStyle="쉼표 [0] 2"/>
    <tableColumn id="14" xr3:uid="{08F87539-D5F3-40E1-B728-3D652C9DB5DC}" name="25년_x000a_5월" dataDxfId="131" dataCellStyle="쉼표 [0] 2"/>
    <tableColumn id="15" xr3:uid="{9AFCE6C1-DDC6-406B-8BAC-578632A199A7}" name="25년_x000a_6월" dataDxfId="130" dataCellStyle="쉼표 [0] 2"/>
    <tableColumn id="16" xr3:uid="{0A12D4C3-26C4-4742-9930-B3395BEB4A4F}" name="25년_x000a_7월" dataDxfId="129" dataCellStyle="쉼표 [0] 2"/>
    <tableColumn id="17" xr3:uid="{18182993-C4A8-4E9B-9FB0-7ED520EEE7F5}" name="25년_x000a_8월" dataDxfId="128" dataCellStyle="쉼표 [0] 2"/>
    <tableColumn id="18" xr3:uid="{AEE6A977-2734-4340-A77C-1DBEDB35935E}" name="25년_x000a_9월" dataDxfId="127" dataCellStyle="쉼표 [0] 2"/>
    <tableColumn id="19" xr3:uid="{401F41A6-0B21-444E-A951-9232636E38CA}" name="25년_x000a_10월" dataDxfId="126" dataCellStyle="쉼표 [0] 2"/>
    <tableColumn id="20" xr3:uid="{4BE8C800-18B3-42AB-A5E1-8BE658890241}" name="25년_x000a_11월" dataDxfId="125" dataCellStyle="쉼표 [0] 2"/>
    <tableColumn id="21" xr3:uid="{58855A39-71CF-4D87-9E71-CCB916713810}" name="25년_x000a_12월" dataDxfId="124" dataCellStyle="쉼표 [0] 2"/>
    <tableColumn id="22" xr3:uid="{C4822E97-210C-4FEC-9016-5318AB424652}" name="매입_x000a_원가" dataDxfId="123" dataCellStyle="쉼표 [0] 2"/>
    <tableColumn id="23" xr3:uid="{B77D2938-F991-463E-9823-5BEC7A1B62B6}" name="25년 연간_x000a_판매수량" dataDxfId="122" dataCellStyle="쉼표 [0] 2">
      <calculatedColumnFormula>SUM(J2:U2)</calculatedColumnFormula>
    </tableColumn>
    <tableColumn id="24" xr3:uid="{A20A1B7B-036E-42FD-AA52-1761661A5612}" name="최근3개월 _x000a_월 출고평균량" dataDxfId="121" dataCellStyle="쉼표 [0] 2">
      <calculatedColumnFormula>AVERAGE(S2:U2)</calculatedColumnFormula>
    </tableColumn>
    <tableColumn id="25" xr3:uid="{37443F95-9C6F-4960-BAB9-2BBE53CA4ABE}" name="10~12월_x000a_출고원가" dataDxfId="120" dataCellStyle="쉼표 [0] 2">
      <calculatedColumnFormula>(S2+T2+U2)*V2</calculatedColumnFormula>
    </tableColumn>
    <tableColumn id="26" xr3:uid="{BDDFB0D2-7305-4C4B-B29E-9FBDF5CB7A7C}" name="25년 연간_x000a_출고원가" dataDxfId="119" dataCellStyle="쉼표 [0] 2">
      <calculatedColumnFormula>W2*V2</calculatedColumnFormula>
    </tableColumn>
    <tableColumn id="27" xr3:uid="{D7C12D77-DBA1-4E92-B24A-869FF04E3F1E}" name="출고원가_x000a_비중(%)" dataDxfId="118" dataCellStyle="백분율 2"/>
    <tableColumn id="28" xr3:uid="{6C7BB40B-A8A4-4CB6-BAFA-70DC6406A99D}" name="25년 출고원가_x000a_누적(%)" dataDxfId="117" dataCellStyle="백분율 2">
      <calculatedColumnFormula>SUM($AA$2:AA2)</calculatedColumnFormula>
    </tableColumn>
    <tableColumn id="29" xr3:uid="{2BAC416C-C8E9-41DD-99A2-C81EF96BBEA7}" name="ABC_x000a_등급" dataDxfId="116" dataCellStyle="표준 2">
      <calculatedColumnFormula>IF(AB2&lt;=70%,"A",IF(AB2&lt;=90%,"B","C"))</calculatedColumnFormula>
    </tableColumn>
    <tableColumn id="30" xr3:uid="{DD2B6320-0DF7-4BAE-970B-DFD853B3E728}" name="25년 월평균_x000a_판매수량" dataDxfId="115" dataCellStyle="쉼표 [0] 2">
      <calculatedColumnFormula>AVERAGE(J2:U2)</calculatedColumnFormula>
    </tableColumn>
    <tableColumn id="31" xr3:uid="{E6E1AC2D-3F4A-48E2-A4BD-68BC5F7326AE}" name="표준_x000a_편차" dataDxfId="114" dataCellStyle="쉼표 [0] 2">
      <calculatedColumnFormula>_xlfn.STDEV.P(J2:U2)</calculatedColumnFormula>
    </tableColumn>
    <tableColumn id="32" xr3:uid="{26921A2D-937B-45A0-B107-8C3F89178A26}" name="변동계수_x000a_(CV)" dataDxfId="113" dataCellStyle="표준 2">
      <calculatedColumnFormula>IF(AD2=0,0,AE2/AD2)</calculatedColumnFormula>
    </tableColumn>
    <tableColumn id="33" xr3:uid="{F872B896-DEC3-42F4-A108-5C52E6838F29}" name="XYZ_x000a_등급" dataDxfId="112" dataCellStyle="표준 2"/>
    <tableColumn id="34" xr3:uid="{80B4942D-9C66-4DB0-987D-E85E88AC67E8}" name="ABC-XYZ_x000a_등급" dataDxfId="111" dataCellStyle="표준 2">
      <calculatedColumnFormula>AC2&amp;AG2</calculatedColumnFormula>
    </tableColumn>
    <tableColumn id="35" xr3:uid="{0039D6D2-2129-4CFF-AE60-EB47717509A4}" name="전년 대비 성장률_x000a_(1월발주/3월입고)" dataDxfId="110" dataCellStyle="백분율 2">
      <calculatedColumnFormula>IF(AH2="CZ",0%,IF(AH2="BZ",0%,IF(AH2="CY",5%,IF(I2="사계절",10%,IF(I2="봄",20%,IF(I2="여름",0%,IF(I2="가을",0%,IF(I2="겨울",0%,10%))))))))</calculatedColumnFormula>
    </tableColumn>
    <tableColumn id="36" xr3:uid="{4A4B1B12-DEE7-48E1-AA9B-0C652436EBF4}" name="발주여부" dataDxfId="109" dataCellStyle="백분율 2">
      <calculatedColumnFormula>IF(AI2=0,"발주안함","발주")</calculatedColumnFormula>
    </tableColumn>
    <tableColumn id="37" xr3:uid="{3FBCCC60-CFDB-4C4E-B608-AB778E1CC9E0}" name="재고전략" dataDxfId="108" dataCellStyle="표준 2">
      <calculatedColumnFormula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E284CC-341E-4FBF-96AF-47931DB8CCD6}" name="표3" displayName="표3" ref="B1:R100" totalsRowShown="0" headerRowDxfId="107" tableBorderDxfId="106">
  <autoFilter ref="B1:R100" xr:uid="{F4E284CC-341E-4FBF-96AF-47931DB8CCD6}"/>
  <tableColumns count="17">
    <tableColumn id="1" xr3:uid="{4528B4D7-4CE1-426B-A5DD-4C3D4986154A}" name="구분"/>
    <tableColumn id="2" xr3:uid="{5284CD7D-475C-4D8B-B654-B054BF492999}" name="SKU코드" dataDxfId="105"/>
    <tableColumn id="3" xr3:uid="{230E5028-2912-4496-8A39-1B1B57058063}" name="제품명"/>
    <tableColumn id="4" xr3:uid="{B1F9CF15-92B6-4612-97EE-84712ACF7356}" name="카테고리"/>
    <tableColumn id="5" xr3:uid="{F280A4DE-40C0-4E47-A119-D4AD44C04BB4}" name="ABC_x000a_등급">
      <calculatedColumnFormula>_xlfn.XLOOKUP(표3[[#This Row],[SKU코드]],'ABC-XYZ분석 (2)'!C:C,'ABC-XYZ분석 (2)'!AC:AC)</calculatedColumnFormula>
    </tableColumn>
    <tableColumn id="6" xr3:uid="{126E6540-363D-4DFD-9943-93BB6E270828}" name="XYZ_x000a_등급"/>
    <tableColumn id="7" xr3:uid="{4C2932E6-04B7-4ECA-92ED-AC9BE3243C55}" name="현재고"/>
    <tableColumn id="8" xr3:uid="{D7B6296C-ADA8-43B4-B8D4-69D9390A66EB}" name="안전재고"/>
    <tableColumn id="9" xr3:uid="{791593FC-DE71-41C9-A703-CA7D179AC9A9}" name="최근3개월 _x000a_월 평균출고"/>
    <tableColumn id="10" xr3:uid="{474545E9-6EF1-480B-B821-C65970008CDD}" name="월 재고회전율_x000a_(Turnover rate)" dataDxfId="104" dataCellStyle="쉼표 [0]"/>
    <tableColumn id="11" xr3:uid="{37F4FB6F-3485-453A-9817-7DB8A8B8407B}" name="연 재고회전율" dataDxfId="103" dataCellStyle="쉼표 [0]"/>
    <tableColumn id="12" xr3:uid="{46A52E13-79E0-4385-8C7E-134B5859156F}" name="재고회전일_x000a_(Days of Inventory)" dataDxfId="102"/>
    <tableColumn id="13" xr3:uid="{635302DC-AC04-4760-8799-89EDCBA3AB67}" name="재고상태"/>
    <tableColumn id="14" xr3:uid="{6C72758D-4F73-450E-8EF1-460B97728FE3}" name="회전율_x000a_평가"/>
    <tableColumn id="15" xr3:uid="{912BB856-37D4-47E5-AE41-512AB45FA57A}" name="권장조치"/>
    <tableColumn id="16" xr3:uid="{F43B6A46-98A8-4D2F-89B0-A9AC085F3285}" name="매입원가"/>
    <tableColumn id="17" xr3:uid="{04EA2FDB-8B8C-4D11-8B21-3285F375832C}" name="재고금액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9F9E71-5721-4697-AD24-6F72AE7DDE17}" name="표11" displayName="표11" ref="B1:P100" totalsRowShown="0" headerRowDxfId="101">
  <autoFilter ref="B1:P100" xr:uid="{7B9F9E71-5721-4697-AD24-6F72AE7DDE17}"/>
  <tableColumns count="15">
    <tableColumn id="1" xr3:uid="{1BD0522E-825B-4404-AEF6-1BDB695469C2}" name="SKU코드" dataDxfId="100" dataCellStyle="표준 6"/>
    <tableColumn id="2" xr3:uid="{BC86BA18-0984-4C1B-A03D-9E82EDC12082}" name="제품명" dataDxfId="99"/>
    <tableColumn id="3" xr3:uid="{26FAEB12-3CEC-4EA7-A6AE-8516CE1BA40B}" name="카테고리" dataDxfId="98"/>
    <tableColumn id="4" xr3:uid="{D8DAA77E-9E8F-4CD0-8F76-BBB8E16F17A0}" name="계절" dataDxfId="97">
      <calculatedColumnFormula>_xlfn.XLOOKUP(표11[[#This Row],[SKU코드]],'ABC-XYZ분석 (2)'!C:C,'ABC-XYZ분석 (2)'!I:I)</calculatedColumnFormula>
    </tableColumn>
    <tableColumn id="5" xr3:uid="{C1C5CC38-66D1-4ACF-B846-B75A010820BE}" name="ABC_x000a_등급" dataDxfId="96">
      <calculatedColumnFormula>_xlfn.XLOOKUP(표11[[#This Row],[SKU코드]],'ABC-XYZ분석 (2)'!C:C,'ABC-XYZ분석 (2)'!AC:AC)</calculatedColumnFormula>
    </tableColumn>
    <tableColumn id="6" xr3:uid="{3D0CFAED-262C-4D7E-A373-ECBCD4036C76}" name="XYZ_x000a_등급" dataDxfId="95">
      <calculatedColumnFormula>_xlfn.XLOOKUP(표11[[#This Row],[SKU코드]],'ABC-XYZ분석 (2)'!C:C,'ABC-XYZ분석 (2)'!AG:AG)</calculatedColumnFormula>
    </tableColumn>
    <tableColumn id="7" xr3:uid="{4F178A09-9615-4A8B-BA64-D69D7004EA18}" name="평균_x000a_일출고량" dataDxfId="94" dataCellStyle="쉼표 [0]">
      <calculatedColumnFormula>SUMIF('ABC-XYZ분석 (2)'!C:C,표11[[#This Row],[SKU코드]],'ABC-XYZ분석 (2)'!X:X)/30</calculatedColumnFormula>
    </tableColumn>
    <tableColumn id="8" xr3:uid="{34650967-6BDA-4CFD-AC39-36F20187A1A0}" name="리드_x000a_타임" dataDxfId="93"/>
    <tableColumn id="9" xr3:uid="{B4C166D7-5521-4762-B1D6-D27B8069084D}" name="발주_x000a_주기" dataDxfId="92"/>
    <tableColumn id="10" xr3:uid="{2F091F32-0D4C-48AF-B2EB-43C87F0743EC}" name="안전재고" dataDxfId="91">
      <calculatedColumnFormula>SUMIF(안전재고!A:A,표11[[#This Row],[SKU코드]],안전재고!I:I)</calculatedColumnFormula>
    </tableColumn>
    <tableColumn id="11" xr3:uid="{6A924EAB-3682-4181-B8FA-2EE6A96FAFAD}" name="현재고" dataDxfId="90">
      <calculatedColumnFormula>SUMIF(재고!C:C,공급물량!B2,재고!I:I)</calculatedColumnFormula>
    </tableColumn>
    <tableColumn id="15" xr3:uid="{B1A8FB24-303C-45AD-A1B8-E8FDE3DC9D30}" name="적정재고" dataDxfId="89">
      <calculatedColumnFormula>(표11[[#This Row],[평균
일출고량]]*표11[[#This Row],[리드
타임]])+표11[[#This Row],[안전재고]]</calculatedColumnFormula>
    </tableColumn>
    <tableColumn id="12" xr3:uid="{2BDB5906-86FE-4EF0-9338-354189AF8FA1}" name="발주량" dataDxfId="88">
      <calculatedColumnFormula>MAX(0,(표11[[#This Row],[적정재고]]-표11[[#This Row],[현재고]]))</calculatedColumnFormula>
    </tableColumn>
    <tableColumn id="13" xr3:uid="{37801604-90BD-4419-8ABA-9F0DAB5D0393}" name="MOQ" dataDxfId="87"/>
    <tableColumn id="14" xr3:uid="{DE485F4D-1F9E-42F5-9902-6C5B0F214CB6}" name="MOQ감안 발주량" dataDxfId="86">
      <calculatedColumnFormula>CEILING(표11[[#This Row],[발주량]],표11[[#This Row],[MOQ]])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6CA93E-E522-446F-B30E-FACD900767E9}" name="표6" displayName="표6" ref="A1:J1000" totalsRowShown="0" headerRowDxfId="85" tableBorderDxfId="84">
  <autoFilter ref="A1:J1000" xr:uid="{1D6CA93E-E522-446F-B30E-FACD900767E9}"/>
  <tableColumns count="10">
    <tableColumn id="1" xr3:uid="{32E5009A-664A-4A18-B1FD-E560295B676E}" name="발주일"/>
    <tableColumn id="2" xr3:uid="{9CE4D31B-A592-4384-AA63-BAD4EF02B761}" name="SKU#"/>
    <tableColumn id="3" xr3:uid="{3969D70D-5CAF-4D5A-9EED-249FF1198980}" name="제품명"/>
    <tableColumn id="4" xr3:uid="{5809B08E-5FCF-4769-8C97-FF4931C13721}" name="ABC/XYZ"/>
    <tableColumn id="5" xr3:uid="{55962F60-A455-4AAA-B5C5-FF667752BFA9}" name="현재고"/>
    <tableColumn id="6" xr3:uid="{7CEE1F9D-8A82-4E80-B460-EAF2F6BA397C}" name="발주량"/>
    <tableColumn id="7" xr3:uid="{958BDB8B-582E-4B51-8B6B-FBC15A5A4D35}" name="구매원가"/>
    <tableColumn id="8" xr3:uid="{06FB089B-CDF9-42A1-B6A7-4CBF540C3C6D}" name="발주 전 재고소진일"/>
    <tableColumn id="9" xr3:uid="{5AA17782-EE22-415E-8E30-B26D278551A0}" name="발주 후 재고소진일"/>
    <tableColumn id="10" xr3:uid="{89D581CA-87FA-415D-AC98-A8558A0D0E0A}" name="예상입고일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4CDDCA-05BA-47BE-BA88-D8471A25610A}" name="표2" displayName="표2" ref="A1:I101" totalsRowShown="0" headerRowDxfId="83" dataDxfId="82" headerRowCellStyle="표준 2 2" dataCellStyle="표준 2 2">
  <tableColumns count="9">
    <tableColumn id="1" xr3:uid="{3D7328C7-A126-4BFE-B670-52521CE1FCDD}" name="열1" dataDxfId="81" dataCellStyle="표준 3"/>
    <tableColumn id="2" xr3:uid="{497953A3-585B-4512-AABD-9004A44833BD}" name="열2" dataDxfId="80" dataCellStyle="표준 3"/>
    <tableColumn id="3" xr3:uid="{58445F38-EBD9-45B2-A64E-9E0A069B3144}" name="열3" dataDxfId="79" dataCellStyle="표준 6"/>
    <tableColumn id="4" xr3:uid="{C5BA1B79-4011-40EE-BEB7-9CC03682B05F}" name="열4" dataDxfId="78" dataCellStyle="표준 3"/>
    <tableColumn id="5" xr3:uid="{8898AF44-B72B-4B1C-83EB-9A581539DDAF}" name="열5" dataDxfId="77" dataCellStyle="표준 3"/>
    <tableColumn id="6" xr3:uid="{CB63C0D6-9623-4EE0-AA92-1F7BA6182960}" name="열6" dataDxfId="76" dataCellStyle="표준 3"/>
    <tableColumn id="7" xr3:uid="{5990FF85-38C6-4A58-9818-69C78C79560B}" name="열7" dataDxfId="75" dataCellStyle="표준 3"/>
    <tableColumn id="8" xr3:uid="{0C556C40-9829-4316-BE0A-5180F908DFAD}" name="열8" dataDxfId="74" dataCellStyle="쉼표 [0] 3"/>
    <tableColumn id="9" xr3:uid="{92DFA529-49CC-434D-9AC9-CF1D277C5848}" name=" 16,185 " dataDxfId="73" dataCellStyle="표준 6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7B5CC-D5BF-4EC0-AEEF-B57594292214}" name="표1" displayName="표1" ref="A1:V1000" totalsRowShown="0" headerRowDxfId="72" dataDxfId="71" headerRowCellStyle="常规 19" dataCellStyle="표준 3">
  <autoFilter ref="A1:V1000" xr:uid="{9AF7B5CC-D5BF-4EC0-AEEF-B57594292214}"/>
  <tableColumns count="22">
    <tableColumn id="1" xr3:uid="{7DEA7F39-4F91-49AB-B844-A52B0AD479BF}" name="Brand" dataDxfId="70" dataCellStyle="표준 3"/>
    <tableColumn id="2" xr3:uid="{3D0E80B0-C8A1-4F97-AF28-2CF91D104ECD}" name="사방넷#" dataDxfId="69" dataCellStyle="표준 3"/>
    <tableColumn id="3" xr3:uid="{E04113FF-B9F6-4F18-A8A0-46B85373C19E}" name="SKU#" dataDxfId="68" dataCellStyle="표준 3"/>
    <tableColumn id="4" xr3:uid="{EDA8BD7D-A402-4502-AC5B-D5BC2E07F0AF}" name="ITEM" dataDxfId="67" dataCellStyle="표준 3"/>
    <tableColumn id="5" xr3:uid="{932C7FE8-D292-4B6F-AFC1-510A0188760E}" name="COLOR" dataDxfId="66" dataCellStyle="표준 3"/>
    <tableColumn id="6" xr3:uid="{3EB8622D-D2ED-4A9D-A69F-1BBD29B88B8A}" name="SIZE" dataDxfId="65" dataCellStyle="표준 3"/>
    <tableColumn id="7" xr3:uid="{7A6BCD1A-52DC-435B-B5A1-71386580DC57}" name="열1" dataDxfId="64" dataCellStyle="표준 3"/>
    <tableColumn id="8" xr3:uid="{B62EB389-A296-4500-B514-E5DA04DA38E2}" name="Container Q'ty" dataDxfId="63" dataCellStyle="표준 3"/>
    <tableColumn id="9" xr3:uid="{CC4DBE9C-F6AD-4C01-8B2F-B9BD522801BF}" name="CARTON" dataDxfId="62" dataCellStyle="표준 3"/>
    <tableColumn id="10" xr3:uid="{D170C3A1-2E3D-471A-89F0-EF3FC6542A87}" name="Q'TY" dataDxfId="61" dataCellStyle="표준 3"/>
    <tableColumn id="11" xr3:uid="{4B881AC1-A7FD-43E0-B86A-3E0D35F7431F}" name="Invoice#" dataDxfId="60" dataCellStyle="표준 3"/>
    <tableColumn id="12" xr3:uid="{103D0809-2416-45B8-9B08-55DD3FBD33ED}" name="Unit Price($)" dataDxfId="59" dataCellStyle="표준 3"/>
    <tableColumn id="13" xr3:uid="{A8CAFAF2-5E38-4D1B-A720-A36A5E92CD3A}" name="Invoice Amount($)" dataDxfId="58" dataCellStyle="표준 3"/>
    <tableColumn id="14" xr3:uid="{566CCF01-5335-4D8E-8988-CBB800A3EA73}" name="신고필증#" dataDxfId="57" dataCellStyle="표준 3"/>
    <tableColumn id="15" xr3:uid="{D4D87A80-8D2C-43FD-A4CF-30E0A62C3B33}" name="B/L#" dataDxfId="56" dataCellStyle="표준 3"/>
    <tableColumn id="16" xr3:uid="{5B49F006-9DD8-4252-8902-2F63D9D8FD96}" name="CNTR#" dataDxfId="55" dataCellStyle="표준 3"/>
    <tableColumn id="17" xr3:uid="{B52A4736-D6D0-494B-B8BC-85226EC82E85}" name="입항예정일" dataDxfId="54" dataCellStyle="표준 3"/>
    <tableColumn id="18" xr3:uid="{1211E840-6AB9-45B0-8C5C-E3EC27CA3A71}" name="입항일" dataDxfId="53" dataCellStyle="표준 3"/>
    <tableColumn id="19" xr3:uid="{FFD3F6DA-B8BA-4E55-8B1D-4300BD5D5AA5}" name="창고입고_x000a_예정일" dataDxfId="52" dataCellStyle="표준 3"/>
    <tableColumn id="20" xr3:uid="{56CC5C94-2088-42EA-B012-84F09D30F92B}" name="창고실입고일" dataDxfId="51" dataCellStyle="표준 3"/>
    <tableColumn id="22" xr3:uid="{5C1F488E-BE7C-4542-8825-58C134E9DEA3}" name="년월_x000a_(예정)" dataDxfId="50" dataCellStyle="표준 3">
      <calculatedColumnFormula>TEXT(Q2,"YYMM")</calculatedColumnFormula>
    </tableColumn>
    <tableColumn id="23" xr3:uid="{AC3D5D60-43A6-4A62-A3AE-5617B3D5C49D}" name="년월_x000a_(실입고)" dataDxfId="49" dataCellStyle="표준 3">
      <calculatedColumnFormula>TEXT(T2,"YYMM")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9ADE-F53E-482C-9B67-4C6832F14B1D}">
  <dimension ref="A1:J44"/>
  <sheetViews>
    <sheetView showGridLines="0" zoomScale="145" zoomScaleNormal="14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9" sqref="F9"/>
    </sheetView>
  </sheetViews>
  <sheetFormatPr defaultColWidth="8.625" defaultRowHeight="16.5"/>
  <cols>
    <col min="1" max="1" width="0.375" style="222" customWidth="1"/>
    <col min="2" max="2" width="12.375" style="222" bestFit="1" customWidth="1"/>
    <col min="3" max="3" width="29.875" style="222" bestFit="1" customWidth="1"/>
    <col min="4" max="4" width="13.125" style="222" bestFit="1" customWidth="1"/>
    <col min="5" max="5" width="20.375" style="222" customWidth="1"/>
    <col min="6" max="6" width="8.625" style="222"/>
    <col min="7" max="7" width="6.125" style="222" bestFit="1" customWidth="1"/>
    <col min="8" max="8" width="19.5" style="222" bestFit="1" customWidth="1"/>
    <col min="9" max="9" width="30.875" style="222" bestFit="1" customWidth="1"/>
    <col min="10" max="16384" width="8.625" style="222"/>
  </cols>
  <sheetData>
    <row r="1" spans="2:10" ht="2.4500000000000002" customHeight="1"/>
    <row r="2" spans="2:10">
      <c r="B2" s="210" t="s">
        <v>317</v>
      </c>
      <c r="E2" s="310">
        <v>46057</v>
      </c>
    </row>
    <row r="3" spans="2:10" s="220" customFormat="1">
      <c r="B3" s="341" t="s">
        <v>291</v>
      </c>
      <c r="C3" s="341" t="s">
        <v>309</v>
      </c>
      <c r="D3" s="219" t="s">
        <v>310</v>
      </c>
      <c r="E3" s="219" t="s">
        <v>454</v>
      </c>
      <c r="G3" s="210" t="s">
        <v>560</v>
      </c>
    </row>
    <row r="4" spans="2:10">
      <c r="B4" s="342" t="s">
        <v>301</v>
      </c>
      <c r="C4" s="343" t="s">
        <v>311</v>
      </c>
      <c r="D4" s="337" t="s">
        <v>319</v>
      </c>
      <c r="E4" s="337" t="s">
        <v>319</v>
      </c>
      <c r="G4" s="220" t="s">
        <v>503</v>
      </c>
      <c r="H4" s="220" t="s">
        <v>494</v>
      </c>
      <c r="I4" s="220" t="s">
        <v>310</v>
      </c>
      <c r="J4" s="220"/>
    </row>
    <row r="5" spans="2:10">
      <c r="B5" s="333" t="s">
        <v>302</v>
      </c>
      <c r="C5" s="343" t="s">
        <v>312</v>
      </c>
      <c r="D5" s="337" t="s">
        <v>319</v>
      </c>
      <c r="E5" s="337" t="s">
        <v>319</v>
      </c>
      <c r="G5" s="222" t="s">
        <v>499</v>
      </c>
      <c r="H5" s="222" t="s">
        <v>496</v>
      </c>
      <c r="I5" s="222" t="s">
        <v>555</v>
      </c>
    </row>
    <row r="6" spans="2:10">
      <c r="B6" s="333" t="s">
        <v>305</v>
      </c>
      <c r="C6" s="343" t="s">
        <v>314</v>
      </c>
      <c r="D6" s="337" t="s">
        <v>319</v>
      </c>
      <c r="E6" s="337" t="s">
        <v>319</v>
      </c>
      <c r="G6" s="222" t="s">
        <v>499</v>
      </c>
      <c r="H6" s="222" t="s">
        <v>495</v>
      </c>
      <c r="I6" s="222" t="s">
        <v>561</v>
      </c>
    </row>
    <row r="7" spans="2:10">
      <c r="B7" s="333" t="s">
        <v>304</v>
      </c>
      <c r="C7" s="343" t="s">
        <v>313</v>
      </c>
      <c r="D7" s="337" t="s">
        <v>436</v>
      </c>
      <c r="E7" s="337" t="s">
        <v>456</v>
      </c>
      <c r="G7" s="222" t="s">
        <v>501</v>
      </c>
      <c r="H7" s="222" t="s">
        <v>504</v>
      </c>
      <c r="I7" s="222" t="s">
        <v>505</v>
      </c>
    </row>
    <row r="8" spans="2:10">
      <c r="B8" s="333" t="s">
        <v>303</v>
      </c>
      <c r="C8" s="343" t="s">
        <v>320</v>
      </c>
      <c r="D8" s="337" t="s">
        <v>436</v>
      </c>
      <c r="E8" s="338" t="s">
        <v>457</v>
      </c>
      <c r="G8" s="222" t="s">
        <v>502</v>
      </c>
      <c r="H8" s="222" t="s">
        <v>491</v>
      </c>
      <c r="I8" s="222" t="s">
        <v>551</v>
      </c>
    </row>
    <row r="9" spans="2:10">
      <c r="B9" s="355" t="s">
        <v>537</v>
      </c>
      <c r="C9" s="354" t="s">
        <v>538</v>
      </c>
      <c r="D9" s="354" t="s">
        <v>319</v>
      </c>
      <c r="E9" s="354" t="s">
        <v>319</v>
      </c>
      <c r="G9" s="222" t="s">
        <v>502</v>
      </c>
      <c r="H9" s="222" t="s">
        <v>493</v>
      </c>
      <c r="I9" s="222" t="s">
        <v>552</v>
      </c>
    </row>
    <row r="10" spans="2:10">
      <c r="B10" s="333" t="s">
        <v>297</v>
      </c>
      <c r="C10" s="337" t="s">
        <v>316</v>
      </c>
      <c r="D10" s="337" t="s">
        <v>308</v>
      </c>
      <c r="E10" s="337" t="s">
        <v>319</v>
      </c>
      <c r="G10" s="222" t="s">
        <v>502</v>
      </c>
      <c r="H10" s="222" t="s">
        <v>498</v>
      </c>
      <c r="I10" s="222" t="s">
        <v>554</v>
      </c>
    </row>
    <row r="11" spans="2:10">
      <c r="B11" s="333" t="s">
        <v>307</v>
      </c>
      <c r="C11" s="337" t="s">
        <v>318</v>
      </c>
      <c r="D11" s="337" t="s">
        <v>308</v>
      </c>
      <c r="E11" s="337" t="s">
        <v>319</v>
      </c>
      <c r="G11" s="222" t="s">
        <v>500</v>
      </c>
      <c r="H11" s="222" t="s">
        <v>497</v>
      </c>
      <c r="I11" s="222" t="s">
        <v>553</v>
      </c>
      <c r="J11" s="241"/>
    </row>
    <row r="12" spans="2:10">
      <c r="B12" s="333" t="s">
        <v>452</v>
      </c>
      <c r="C12" s="337" t="s">
        <v>315</v>
      </c>
      <c r="D12" s="337" t="s">
        <v>308</v>
      </c>
      <c r="E12" s="337" t="s">
        <v>319</v>
      </c>
    </row>
    <row r="13" spans="2:10">
      <c r="B13" s="333" t="s">
        <v>471</v>
      </c>
      <c r="C13" s="337" t="s">
        <v>472</v>
      </c>
      <c r="D13" s="337" t="s">
        <v>319</v>
      </c>
      <c r="E13" s="337" t="s">
        <v>319</v>
      </c>
    </row>
    <row r="14" spans="2:10">
      <c r="B14" s="333" t="s">
        <v>346</v>
      </c>
      <c r="C14" s="343" t="s">
        <v>453</v>
      </c>
      <c r="D14" s="337" t="s">
        <v>436</v>
      </c>
      <c r="E14" s="337" t="s">
        <v>455</v>
      </c>
      <c r="G14" s="356" t="s">
        <v>536</v>
      </c>
    </row>
    <row r="15" spans="2:10">
      <c r="B15" s="333" t="s">
        <v>434</v>
      </c>
      <c r="C15" s="343" t="s">
        <v>435</v>
      </c>
      <c r="D15" s="337" t="s">
        <v>436</v>
      </c>
      <c r="E15" s="337" t="s">
        <v>458</v>
      </c>
      <c r="F15" s="222">
        <v>1</v>
      </c>
      <c r="G15" s="360" t="s">
        <v>559</v>
      </c>
    </row>
    <row r="16" spans="2:10">
      <c r="B16" s="333" t="s">
        <v>437</v>
      </c>
      <c r="C16" s="337" t="s">
        <v>441</v>
      </c>
      <c r="D16" s="337" t="s">
        <v>436</v>
      </c>
      <c r="E16" s="338" t="s">
        <v>459</v>
      </c>
      <c r="F16" s="222">
        <v>2</v>
      </c>
      <c r="G16" s="357" t="s">
        <v>556</v>
      </c>
      <c r="H16" s="143"/>
    </row>
    <row r="17" spans="1:8">
      <c r="B17" s="333" t="s">
        <v>438</v>
      </c>
      <c r="C17" s="337" t="s">
        <v>439</v>
      </c>
      <c r="D17" s="337" t="s">
        <v>436</v>
      </c>
      <c r="E17" s="337" t="s">
        <v>460</v>
      </c>
      <c r="F17" s="222">
        <v>3</v>
      </c>
      <c r="G17" s="357" t="s">
        <v>557</v>
      </c>
      <c r="H17" s="143"/>
    </row>
    <row r="18" spans="1:8">
      <c r="B18" s="333" t="s">
        <v>476</v>
      </c>
      <c r="C18" s="337" t="s">
        <v>440</v>
      </c>
      <c r="D18" s="337" t="s">
        <v>319</v>
      </c>
      <c r="E18" s="337" t="s">
        <v>319</v>
      </c>
      <c r="F18" s="222">
        <v>4</v>
      </c>
      <c r="G18" s="361" t="s">
        <v>558</v>
      </c>
      <c r="H18" s="143"/>
    </row>
    <row r="20" spans="1:8">
      <c r="B20" s="223" t="s">
        <v>321</v>
      </c>
      <c r="C20" s="339"/>
    </row>
    <row r="21" spans="1:8">
      <c r="B21" s="221" t="s">
        <v>546</v>
      </c>
      <c r="C21" s="340"/>
    </row>
    <row r="22" spans="1:8">
      <c r="A22" s="143"/>
      <c r="B22" s="222" t="s">
        <v>544</v>
      </c>
    </row>
    <row r="23" spans="1:8">
      <c r="A23" s="143"/>
      <c r="B23" s="222" t="s">
        <v>545</v>
      </c>
    </row>
    <row r="24" spans="1:8">
      <c r="A24" s="334"/>
      <c r="B24" s="222" t="s">
        <v>547</v>
      </c>
    </row>
    <row r="25" spans="1:8">
      <c r="A25" s="143"/>
      <c r="B25" s="332" t="s">
        <v>530</v>
      </c>
      <c r="C25" s="143"/>
    </row>
    <row r="26" spans="1:8">
      <c r="A26" s="143"/>
      <c r="B26" s="332" t="s">
        <v>531</v>
      </c>
      <c r="C26" s="143"/>
    </row>
    <row r="27" spans="1:8">
      <c r="A27" s="143"/>
      <c r="B27" s="332" t="s">
        <v>532</v>
      </c>
      <c r="C27" s="143"/>
    </row>
    <row r="28" spans="1:8">
      <c r="A28" s="143"/>
      <c r="B28" s="332" t="s">
        <v>533</v>
      </c>
      <c r="C28" s="143"/>
    </row>
    <row r="29" spans="1:8">
      <c r="A29" s="143"/>
      <c r="B29" s="330"/>
    </row>
    <row r="30" spans="1:8">
      <c r="A30" s="143"/>
      <c r="B30" s="331" t="s">
        <v>529</v>
      </c>
      <c r="C30" s="340"/>
    </row>
    <row r="31" spans="1:8">
      <c r="A31" s="143"/>
      <c r="B31" s="332" t="s">
        <v>579</v>
      </c>
      <c r="C31" s="143"/>
    </row>
    <row r="32" spans="1:8">
      <c r="A32" s="143"/>
      <c r="B32" s="332"/>
      <c r="C32" s="143"/>
    </row>
    <row r="33" spans="1:3">
      <c r="A33" s="143"/>
      <c r="B33" s="335" t="s">
        <v>492</v>
      </c>
      <c r="C33" s="334"/>
    </row>
    <row r="34" spans="1:3">
      <c r="A34" s="143"/>
      <c r="B34" s="336" t="s">
        <v>410</v>
      </c>
      <c r="C34" s="143"/>
    </row>
    <row r="35" spans="1:3">
      <c r="A35" s="143"/>
      <c r="B35" s="143"/>
      <c r="C35" s="143"/>
    </row>
    <row r="36" spans="1:3">
      <c r="B36" s="335" t="s">
        <v>473</v>
      </c>
      <c r="C36" s="334"/>
    </row>
    <row r="37" spans="1:3">
      <c r="B37" s="336" t="s">
        <v>409</v>
      </c>
      <c r="C37" s="143"/>
    </row>
    <row r="38" spans="1:3">
      <c r="B38" s="336" t="s">
        <v>520</v>
      </c>
      <c r="C38" s="143"/>
    </row>
    <row r="39" spans="1:3">
      <c r="B39" s="336" t="s">
        <v>322</v>
      </c>
      <c r="C39" s="143"/>
    </row>
    <row r="40" spans="1:3">
      <c r="B40" s="143"/>
      <c r="C40" s="143"/>
    </row>
    <row r="41" spans="1:3">
      <c r="B41" s="335" t="s">
        <v>343</v>
      </c>
      <c r="C41" s="334"/>
    </row>
    <row r="42" spans="1:3">
      <c r="B42" s="336" t="s">
        <v>344</v>
      </c>
      <c r="C42" s="143"/>
    </row>
    <row r="43" spans="1:3">
      <c r="B43" s="143"/>
      <c r="C43" s="143"/>
    </row>
    <row r="44" spans="1:3">
      <c r="B44" s="143"/>
      <c r="C44" s="143"/>
    </row>
  </sheetData>
  <phoneticPr fontId="15" type="noConversion"/>
  <hyperlinks>
    <hyperlink ref="B25" location="'ABC-XYZ분석 (2)'!A1" display="1) 발주 전략" xr:uid="{21E62757-19CD-43F9-A391-DDF316DF091A}"/>
    <hyperlink ref="B42" location="납기준수관리!A1" display="납기기준 일정 vs 실 입고일" xr:uid="{4B985190-106B-4F4E-95D6-7376513FCDFC}"/>
    <hyperlink ref="B34" location="PSI_메인!A1" display="SCM기준 (과거 PSI 트렌드 기준) vs 영업 (미래 시장트렌드, 인사이트, 캠페인 활동)" xr:uid="{422C848C-EBB9-4C0D-90B3-B1A2616E0531}"/>
    <hyperlink ref="B37" location="재고분석!A1" display="1. 회전율 증감 (과거 재고 현황 리뷰 하기 위함, 미래지표x)" xr:uid="{9129B6C6-9463-47EF-9C98-EF700CE48507}"/>
    <hyperlink ref="B26" location="안전재고!A1" display="2)안전재고 설정" xr:uid="{B98E3F86-2267-4F0C-9AE2-782DA4AB90E1}"/>
    <hyperlink ref="B38" location="'ABC-XYZ분석 (2)'!A1" display="2. ABC/XYZ 관리 (XYZ 매월 갱신 권장)" xr:uid="{6BE1F1F3-F355-452D-8F07-481CC13D0C03}"/>
    <hyperlink ref="B39" location="대시보드!A1" display="3. 재고 소진 독려 (마케팅, 캠페인, 페기, 기부 등)" xr:uid="{A69E7976-C0FF-4B81-BBCD-22E6F4D45BAB}"/>
    <hyperlink ref="B5" location="PSI_메인!A1" display="PSI_메인" xr:uid="{B37752B1-C47E-44A2-876D-614EDC697C84}"/>
    <hyperlink ref="B8" location="재고분석!A1" display="재고분석" xr:uid="{F7A3E975-78B8-4302-A54B-9DE1EED68675}"/>
    <hyperlink ref="B7" location="안전재고!A1" display="안전재고" xr:uid="{9587D2C8-D432-47BE-9599-47EA75BD173F}"/>
    <hyperlink ref="B6" location="'ABC-XYZ분석 (2)'!A1" display="ABC-XYZ분석" xr:uid="{C1E1B75C-8FE0-4F78-A50F-174C56F35B9C}"/>
    <hyperlink ref="B14" location="실출고율!A1" display="실출고율" xr:uid="{18A881A2-D456-458D-A9CF-8CAE6BCCEDB6}"/>
    <hyperlink ref="B15" location="결품관리!A1" display="결품관리" xr:uid="{61AE9B3C-B80C-49FF-8207-0E50F4B5DE86}"/>
    <hyperlink ref="B16" location="회전율관리!A1" display="회전율 관리" xr:uid="{AF04CB82-DFB2-4B33-B5C5-B2FF0DF6AFA8}"/>
    <hyperlink ref="B18" location="안정성관리!A1" display="안전성 관리" xr:uid="{36645465-4A9C-4708-8615-F96F04323471}"/>
    <hyperlink ref="B17" location="납기준수관리!A1" display="납기준수 관리" xr:uid="{8BAE925F-5448-4BAE-8412-979DBB523A51}"/>
    <hyperlink ref="B10" location="재고!A1" display="재고" xr:uid="{D06F6C92-7733-499F-A1F6-C653EEB1CEC3}"/>
    <hyperlink ref="B11" location="입항스케줄!A1" display="입항스케줄" xr:uid="{180D7873-0330-4941-82B5-9A7DA3C66E00}"/>
    <hyperlink ref="B12" location="'출고 (2)'!A1" display="출고 (2)" xr:uid="{BB4A1764-8D13-430E-89A9-3E711C5AF4F6}"/>
    <hyperlink ref="B13" location="통합지표!A1" display="통합지표" xr:uid="{C70518F8-6DA5-4380-A2F0-FC4F22F8EF3F}"/>
    <hyperlink ref="B4" location="대시보드!A1" display="대시보드" xr:uid="{2E06CE99-EDB0-4583-96E6-21F3C8476922}"/>
    <hyperlink ref="B27" location="재고분석!A1" display="3)재고 상태 설정" xr:uid="{6A5C7715-2493-41CC-BE41-1721531CB6C7}"/>
    <hyperlink ref="B28" location="'ABC-XYZ분석 (2)'!A1" display="4)발주 여부 설정" xr:uid="{21BAFE27-7BDD-4B88-80B0-8C67A362C53A}"/>
    <hyperlink ref="B31" location="공급물량!A1" display="1. 리드타임 x 일 평균출고량 + 안전재고" xr:uid="{D06D0400-13F8-4025-9FFB-DDA00BC17407}"/>
    <hyperlink ref="B9" location="공급물량!A1" display="공급물량" xr:uid="{4141D3A4-DDD8-4326-8F11-0CF64FD6C2E1}"/>
    <hyperlink ref="G17" location="재고분석!A1" display="적정재고 지표(재고분석) : 등급별 재고 대비 안전재고 비율 (일출고량x리드타임+안전재고)" xr:uid="{503896BC-E652-4615-B22F-1B922C2C4A47}"/>
    <hyperlink ref="G16" location="안전재고!A1" display="안전재고 : ABC 서비스 레벨 + XYZ보정계수 -&gt; 상황에 맞게 적용(수정) 해야함" xr:uid="{3710308C-075E-4390-8B83-B6B5EFB23BE9}"/>
    <hyperlink ref="G15" location="재고!A1" display="현재고" xr:uid="{5263E02B-A220-46B8-9487-65A16ABA9484}"/>
    <hyperlink ref="G18" location="PSI_메인!A1" display="PSI_메인 : 월별 입출고/재고 물량 관리 데이터 -&gt; 발생시 마다 업데이트" xr:uid="{9137ED3C-0C65-416D-AB2A-4E54D4E809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6"/>
  <sheetViews>
    <sheetView showGridLines="0" zoomScale="115" zoomScaleNormal="115" workbookViewId="0">
      <pane xSplit="1" ySplit="2" topLeftCell="B3" activePane="bottomRight" state="frozen"/>
      <selection activeCell="G39" sqref="G39"/>
      <selection pane="topRight" activeCell="G39" sqref="G39"/>
      <selection pane="bottomLeft" activeCell="G39" sqref="G39"/>
      <selection pane="bottomRight" activeCell="L25" sqref="L25"/>
    </sheetView>
  </sheetViews>
  <sheetFormatPr defaultRowHeight="16.5"/>
  <cols>
    <col min="1" max="1" width="0.5" customWidth="1"/>
    <col min="2" max="2" width="18" customWidth="1"/>
    <col min="3" max="3" width="15.625" customWidth="1"/>
    <col min="4" max="4" width="12" customWidth="1"/>
    <col min="5" max="5" width="15" customWidth="1"/>
    <col min="6" max="6" width="12" customWidth="1"/>
    <col min="7" max="7" width="1.375" customWidth="1"/>
    <col min="8" max="8" width="5.75" customWidth="1"/>
    <col min="9" max="9" width="17" customWidth="1"/>
    <col min="10" max="10" width="7.375" bestFit="1" customWidth="1"/>
    <col min="11" max="11" width="14" bestFit="1" customWidth="1"/>
    <col min="12" max="12" width="8.125" bestFit="1" customWidth="1"/>
    <col min="13" max="13" width="9.875" customWidth="1"/>
    <col min="15" max="15" width="7.625" customWidth="1"/>
    <col min="16" max="16" width="9.625" bestFit="1" customWidth="1"/>
    <col min="17" max="17" width="1.625" customWidth="1"/>
    <col min="18" max="18" width="9" style="143" customWidth="1"/>
  </cols>
  <sheetData>
    <row r="1" spans="2:18" ht="3" customHeight="1">
      <c r="H1" s="176" t="s">
        <v>0</v>
      </c>
    </row>
    <row r="2" spans="2:18" ht="24.95" customHeight="1">
      <c r="B2" s="380" t="s">
        <v>1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</row>
    <row r="3" spans="2:18" ht="4.5" customHeight="1"/>
    <row r="4" spans="2:18" ht="18" customHeight="1" thickBot="1">
      <c r="B4" s="1" t="s">
        <v>2</v>
      </c>
      <c r="H4" s="2" t="s">
        <v>3</v>
      </c>
      <c r="M4" s="158" t="s">
        <v>508</v>
      </c>
      <c r="R4" s="157" t="s">
        <v>4</v>
      </c>
    </row>
    <row r="5" spans="2:18" ht="21.6" customHeight="1">
      <c r="B5" s="86" t="s">
        <v>5</v>
      </c>
      <c r="C5" s="79" t="s">
        <v>6</v>
      </c>
      <c r="D5" s="79" t="s">
        <v>7</v>
      </c>
      <c r="E5" s="80" t="s">
        <v>8</v>
      </c>
      <c r="H5" s="95" t="s">
        <v>9</v>
      </c>
      <c r="I5" s="96" t="s">
        <v>10</v>
      </c>
      <c r="J5" s="96" t="s">
        <v>11</v>
      </c>
      <c r="K5" s="96" t="s">
        <v>8</v>
      </c>
      <c r="L5" s="96" t="s">
        <v>12</v>
      </c>
      <c r="M5" s="152" t="s">
        <v>13</v>
      </c>
      <c r="N5" s="97" t="s">
        <v>14</v>
      </c>
      <c r="O5" s="369" t="s">
        <v>448</v>
      </c>
      <c r="P5" s="369" t="s">
        <v>310</v>
      </c>
      <c r="Q5" s="77"/>
      <c r="R5" s="142" t="s">
        <v>542</v>
      </c>
    </row>
    <row r="6" spans="2:18">
      <c r="B6" s="87" t="s">
        <v>15</v>
      </c>
      <c r="C6" s="4">
        <f>COUNTA(재고분석!C2:C100)</f>
        <v>99</v>
      </c>
      <c r="D6" s="3" t="s">
        <v>16</v>
      </c>
      <c r="E6" s="88" t="s">
        <v>17</v>
      </c>
      <c r="H6" s="370">
        <v>1</v>
      </c>
      <c r="I6" s="371" t="str" cm="1">
        <f t="array" ref="I6">IFERROR(INDEX(재고분석!C:C,SMALL(IF((재고분석!N:N="부족")+(재고분석!N:N="재주문필요"),ROW(재고분석!N:N)),1)),"")</f>
        <v>ABC13</v>
      </c>
      <c r="J6" s="371">
        <f>_xlfn.XLOOKUP(I6,PSI_메인!A:A,PSI_메인!B:B)</f>
        <v>0</v>
      </c>
      <c r="K6" s="312" t="str">
        <f>_xlfn.XLOOKUP(I6,재고분석!C:C,재고분석!N:N)</f>
        <v>부족</v>
      </c>
      <c r="L6" s="312">
        <f>SUMIF(재고분석!C:C,대시보드!I6,재고분석!H:H)</f>
        <v>1</v>
      </c>
      <c r="M6" s="153">
        <f>SUMIF(재고분석!C:C,대시보드!I6,재고분석!I:I)</f>
        <v>742</v>
      </c>
      <c r="N6" s="153" t="str">
        <f t="shared" ref="N6:N7" si="0">IF(K6="부족","긴급발주",IF(K6="재주문필요","주문진행",IF(K6="","",IF(K6="과잉","프로모션",IF(K6="적정","정상","")))))</f>
        <v>긴급발주</v>
      </c>
      <c r="O6" s="153" t="str">
        <f>_xlfn.XLOOKUP(I6,재고분석!C:C,재고분석!O:O)</f>
        <v>우수</v>
      </c>
      <c r="P6" s="372" t="str">
        <f>_xlfn.XLOOKUP(I6,'ABC-XYZ분석 (2)'!C:C,'ABC-XYZ분석 (2)'!B:B)</f>
        <v>신재품</v>
      </c>
      <c r="R6" s="359" t="s">
        <v>543</v>
      </c>
    </row>
    <row r="7" spans="2:18">
      <c r="B7" s="87" t="s">
        <v>18</v>
      </c>
      <c r="C7" s="31">
        <f>SUM(재고분석!R2:R100)</f>
        <v>214333893</v>
      </c>
      <c r="D7" s="3" t="s">
        <v>19</v>
      </c>
      <c r="E7" s="88" t="s">
        <v>17</v>
      </c>
      <c r="H7" s="370">
        <v>2</v>
      </c>
      <c r="I7" s="371" t="str" cm="1">
        <f t="array" ref="I7">IFERROR(INDEX(재고분석!C:C,SMALL(IF((재고분석!N:N="부족")+(재고분석!N:N="재주문필요"),ROW(재고분석!N:N)),2)),"")</f>
        <v>ABC14</v>
      </c>
      <c r="J7" s="371">
        <f>_xlfn.XLOOKUP(I7,PSI_메인!A:A,PSI_메인!B:B)</f>
        <v>0</v>
      </c>
      <c r="K7" s="312" t="str">
        <f>IFERROR(INDEX(재고분석!$N:$N,MATCH(I7,재고분석!$C:$C,0)),"")</f>
        <v>부족</v>
      </c>
      <c r="L7" s="312">
        <f>SUMIF(재고분석!C:C,대시보드!I7,재고분석!H:H)</f>
        <v>2</v>
      </c>
      <c r="M7" s="153">
        <f>SUMIF(재고분석!C:C,대시보드!I7,재고분석!I:I)</f>
        <v>47</v>
      </c>
      <c r="N7" s="153" t="str">
        <f t="shared" si="0"/>
        <v>긴급발주</v>
      </c>
      <c r="O7" s="153" t="str">
        <f>_xlfn.XLOOKUP(I7,재고분석!C:C,재고분석!O:O)</f>
        <v>우수</v>
      </c>
      <c r="P7" s="372" t="str">
        <f>_xlfn.XLOOKUP(I7,'ABC-XYZ분석 (2)'!C:C,'ABC-XYZ분석 (2)'!B:B)</f>
        <v>신재품</v>
      </c>
      <c r="R7" s="204" t="s">
        <v>20</v>
      </c>
    </row>
    <row r="8" spans="2:18">
      <c r="B8" s="87" t="s">
        <v>21</v>
      </c>
      <c r="C8" s="216">
        <f>AVERAGE(재고분석!M:M)</f>
        <v>280.19257543280531</v>
      </c>
      <c r="D8" s="3" t="s">
        <v>22</v>
      </c>
      <c r="E8" s="88" t="s">
        <v>17</v>
      </c>
      <c r="H8" s="370">
        <v>3</v>
      </c>
      <c r="I8" s="371" t="str" cm="1">
        <f t="array" ref="I8">IFERROR(INDEX(재고분석!C:C,SMALL(IF((재고분석!N:N="부족")+(재고분석!N:N="재주문필요"),ROW(재고분석!N:N)),3)),"")</f>
        <v>ABC16</v>
      </c>
      <c r="J8" s="371">
        <f>_xlfn.XLOOKUP(I8,PSI_메인!A:A,PSI_메인!B:B)</f>
        <v>0</v>
      </c>
      <c r="K8" s="312" t="str">
        <f>IFERROR(INDEX(재고분석!$N:$N,MATCH(I8,재고분석!$C:$C,0)),"")</f>
        <v>부족</v>
      </c>
      <c r="L8" s="312">
        <f>SUMIF(재고분석!C:C,대시보드!I8,재고분석!H:H)</f>
        <v>24</v>
      </c>
      <c r="M8" s="153">
        <f>SUMIF(재고분석!C:C,대시보드!I8,재고분석!I:I)</f>
        <v>45</v>
      </c>
      <c r="N8" s="153" t="str">
        <f t="shared" ref="N8:N14" si="1">IF(K8="부족","긴급발주",IF(K8="재주문필요","주문진행",IF(K8="","",IF(K8="과잉","프로모션",IF(K8="적정","정상","")))))</f>
        <v>긴급발주</v>
      </c>
      <c r="O8" s="153" t="str">
        <f>_xlfn.XLOOKUP(I8,재고분석!C:C,재고분석!O:O)</f>
        <v>우수</v>
      </c>
      <c r="P8" s="372" t="str">
        <f>_xlfn.XLOOKUP(I8,'ABC-XYZ분석 (2)'!C:C,'ABC-XYZ분석 (2)'!B:B)</f>
        <v>신재품</v>
      </c>
      <c r="R8" s="204" t="s">
        <v>540</v>
      </c>
    </row>
    <row r="9" spans="2:18">
      <c r="B9" s="87" t="s">
        <v>23</v>
      </c>
      <c r="C9" s="4">
        <f>COUNTIF(재고분석!N:N,"부족")</f>
        <v>27</v>
      </c>
      <c r="D9" s="3" t="s">
        <v>16</v>
      </c>
      <c r="E9" s="88" t="str">
        <f>IF(C9&gt;0,"경고","정상")</f>
        <v>경고</v>
      </c>
      <c r="H9" s="370">
        <v>4</v>
      </c>
      <c r="I9" s="371" t="str" cm="1">
        <f t="array" ref="I9">IFERROR(INDEX(재고분석!C:C,SMALL(IF((재고분석!N:N="부족")+(재고분석!N:N="재주문필요"),ROW(재고분석!N:N)),4)),"")</f>
        <v>ABC17</v>
      </c>
      <c r="J9" s="371">
        <f>_xlfn.XLOOKUP(I9,PSI_메인!A:A,PSI_메인!B:B)</f>
        <v>0</v>
      </c>
      <c r="K9" s="312" t="str">
        <f>IFERROR(INDEX(재고분석!$N:$N,MATCH(I9,재고분석!$C:$C,0)),"")</f>
        <v>부족</v>
      </c>
      <c r="L9" s="312">
        <f>SUMIF(재고분석!C:C,대시보드!I9,재고분석!H:H)</f>
        <v>10</v>
      </c>
      <c r="M9" s="153">
        <f>SUMIF(재고분석!C:C,대시보드!I9,재고분석!I:I)</f>
        <v>20</v>
      </c>
      <c r="N9" s="153" t="str">
        <f t="shared" si="1"/>
        <v>긴급발주</v>
      </c>
      <c r="O9" s="153" t="str">
        <f>_xlfn.XLOOKUP(I9,재고분석!C:C,재고분석!O:O)</f>
        <v>우수</v>
      </c>
      <c r="P9" s="372" t="str">
        <f>_xlfn.XLOOKUP(I9,'ABC-XYZ분석 (2)'!C:C,'ABC-XYZ분석 (2)'!B:B)</f>
        <v>신재품</v>
      </c>
      <c r="R9" s="204" t="s">
        <v>541</v>
      </c>
    </row>
    <row r="10" spans="2:18">
      <c r="B10" s="87" t="s">
        <v>24</v>
      </c>
      <c r="C10" s="4">
        <f>COUNTIF(재고분석!N:N,"재주문")</f>
        <v>8</v>
      </c>
      <c r="D10" s="3" t="s">
        <v>16</v>
      </c>
      <c r="E10" s="88" t="str">
        <f>IF(C10&gt;0,"조치필요","정상")</f>
        <v>조치필요</v>
      </c>
      <c r="H10" s="370">
        <v>5</v>
      </c>
      <c r="I10" s="371" t="str" cm="1">
        <f t="array" ref="I10">IFERROR(INDEX(재고분석!C:C,SMALL(IF((재고분석!N:N="부족")+(재고분석!N:N="재주문필요"),ROW(재고분석!N:N)),5)),"")</f>
        <v>ABC18</v>
      </c>
      <c r="J10" s="373">
        <f>_xlfn.XLOOKUP(I10,PSI_메인!A:A,PSI_메인!B:B)</f>
        <v>0</v>
      </c>
      <c r="K10" s="312" t="str">
        <f>IFERROR(INDEX(재고분석!$N:$N,MATCH(I10,재고분석!$C:$C,0)),"")</f>
        <v>부족</v>
      </c>
      <c r="L10" s="312">
        <f>SUMIF(재고분석!C:C,대시보드!I10,재고분석!H:H)</f>
        <v>47</v>
      </c>
      <c r="M10" s="153">
        <f>SUMIF(재고분석!C:C,대시보드!I10,재고분석!I:I)</f>
        <v>69</v>
      </c>
      <c r="N10" s="153" t="str">
        <f t="shared" si="1"/>
        <v>긴급발주</v>
      </c>
      <c r="O10" s="153" t="str">
        <f>_xlfn.XLOOKUP(I10,재고분석!C:C,재고분석!O:O)</f>
        <v>우수</v>
      </c>
      <c r="P10" s="374" t="str">
        <f>_xlfn.XLOOKUP(I10,'ABC-XYZ분석 (2)'!C:C,'ABC-XYZ분석 (2)'!B:B)</f>
        <v>신재품</v>
      </c>
      <c r="R10" s="155"/>
    </row>
    <row r="11" spans="2:18" ht="17.25" customHeight="1" thickBot="1">
      <c r="B11" s="89" t="s">
        <v>25</v>
      </c>
      <c r="C11" s="17">
        <f>COUNTIF(재고분석!N:N,"과잉")</f>
        <v>23</v>
      </c>
      <c r="D11" s="90" t="s">
        <v>16</v>
      </c>
      <c r="E11" s="91" t="str">
        <f>IF(C11&gt;0,"검토필요","정상")</f>
        <v>검토필요</v>
      </c>
      <c r="H11" s="370">
        <v>6</v>
      </c>
      <c r="I11" s="371" t="str" cm="1">
        <f t="array" ref="I11">IFERROR(INDEX(재고분석!C:C,SMALL(IF((재고분석!N:N="부족")+(재고분석!N:N="재주문필요"),ROW(재고분석!N:N)),6)),"")</f>
        <v>ABC19</v>
      </c>
      <c r="J11" s="371">
        <f>_xlfn.XLOOKUP(I11,PSI_메인!A:A,PSI_메인!B:B)</f>
        <v>0</v>
      </c>
      <c r="K11" s="312" t="str">
        <f>IFERROR(INDEX(재고분석!$N:$N,MATCH(I11,재고분석!$C:$C,0)),"")</f>
        <v>부족</v>
      </c>
      <c r="L11" s="312">
        <f>SUMIF(재고분석!C:C,대시보드!I11,재고분석!H:H)</f>
        <v>15</v>
      </c>
      <c r="M11" s="153">
        <f>SUMIF(재고분석!C:C,대시보드!I11,재고분석!I:I)</f>
        <v>24</v>
      </c>
      <c r="N11" s="153" t="str">
        <f t="shared" si="1"/>
        <v>긴급발주</v>
      </c>
      <c r="O11" s="153" t="str">
        <f>_xlfn.XLOOKUP(I11,재고분석!C:C,재고분석!O:O)</f>
        <v>우수</v>
      </c>
      <c r="P11" s="372" t="str">
        <f>_xlfn.XLOOKUP(I11,'ABC-XYZ분석 (2)'!C:C,'ABC-XYZ분석 (2)'!B:B)</f>
        <v>신재품</v>
      </c>
      <c r="R11" s="142" t="s">
        <v>26</v>
      </c>
    </row>
    <row r="12" spans="2:18">
      <c r="H12" s="370">
        <v>7</v>
      </c>
      <c r="I12" s="371" t="str" cm="1">
        <f t="array" ref="I12">IFERROR(INDEX(재고분석!C:C,SMALL(IF((재고분석!N:N="부족")+(재고분석!N:N="재주문필요"),ROW(재고분석!N:N)),7)),"")</f>
        <v>ABC20</v>
      </c>
      <c r="J12" s="371">
        <f>_xlfn.XLOOKUP(I12,PSI_메인!A:A,PSI_메인!B:B)</f>
        <v>0</v>
      </c>
      <c r="K12" s="312" t="str">
        <f>IFERROR(INDEX(재고분석!$N:$N,MATCH(I12,재고분석!$C:$C,0)),"")</f>
        <v>부족</v>
      </c>
      <c r="L12" s="312">
        <f>SUMIF(재고분석!C:C,대시보드!I12,재고분석!H:H)</f>
        <v>3</v>
      </c>
      <c r="M12" s="153">
        <f>SUMIF(재고분석!C:C,대시보드!I12,재고분석!I:I)</f>
        <v>48</v>
      </c>
      <c r="N12" s="153" t="str">
        <f t="shared" si="1"/>
        <v>긴급발주</v>
      </c>
      <c r="O12" s="153" t="str">
        <f>_xlfn.XLOOKUP(I12,재고분석!C:C,재고분석!O:O)</f>
        <v>우수</v>
      </c>
      <c r="P12" s="372" t="str">
        <f>_xlfn.XLOOKUP(I12,'ABC-XYZ분석 (2)'!C:C,'ABC-XYZ분석 (2)'!B:B)</f>
        <v>신재품</v>
      </c>
      <c r="R12" s="358" t="s">
        <v>539</v>
      </c>
    </row>
    <row r="13" spans="2:18" ht="18" customHeight="1" thickBot="1">
      <c r="B13" s="1" t="s">
        <v>27</v>
      </c>
      <c r="H13" s="370">
        <v>8</v>
      </c>
      <c r="I13" s="373" t="str" cm="1">
        <f t="array" ref="I13">IFERROR(INDEX(재고분석!C:C,SMALL(IF((재고분석!N:N="부족")+(재고분석!N:N="재주문필요"),ROW(재고분석!N:N)),8)),"")</f>
        <v>ABC21</v>
      </c>
      <c r="J13" s="373">
        <f>_xlfn.XLOOKUP(I13,PSI_메인!A:A,PSI_메인!B:B)</f>
        <v>0</v>
      </c>
      <c r="K13" s="312" t="str">
        <f>IFERROR(INDEX(재고분석!$N:$N,MATCH(I13,재고분석!$C:$C,0)),"")</f>
        <v>부족</v>
      </c>
      <c r="L13" s="312">
        <f>SUMIF(재고분석!C:C,대시보드!I13,재고분석!H:H)</f>
        <v>6</v>
      </c>
      <c r="M13" s="153">
        <f>SUMIF(재고분석!C:C,대시보드!I13,재고분석!I:I)</f>
        <v>47</v>
      </c>
      <c r="N13" s="153" t="str">
        <f t="shared" si="1"/>
        <v>긴급발주</v>
      </c>
      <c r="O13" s="153" t="str">
        <f>_xlfn.XLOOKUP(I13,재고분석!C:C,재고분석!O:O)</f>
        <v>우수</v>
      </c>
      <c r="P13" s="372" t="str">
        <f>_xlfn.XLOOKUP(I13,'ABC-XYZ분석 (2)'!C:C,'ABC-XYZ분석 (2)'!B:B)</f>
        <v>신재품</v>
      </c>
    </row>
    <row r="14" spans="2:18">
      <c r="B14" s="79" t="s">
        <v>28</v>
      </c>
      <c r="C14" s="79" t="s">
        <v>29</v>
      </c>
      <c r="D14" s="79" t="s">
        <v>30</v>
      </c>
      <c r="E14" s="79" t="s">
        <v>31</v>
      </c>
      <c r="F14" s="80" t="s">
        <v>32</v>
      </c>
      <c r="G14" s="77"/>
      <c r="H14" s="370">
        <v>9</v>
      </c>
      <c r="I14" s="371" t="str" cm="1">
        <f t="array" ref="I14">IFERROR(INDEX(재고분석!C:C,SMALL(IF((재고분석!N:N="부족")+(재고분석!N:N="재주문필요"),ROW(재고분석!N:N)),9)),"")</f>
        <v>ABC22</v>
      </c>
      <c r="J14" s="371">
        <f>_xlfn.XLOOKUP(I14,PSI_메인!A:A,PSI_메인!B:B)</f>
        <v>0</v>
      </c>
      <c r="K14" s="312" t="str">
        <f>IFERROR(INDEX(재고분석!$N:$N,MATCH(I14,재고분석!$C:$C,0)),"")</f>
        <v>부족</v>
      </c>
      <c r="L14" s="312">
        <f>SUMIF(재고분석!C:C,대시보드!I14,재고분석!H:H)</f>
        <v>12</v>
      </c>
      <c r="M14" s="153">
        <f>SUMIF(재고분석!C:C,대시보드!I14,재고분석!I:I)</f>
        <v>350</v>
      </c>
      <c r="N14" s="153" t="str">
        <f t="shared" si="1"/>
        <v>긴급발주</v>
      </c>
      <c r="O14" s="153" t="str">
        <f>_xlfn.XLOOKUP(I14,재고분석!C:C,재고분석!O:O)</f>
        <v>우수</v>
      </c>
      <c r="P14" s="372" t="str">
        <f>_xlfn.XLOOKUP(I14,'ABC-XYZ분석 (2)'!C:C,'ABC-XYZ분석 (2)'!B:B)</f>
        <v>신재품</v>
      </c>
      <c r="R14" s="142" t="s">
        <v>33</v>
      </c>
    </row>
    <row r="15" spans="2:18" ht="17.25" customHeight="1" thickBot="1">
      <c r="B15" s="81" t="s">
        <v>34</v>
      </c>
      <c r="C15" s="6">
        <f ca="1">COUNTIFS(재고분석!F:F,"A",재고분석!G:G,"X")</f>
        <v>10</v>
      </c>
      <c r="D15" s="4">
        <f ca="1">COUNTIFS(재고분석!F:F,"A",재고분석!G:G,"Y")</f>
        <v>16</v>
      </c>
      <c r="E15" s="154">
        <f ca="1">COUNTIFS(재고분석!F:F,"A",재고분석!G:G,"Z")</f>
        <v>14</v>
      </c>
      <c r="F15" s="82">
        <f ca="1">SUM(C15:E15)</f>
        <v>40</v>
      </c>
      <c r="G15" s="78"/>
      <c r="H15" s="375">
        <v>10</v>
      </c>
      <c r="I15" s="376" t="str" cm="1">
        <f t="array" ref="I15">IFERROR(INDEX(재고분석!C:C,SMALL(IF((재고분석!N:N="부족")+(재고분석!N:N="재주문필요"),ROW(재고분석!N:N)),10)),"")</f>
        <v>ABC23</v>
      </c>
      <c r="J15" s="376">
        <f>_xlfn.XLOOKUP(I15,PSI_메인!A:A,PSI_메인!B:B)</f>
        <v>0</v>
      </c>
      <c r="K15" s="377" t="str">
        <f>IFERROR(INDEX(재고분석!$N:$N,MATCH(I15,재고분석!$C:$C,0)),"")</f>
        <v>부족</v>
      </c>
      <c r="L15" s="377">
        <f>SUMIF(재고분석!C:C,대시보드!I15,재고분석!H:H)</f>
        <v>17</v>
      </c>
      <c r="M15" s="313">
        <f>SUMIF(재고분석!C:C,대시보드!I15,재고분석!I:I)</f>
        <v>26</v>
      </c>
      <c r="N15" s="313" t="str">
        <f t="shared" ref="N15" si="2">IF(K15="부족","긴급발주",IF(K15="재주문필요","주문진행",IF(K15="","",IF(K15="과잉","프로모션",IF(K15="적정","정상","")))))</f>
        <v>긴급발주</v>
      </c>
      <c r="O15" s="313" t="str">
        <f>_xlfn.XLOOKUP(I15,재고분석!C:C,재고분석!O:O)</f>
        <v>우수</v>
      </c>
      <c r="P15" s="378" t="str">
        <f>_xlfn.XLOOKUP(I15,'ABC-XYZ분석 (2)'!C:C,'ABC-XYZ분석 (2)'!B:B)</f>
        <v>신재품</v>
      </c>
      <c r="R15" s="142" t="s">
        <v>35</v>
      </c>
    </row>
    <row r="16" spans="2:18">
      <c r="B16" s="81" t="s">
        <v>36</v>
      </c>
      <c r="C16" s="4">
        <f>COUNTIFS(재고분석!F:F,"B",재고분석!G:G,"X")</f>
        <v>6</v>
      </c>
      <c r="D16" s="4">
        <f>COUNTIFS(재고분석!F:F,"B",재고분석!G:G,"Y")</f>
        <v>16</v>
      </c>
      <c r="E16" s="4">
        <f>COUNTIFS(재고분석!F:F,"B",재고분석!G:G,"Z")</f>
        <v>9</v>
      </c>
      <c r="F16" s="82">
        <f>SUM(C16:E16)</f>
        <v>31</v>
      </c>
      <c r="G16" s="78"/>
      <c r="H16" s="13" t="s">
        <v>37</v>
      </c>
      <c r="R16" s="156" t="s">
        <v>38</v>
      </c>
    </row>
    <row r="17" spans="2:18">
      <c r="B17" s="81" t="s">
        <v>39</v>
      </c>
      <c r="C17" s="4">
        <f>COUNTIFS(재고분석!F:F,"C",재고분석!G:G,"X")</f>
        <v>3</v>
      </c>
      <c r="D17" s="4">
        <f>COUNTIFS(재고분석!F:F,"C",재고분석!G:G,"Y")</f>
        <v>12</v>
      </c>
      <c r="E17" s="7">
        <f>COUNTIFS(재고분석!F:F,"C",재고분석!G:G,"Z")</f>
        <v>13</v>
      </c>
      <c r="F17" s="82">
        <f>SUM(C17:E17)</f>
        <v>28</v>
      </c>
      <c r="G17" s="78"/>
      <c r="R17" s="156" t="s">
        <v>40</v>
      </c>
    </row>
    <row r="18" spans="2:18" ht="18" customHeight="1" thickBot="1">
      <c r="B18" s="83" t="s">
        <v>32</v>
      </c>
      <c r="C18" s="84">
        <f ca="1">SUM(C15:C17)</f>
        <v>19</v>
      </c>
      <c r="D18" s="84">
        <f ca="1">SUM(D15:D17)</f>
        <v>44</v>
      </c>
      <c r="E18" s="84">
        <f ca="1">SUM(E15:E17)</f>
        <v>36</v>
      </c>
      <c r="F18" s="85">
        <f ca="1">SUM(F15:F17)</f>
        <v>99</v>
      </c>
      <c r="G18" s="78"/>
      <c r="H18" s="1" t="s">
        <v>41</v>
      </c>
      <c r="R18" s="156" t="s">
        <v>42</v>
      </c>
    </row>
    <row r="19" spans="2:18" ht="17.25" customHeight="1" thickBot="1">
      <c r="H19" s="170" t="s">
        <v>43</v>
      </c>
      <c r="K19" s="8"/>
      <c r="R19" s="156"/>
    </row>
    <row r="20" spans="2:18" ht="44.1" customHeight="1" thickBot="1">
      <c r="B20" s="1" t="s">
        <v>44</v>
      </c>
      <c r="H20" s="159"/>
      <c r="I20" s="160" t="s">
        <v>45</v>
      </c>
      <c r="J20" s="160" t="s">
        <v>11</v>
      </c>
      <c r="K20" s="160" t="s">
        <v>46</v>
      </c>
      <c r="L20" s="161" t="s">
        <v>47</v>
      </c>
      <c r="M20" s="205"/>
      <c r="R20" s="156" t="s">
        <v>48</v>
      </c>
    </row>
    <row r="21" spans="2:18">
      <c r="B21" s="86" t="s">
        <v>49</v>
      </c>
      <c r="C21" s="79" t="s">
        <v>50</v>
      </c>
      <c r="D21" s="79" t="s">
        <v>51</v>
      </c>
      <c r="E21" s="80" t="s">
        <v>14</v>
      </c>
      <c r="H21" s="162">
        <v>1</v>
      </c>
      <c r="I21" s="163" t="str">
        <f>IFERROR(INDEX(재고분석!$C:$C,MATCH(LARGE(재고분석!$M:$M,1),재고분석!$M:$M,0)),"")</f>
        <v>ABC2</v>
      </c>
      <c r="J21" s="179">
        <f>IFERROR(INDEX(재고분석!$D:$D,MATCH(I21,재고분석!$C:$C,0)),"")</f>
        <v>0</v>
      </c>
      <c r="K21" s="172">
        <f>IFERROR(INDEX(재고분석!$J:$J,MATCH(I21,재고분석!$C:$C,0)),0)</f>
        <v>6.333333333333333</v>
      </c>
      <c r="L21" s="206">
        <f>IFERROR(INDEX(재고분석!$M:$M,MATCH(I21,재고분석!$C:$C,0)),0)</f>
        <v>8834.21052631579</v>
      </c>
      <c r="M21" s="217"/>
      <c r="R21" s="156" t="s">
        <v>52</v>
      </c>
    </row>
    <row r="22" spans="2:18">
      <c r="B22" s="87" t="s">
        <v>53</v>
      </c>
      <c r="C22" s="4">
        <f>COUNTIF(재고분석!N:N,B22)</f>
        <v>3</v>
      </c>
      <c r="D22" s="5">
        <f>C22/$C$27*100</f>
        <v>3.0303030303030303</v>
      </c>
      <c r="E22" s="88" t="s">
        <v>518</v>
      </c>
      <c r="H22" s="162">
        <v>2</v>
      </c>
      <c r="I22" s="163" t="str">
        <f>IFERROR(INDEX(재고분석!$C:$C,MATCH(LARGE(재고분석!$M:$M,2),재고분석!$M:$M,0)),"")</f>
        <v>ABC42</v>
      </c>
      <c r="J22" s="163">
        <f>IFERROR(INDEX(재고분석!$D:$D,MATCH(I22,재고분석!$C:$C,0)),"")</f>
        <v>0</v>
      </c>
      <c r="K22" s="173">
        <f>IFERROR(INDEX(재고분석!$J:$J,MATCH(I22,재고분석!$C:$C,0)),0)</f>
        <v>6.666666666666667</v>
      </c>
      <c r="L22" s="207">
        <f>IFERROR(INDEX(재고분석!$M:$M,MATCH(I22,재고분석!$C:$C,0)),0)</f>
        <v>7393.4999999999991</v>
      </c>
      <c r="M22" s="217"/>
      <c r="R22" s="156"/>
    </row>
    <row r="23" spans="2:18">
      <c r="B23" s="87" t="s">
        <v>708</v>
      </c>
      <c r="C23" s="4">
        <f>COUNTIF(재고분석!N:N,B23)</f>
        <v>8</v>
      </c>
      <c r="D23" s="5">
        <f>C23/$C$27*100</f>
        <v>8.0808080808080813</v>
      </c>
      <c r="E23" s="88" t="s">
        <v>54</v>
      </c>
      <c r="H23" s="164">
        <v>3</v>
      </c>
      <c r="I23" s="163" t="str">
        <f>IFERROR(INDEX(재고분석!$C:$C,MATCH(LARGE(재고분석!$M:$M,3),재고분석!$M:$M,0)),"")</f>
        <v>ABC1</v>
      </c>
      <c r="J23" s="163">
        <f>IFERROR(INDEX(재고분석!$D:$D,MATCH(I23,재고분석!$C:$C,0)),"")</f>
        <v>0</v>
      </c>
      <c r="K23" s="173">
        <f>IFERROR(INDEX(재고분석!$J:$J,MATCH(I23,재고분석!$C:$C,0)),0)</f>
        <v>6</v>
      </c>
      <c r="L23" s="208">
        <f>IFERROR(INDEX(재고분석!$M:$M,MATCH(I23,재고분석!$C:$C,0)),0)</f>
        <v>6165</v>
      </c>
      <c r="M23" s="217"/>
      <c r="R23" s="156" t="s">
        <v>55</v>
      </c>
    </row>
    <row r="24" spans="2:18">
      <c r="B24" s="87" t="s">
        <v>56</v>
      </c>
      <c r="C24" s="4">
        <f>COUNTIF(재고분석!N:N,B24)</f>
        <v>27</v>
      </c>
      <c r="D24" s="5">
        <f>C24/$C$27*100</f>
        <v>27.27272727272727</v>
      </c>
      <c r="E24" s="379" t="s">
        <v>57</v>
      </c>
      <c r="H24" s="162">
        <v>4</v>
      </c>
      <c r="I24" s="163" t="str">
        <f>IFERROR(INDEX(재고분석!$C:$C,MATCH(LARGE(재고분석!$M:$M,4),재고분석!$M:$M,0)),"")</f>
        <v>ABC52</v>
      </c>
      <c r="J24" s="163">
        <f>IFERROR(INDEX(재고분석!$D:$D,MATCH(I24,재고분석!$C:$C,0)),"")</f>
        <v>0</v>
      </c>
      <c r="K24" s="173">
        <f>IFERROR(INDEX(재고분석!$J:$J,MATCH(I24,재고분석!$C:$C,0)),0)</f>
        <v>6</v>
      </c>
      <c r="L24" s="207">
        <f>IFERROR(INDEX(재고분석!$M:$M,MATCH(I24,재고분석!$C:$C,0)),0)</f>
        <v>995</v>
      </c>
      <c r="M24" s="217"/>
      <c r="R24" s="156" t="s">
        <v>58</v>
      </c>
    </row>
    <row r="25" spans="2:18" ht="17.25" customHeight="1" thickBot="1">
      <c r="B25" s="99" t="s">
        <v>59</v>
      </c>
      <c r="C25" s="4">
        <f>COUNTIF(재고분석!N:N,B25)</f>
        <v>23</v>
      </c>
      <c r="D25" s="5">
        <f>C25/$C$27*100</f>
        <v>23.232323232323232</v>
      </c>
      <c r="E25" s="88" t="s">
        <v>60</v>
      </c>
      <c r="H25" s="165">
        <v>5</v>
      </c>
      <c r="I25" s="166" t="str">
        <f>IFERROR(INDEX(재고분석!$C:$C,MATCH(LARGE(재고분석!$M:$M,5),재고분석!$M:$M,0)),"")</f>
        <v>ABC94</v>
      </c>
      <c r="J25" s="166">
        <f>IFERROR(INDEX(재고분석!$D:$D,MATCH(I25,재고분석!$C:$C,0)),"")</f>
        <v>0</v>
      </c>
      <c r="K25" s="174">
        <f>IFERROR(INDEX(재고분석!$J:$J,MATCH(I25,재고분석!$C:$C,0)),0)</f>
        <v>86.666666666666671</v>
      </c>
      <c r="L25" s="209">
        <f>IFERROR(INDEX(재고분석!$M:$M,MATCH(I25,재고분석!$C:$C,0)),0)</f>
        <v>916.96153846153845</v>
      </c>
      <c r="M25" s="217"/>
    </row>
    <row r="26" spans="2:18" ht="17.25" customHeight="1">
      <c r="B26" s="323" t="s">
        <v>517</v>
      </c>
      <c r="C26" s="4">
        <f>COUNTIF(재고분석!N:N,B26)</f>
        <v>38</v>
      </c>
      <c r="D26" s="5">
        <f>C26/$C$27*100</f>
        <v>38.383838383838381</v>
      </c>
      <c r="E26" s="320" t="s">
        <v>519</v>
      </c>
      <c r="H26" s="321"/>
      <c r="I26" s="222"/>
      <c r="J26" s="222"/>
      <c r="K26" s="322"/>
      <c r="L26" s="322"/>
      <c r="M26" s="217"/>
    </row>
    <row r="27" spans="2:18" ht="17.25" customHeight="1" thickBot="1">
      <c r="B27" s="83" t="s">
        <v>32</v>
      </c>
      <c r="C27" s="92">
        <f>SUM(C22:C26)</f>
        <v>99</v>
      </c>
      <c r="D27" s="93">
        <f>SUM(D22:D26)</f>
        <v>100</v>
      </c>
      <c r="E27" s="94" t="s">
        <v>319</v>
      </c>
      <c r="H27" s="158"/>
    </row>
    <row r="28" spans="2:18">
      <c r="H28" s="158"/>
    </row>
    <row r="29" spans="2:18" ht="17.25" customHeight="1" thickBot="1">
      <c r="B29" s="12" t="s">
        <v>61</v>
      </c>
      <c r="H29" s="171" t="s">
        <v>62</v>
      </c>
    </row>
    <row r="30" spans="2:18" ht="33.950000000000003" customHeight="1">
      <c r="B30" s="134" t="s">
        <v>63</v>
      </c>
      <c r="H30" s="167"/>
      <c r="I30" s="175" t="s">
        <v>45</v>
      </c>
      <c r="J30" s="168" t="s">
        <v>11</v>
      </c>
      <c r="K30" s="168" t="s">
        <v>46</v>
      </c>
      <c r="L30" s="169" t="s">
        <v>47</v>
      </c>
    </row>
    <row r="31" spans="2:18">
      <c r="B31" s="134" t="s">
        <v>64</v>
      </c>
      <c r="H31" s="162">
        <v>1</v>
      </c>
      <c r="I31" s="163" t="str" cm="1">
        <f t="array" ref="I31">IFERROR(INDEX(재고분석!$C:$C,MATCH(_xlfn.AGGREGATE(15,6,재고분석!$M:$M/(재고분석!$M:$M&gt;0),1),재고분석!$M:$M,0)),"")</f>
        <v>ABC79</v>
      </c>
      <c r="J31" s="163">
        <f>IFERROR(INDEX(재고분석!$D:$D,MATCH(I31,재고분석!$C:$C,0)),"")</f>
        <v>0</v>
      </c>
      <c r="K31" s="265">
        <f>IFERROR(INDEX(재고분석!$J:$J,MATCH(I31,재고분석!$C:$C,0)),0)</f>
        <v>716.33333333333337</v>
      </c>
      <c r="L31" s="211">
        <f>IFERROR(INDEX(재고분석!$M:$M,MATCH(I31,재고분석!$C:$C,0)),0)</f>
        <v>8.3759888320148898E-2</v>
      </c>
      <c r="M31" s="217"/>
    </row>
    <row r="32" spans="2:18">
      <c r="B32" s="134" t="s">
        <v>65</v>
      </c>
      <c r="H32" s="162">
        <v>2</v>
      </c>
      <c r="I32" s="163" t="str" cm="1">
        <f t="array" ref="I32">IFERROR(INDEX(재고분석!$C:$C,MATCH(_xlfn.AGGREGATE(15,6,재고분석!$M:$M/(재고분석!$M:$M&gt;0),2),재고분석!$M:$M,0)),"")</f>
        <v>ABC14</v>
      </c>
      <c r="J32" s="163">
        <f>IFERROR(INDEX(재고분석!$D:$D,MATCH(I32,재고분석!$C:$C,0)),"")</f>
        <v>0</v>
      </c>
      <c r="K32" s="265">
        <f>IFERROR(INDEX(재고분석!$J:$J,MATCH(I32,재고분석!$C:$C,0)),0)</f>
        <v>557.66666666666663</v>
      </c>
      <c r="L32" s="211">
        <f>IFERROR(INDEX(재고분석!$M:$M,MATCH(I32,재고분석!$C:$C,0)),0)</f>
        <v>0.10759115361625822</v>
      </c>
      <c r="M32" s="217"/>
    </row>
    <row r="33" spans="2:13">
      <c r="B33" s="134" t="s">
        <v>66</v>
      </c>
      <c r="H33" s="162">
        <v>3</v>
      </c>
      <c r="I33" s="163" t="str" cm="1">
        <f t="array" ref="I33">IFERROR(INDEX(재고분석!$C:$C,MATCH(_xlfn.AGGREGATE(15,6,재고분석!$M:$M/(재고분석!$M:$M&gt;0),3),재고분석!$M:$M,0)),"")</f>
        <v>ABC20</v>
      </c>
      <c r="J33" s="163">
        <f>IFERROR(INDEX(재고분석!$D:$D,MATCH(I33,재고분석!$C:$C,0)),"")</f>
        <v>0</v>
      </c>
      <c r="K33" s="265">
        <f>IFERROR(INDEX(재고분석!$J:$J,MATCH(I33,재고분석!$C:$C,0)),0)</f>
        <v>279.33333333333331</v>
      </c>
      <c r="L33" s="211">
        <f>IFERROR(INDEX(재고분석!$M:$M,MATCH(I33,재고분석!$C:$C,0)),0)</f>
        <v>0.32219570405727926</v>
      </c>
      <c r="M33" s="217"/>
    </row>
    <row r="34" spans="2:13">
      <c r="B34" s="134" t="s">
        <v>67</v>
      </c>
      <c r="H34" s="162">
        <v>4</v>
      </c>
      <c r="I34" s="163" t="str" cm="1">
        <f t="array" ref="I34">IFERROR(INDEX(재고분석!$C:$C,MATCH(_xlfn.AGGREGATE(15,6,재고분석!$M:$M/(재고분석!$M:$M&gt;0),4),재고분석!$M:$M,0)),"")</f>
        <v>ABC81</v>
      </c>
      <c r="J34" s="163">
        <f>IFERROR(INDEX(재고분석!$D:$D,MATCH(I34,재고분석!$C:$C,0)),"")</f>
        <v>0</v>
      </c>
      <c r="K34" s="265">
        <f>IFERROR(INDEX(재고분석!$J:$J,MATCH(I34,재고분석!$C:$C,0)),0)</f>
        <v>82.333333333333329</v>
      </c>
      <c r="L34" s="211">
        <f>IFERROR(INDEX(재고분석!$M:$M,MATCH(I34,재고분석!$C:$C,0)),0)</f>
        <v>0.36437246963562753</v>
      </c>
      <c r="M34" s="217"/>
    </row>
    <row r="35" spans="2:13" ht="17.25" customHeight="1" thickBot="1">
      <c r="H35" s="165">
        <v>5</v>
      </c>
      <c r="I35" s="166" t="str" cm="1">
        <f t="array" ref="I35">IFERROR(INDEX(재고분석!$C:$C,MATCH(_xlfn.AGGREGATE(15,6,재고분석!$M:$M/(재고분석!$M:$M&gt;0),5),재고분석!$M:$M,0)),"")</f>
        <v>ABC13</v>
      </c>
      <c r="J35" s="166">
        <f>IFERROR(INDEX(재고분석!$D:$D,MATCH(I35,재고분석!$C:$C,0)),"")</f>
        <v>0</v>
      </c>
      <c r="K35" s="266">
        <f>IFERROR(INDEX(재고분석!$J:$J,MATCH(I35,재고분석!$C:$C,0)),0)</f>
        <v>78.333333333333329</v>
      </c>
      <c r="L35" s="212">
        <f>IFERROR(INDEX(재고분석!$M:$M,MATCH(I35,재고분석!$C:$C,0)),0)</f>
        <v>0.38297872340425532</v>
      </c>
      <c r="M35" s="217"/>
    </row>
    <row r="36" spans="2:13">
      <c r="H36" s="13" t="s">
        <v>68</v>
      </c>
    </row>
  </sheetData>
  <phoneticPr fontId="15" type="noConversion"/>
  <conditionalFormatting sqref="L6:L15">
    <cfRule type="cellIs" dxfId="48" priority="1" operator="lessThan">
      <formula>0</formula>
    </cfRule>
  </conditionalFormatting>
  <hyperlinks>
    <hyperlink ref="R12" location="재고분석!A1" display="적정 오른쪽 캡쳐(표) 참조 -&gt; 정상이므로 제외" xr:uid="{3440D70E-8D48-4F96-84A7-31C93CAAF44D}"/>
    <hyperlink ref="R6" location="재고분석!A1" display="긴급 조치가 필요한 상태: 오른쪽 캡쳐(표)참조 " xr:uid="{D97F9D59-226C-4B30-90C5-2B7176BD0B2B}"/>
  </hyperlinks>
  <pageMargins left="0.75" right="0.75" top="1" bottom="1" header="0.5" footer="0.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Z102"/>
  <sheetViews>
    <sheetView zoomScaleNormal="100" workbookViewId="0">
      <pane xSplit="7" ySplit="3" topLeftCell="BQ4" activePane="bottomRight" state="frozen"/>
      <selection activeCell="G39" sqref="G39"/>
      <selection pane="topRight" activeCell="G39" sqref="G39"/>
      <selection pane="bottomLeft" activeCell="G39" sqref="G39"/>
      <selection pane="bottomRight" activeCell="BQ2" sqref="BQ2:BR2"/>
    </sheetView>
  </sheetViews>
  <sheetFormatPr defaultRowHeight="16.5"/>
  <cols>
    <col min="1" max="1" width="11.125" style="158" bestFit="1" customWidth="1"/>
    <col min="2" max="2" width="10" customWidth="1"/>
    <col min="3" max="3" width="7.75" customWidth="1"/>
    <col min="4" max="4" width="7.125" customWidth="1"/>
    <col min="5" max="5" width="9.625" bestFit="1" customWidth="1"/>
    <col min="6" max="6" width="9.5" bestFit="1" customWidth="1"/>
    <col min="7" max="7" width="11.125" customWidth="1"/>
    <col min="8" max="8" width="8.625" bestFit="1" customWidth="1"/>
    <col min="9" max="9" width="7.125" bestFit="1" customWidth="1"/>
    <col min="10" max="10" width="6.5" bestFit="1" customWidth="1"/>
    <col min="11" max="11" width="5.375" bestFit="1" customWidth="1"/>
    <col min="12" max="12" width="5.625" bestFit="1" customWidth="1"/>
    <col min="13" max="14" width="7.125" bestFit="1" customWidth="1"/>
    <col min="15" max="16" width="8.625" bestFit="1" customWidth="1"/>
    <col min="17" max="17" width="7.125" bestFit="1" customWidth="1"/>
    <col min="18" max="18" width="6.5" bestFit="1" customWidth="1"/>
    <col min="19" max="19" width="5.375" bestFit="1" customWidth="1"/>
    <col min="20" max="20" width="5.625" bestFit="1" customWidth="1"/>
    <col min="21" max="22" width="7.125" bestFit="1" customWidth="1"/>
    <col min="23" max="24" width="8.625" bestFit="1" customWidth="1"/>
    <col min="25" max="25" width="7.125" bestFit="1" customWidth="1"/>
    <col min="26" max="26" width="6.5" bestFit="1" customWidth="1"/>
    <col min="27" max="27" width="5.375" bestFit="1" customWidth="1"/>
    <col min="28" max="28" width="5.625" bestFit="1" customWidth="1"/>
    <col min="29" max="30" width="7.125" bestFit="1" customWidth="1"/>
    <col min="31" max="32" width="8.625" bestFit="1" customWidth="1"/>
    <col min="33" max="33" width="7.125" bestFit="1" customWidth="1"/>
    <col min="34" max="34" width="6.5" bestFit="1" customWidth="1"/>
    <col min="35" max="35" width="5.375" bestFit="1" customWidth="1"/>
    <col min="36" max="36" width="5.625" bestFit="1" customWidth="1"/>
    <col min="37" max="38" width="7.125" bestFit="1" customWidth="1"/>
    <col min="39" max="40" width="8.625" bestFit="1" customWidth="1"/>
    <col min="41" max="41" width="7.125" bestFit="1" customWidth="1"/>
    <col min="42" max="42" width="6.5" bestFit="1" customWidth="1"/>
    <col min="43" max="43" width="5.375" bestFit="1" customWidth="1"/>
    <col min="44" max="44" width="5.625" bestFit="1" customWidth="1"/>
    <col min="45" max="46" width="7.125" bestFit="1" customWidth="1"/>
    <col min="47" max="48" width="8.625" bestFit="1" customWidth="1"/>
    <col min="49" max="49" width="7.125" bestFit="1" customWidth="1"/>
    <col min="50" max="50" width="6.5" bestFit="1" customWidth="1"/>
    <col min="51" max="51" width="5.375" bestFit="1" customWidth="1"/>
    <col min="52" max="52" width="5.625" bestFit="1" customWidth="1"/>
    <col min="53" max="54" width="7.125" bestFit="1" customWidth="1"/>
    <col min="55" max="56" width="8.625" bestFit="1" customWidth="1"/>
    <col min="57" max="57" width="7.125" bestFit="1" customWidth="1"/>
    <col min="58" max="58" width="6.5" bestFit="1" customWidth="1"/>
    <col min="59" max="59" width="5.375" bestFit="1" customWidth="1"/>
    <col min="60" max="60" width="5.625" bestFit="1" customWidth="1"/>
    <col min="61" max="62" width="7.125" bestFit="1" customWidth="1"/>
    <col min="63" max="64" width="8.625" bestFit="1" customWidth="1"/>
    <col min="65" max="65" width="7.125" bestFit="1" customWidth="1"/>
    <col min="66" max="66" width="6.5" bestFit="1" customWidth="1"/>
    <col min="67" max="67" width="5.375" bestFit="1" customWidth="1"/>
    <col min="68" max="68" width="5.625" bestFit="1" customWidth="1"/>
    <col min="69" max="70" width="7.125" bestFit="1" customWidth="1"/>
    <col min="71" max="72" width="8.625" bestFit="1" customWidth="1"/>
    <col min="73" max="73" width="7.125" bestFit="1" customWidth="1"/>
    <col min="74" max="74" width="6.5" bestFit="1" customWidth="1"/>
    <col min="75" max="75" width="5.375" bestFit="1" customWidth="1"/>
    <col min="76" max="76" width="5.625" bestFit="1" customWidth="1"/>
    <col min="77" max="78" width="7.125" bestFit="1" customWidth="1"/>
    <col min="79" max="80" width="8.625" bestFit="1" customWidth="1"/>
    <col min="81" max="81" width="7.125" bestFit="1" customWidth="1"/>
    <col min="82" max="82" width="6.5" bestFit="1" customWidth="1"/>
    <col min="83" max="83" width="5.375" bestFit="1" customWidth="1"/>
    <col min="84" max="84" width="5.625" bestFit="1" customWidth="1"/>
    <col min="85" max="86" width="7.125" bestFit="1" customWidth="1"/>
    <col min="87" max="88" width="8.625" bestFit="1" customWidth="1"/>
    <col min="89" max="89" width="7.125" bestFit="1" customWidth="1"/>
    <col min="90" max="90" width="6.5" bestFit="1" customWidth="1"/>
    <col min="91" max="91" width="5.375" bestFit="1" customWidth="1"/>
    <col min="92" max="92" width="5.625" bestFit="1" customWidth="1"/>
    <col min="93" max="94" width="7.125" bestFit="1" customWidth="1"/>
    <col min="95" max="96" width="8.625" bestFit="1" customWidth="1"/>
    <col min="97" max="97" width="7.125" bestFit="1" customWidth="1"/>
    <col min="98" max="98" width="6.5" bestFit="1" customWidth="1"/>
    <col min="99" max="99" width="5.375" bestFit="1" customWidth="1"/>
    <col min="100" max="100" width="5.625" bestFit="1" customWidth="1"/>
    <col min="101" max="102" width="7.125" bestFit="1" customWidth="1"/>
    <col min="103" max="104" width="8.625" bestFit="1" customWidth="1"/>
  </cols>
  <sheetData>
    <row r="1" spans="1:104" ht="16.5" customHeight="1">
      <c r="A1" s="315"/>
      <c r="B1" s="98"/>
      <c r="C1" s="98"/>
      <c r="D1" s="98"/>
      <c r="E1" s="98"/>
      <c r="F1" s="98"/>
      <c r="G1" s="494"/>
      <c r="H1" s="210">
        <v>202512</v>
      </c>
      <c r="I1" s="486">
        <v>202601</v>
      </c>
      <c r="J1" s="487"/>
      <c r="K1" s="487"/>
      <c r="L1" s="487"/>
      <c r="M1" s="487"/>
      <c r="N1" s="487"/>
      <c r="O1" s="487"/>
      <c r="P1" s="488"/>
      <c r="Q1" s="486">
        <v>202602</v>
      </c>
      <c r="R1" s="487"/>
      <c r="S1" s="487"/>
      <c r="T1" s="487"/>
      <c r="U1" s="487"/>
      <c r="V1" s="487"/>
      <c r="W1" s="487"/>
      <c r="X1" s="488"/>
      <c r="Y1" s="486">
        <v>202603</v>
      </c>
      <c r="Z1" s="487"/>
      <c r="AA1" s="487"/>
      <c r="AB1" s="487"/>
      <c r="AC1" s="487"/>
      <c r="AD1" s="487"/>
      <c r="AE1" s="487"/>
      <c r="AF1" s="488"/>
      <c r="AG1" s="486">
        <v>202604</v>
      </c>
      <c r="AH1" s="487"/>
      <c r="AI1" s="487"/>
      <c r="AJ1" s="487"/>
      <c r="AK1" s="487"/>
      <c r="AL1" s="487"/>
      <c r="AM1" s="487"/>
      <c r="AN1" s="488"/>
      <c r="AO1" s="486">
        <v>202605</v>
      </c>
      <c r="AP1" s="487"/>
      <c r="AQ1" s="487"/>
      <c r="AR1" s="487"/>
      <c r="AS1" s="487"/>
      <c r="AT1" s="487"/>
      <c r="AU1" s="487"/>
      <c r="AV1" s="488"/>
      <c r="AW1" s="486">
        <v>202606</v>
      </c>
      <c r="AX1" s="487"/>
      <c r="AY1" s="487"/>
      <c r="AZ1" s="487"/>
      <c r="BA1" s="487"/>
      <c r="BB1" s="487"/>
      <c r="BC1" s="487"/>
      <c r="BD1" s="488"/>
      <c r="BE1" s="486">
        <v>202607</v>
      </c>
      <c r="BF1" s="487"/>
      <c r="BG1" s="487"/>
      <c r="BH1" s="487"/>
      <c r="BI1" s="487"/>
      <c r="BJ1" s="487"/>
      <c r="BK1" s="487"/>
      <c r="BL1" s="488"/>
      <c r="BM1" s="486">
        <v>202608</v>
      </c>
      <c r="BN1" s="487"/>
      <c r="BO1" s="487"/>
      <c r="BP1" s="487"/>
      <c r="BQ1" s="487"/>
      <c r="BR1" s="487"/>
      <c r="BS1" s="487"/>
      <c r="BT1" s="488"/>
      <c r="BU1" s="489">
        <v>202609</v>
      </c>
      <c r="BV1" s="490"/>
      <c r="BW1" s="490"/>
      <c r="BX1" s="490"/>
      <c r="BY1" s="490"/>
      <c r="BZ1" s="490"/>
      <c r="CA1" s="490"/>
      <c r="CB1" s="491"/>
      <c r="CC1" s="486">
        <v>202610</v>
      </c>
      <c r="CD1" s="487"/>
      <c r="CE1" s="487"/>
      <c r="CF1" s="487"/>
      <c r="CG1" s="487"/>
      <c r="CH1" s="487"/>
      <c r="CI1" s="487"/>
      <c r="CJ1" s="488"/>
      <c r="CK1" s="489">
        <v>202611</v>
      </c>
      <c r="CL1" s="490"/>
      <c r="CM1" s="490"/>
      <c r="CN1" s="490"/>
      <c r="CO1" s="490"/>
      <c r="CP1" s="490"/>
      <c r="CQ1" s="490"/>
      <c r="CR1" s="491"/>
      <c r="CS1" s="486">
        <v>202612</v>
      </c>
      <c r="CT1" s="487"/>
      <c r="CU1" s="487"/>
      <c r="CV1" s="487"/>
      <c r="CW1" s="487"/>
      <c r="CX1" s="487"/>
      <c r="CY1" s="487"/>
      <c r="CZ1" s="488"/>
    </row>
    <row r="2" spans="1:104">
      <c r="A2" s="437"/>
      <c r="B2" s="98"/>
      <c r="C2" s="98"/>
      <c r="D2" s="98"/>
      <c r="E2" s="98"/>
      <c r="F2" s="98"/>
      <c r="G2" s="484"/>
      <c r="H2" s="24" t="s">
        <v>69</v>
      </c>
      <c r="I2" s="485" t="s">
        <v>70</v>
      </c>
      <c r="J2" s="484"/>
      <c r="K2" s="484"/>
      <c r="L2" s="484"/>
      <c r="M2" s="483" t="s">
        <v>71</v>
      </c>
      <c r="N2" s="484"/>
      <c r="O2" s="481" t="s">
        <v>69</v>
      </c>
      <c r="P2" s="482"/>
      <c r="Q2" s="485" t="s">
        <v>70</v>
      </c>
      <c r="R2" s="484"/>
      <c r="S2" s="484"/>
      <c r="T2" s="484"/>
      <c r="U2" s="483" t="s">
        <v>71</v>
      </c>
      <c r="V2" s="484"/>
      <c r="W2" s="481" t="s">
        <v>69</v>
      </c>
      <c r="X2" s="482"/>
      <c r="Y2" s="485" t="s">
        <v>70</v>
      </c>
      <c r="Z2" s="484"/>
      <c r="AA2" s="484"/>
      <c r="AB2" s="484"/>
      <c r="AC2" s="483" t="s">
        <v>71</v>
      </c>
      <c r="AD2" s="484"/>
      <c r="AE2" s="481" t="s">
        <v>69</v>
      </c>
      <c r="AF2" s="482"/>
      <c r="AG2" s="485" t="s">
        <v>70</v>
      </c>
      <c r="AH2" s="484"/>
      <c r="AI2" s="484"/>
      <c r="AJ2" s="484"/>
      <c r="AK2" s="483" t="s">
        <v>71</v>
      </c>
      <c r="AL2" s="484"/>
      <c r="AM2" s="481" t="s">
        <v>69</v>
      </c>
      <c r="AN2" s="482"/>
      <c r="AO2" s="485" t="s">
        <v>70</v>
      </c>
      <c r="AP2" s="484"/>
      <c r="AQ2" s="484"/>
      <c r="AR2" s="484"/>
      <c r="AS2" s="483" t="s">
        <v>71</v>
      </c>
      <c r="AT2" s="484"/>
      <c r="AU2" s="481" t="s">
        <v>69</v>
      </c>
      <c r="AV2" s="482"/>
      <c r="AW2" s="485" t="s">
        <v>70</v>
      </c>
      <c r="AX2" s="484"/>
      <c r="AY2" s="484"/>
      <c r="AZ2" s="484"/>
      <c r="BA2" s="483" t="s">
        <v>71</v>
      </c>
      <c r="BB2" s="484"/>
      <c r="BC2" s="481" t="s">
        <v>69</v>
      </c>
      <c r="BD2" s="482"/>
      <c r="BE2" s="485" t="s">
        <v>70</v>
      </c>
      <c r="BF2" s="484"/>
      <c r="BG2" s="484"/>
      <c r="BH2" s="484"/>
      <c r="BI2" s="483" t="s">
        <v>71</v>
      </c>
      <c r="BJ2" s="484"/>
      <c r="BK2" s="481" t="s">
        <v>69</v>
      </c>
      <c r="BL2" s="482"/>
      <c r="BM2" s="485" t="s">
        <v>70</v>
      </c>
      <c r="BN2" s="484"/>
      <c r="BO2" s="484"/>
      <c r="BP2" s="484"/>
      <c r="BQ2" s="483" t="s">
        <v>71</v>
      </c>
      <c r="BR2" s="484"/>
      <c r="BS2" s="481" t="s">
        <v>69</v>
      </c>
      <c r="BT2" s="482"/>
      <c r="BU2" s="492" t="s">
        <v>70</v>
      </c>
      <c r="BV2" s="493"/>
      <c r="BW2" s="493"/>
      <c r="BX2" s="480"/>
      <c r="BY2" s="479" t="s">
        <v>71</v>
      </c>
      <c r="BZ2" s="480"/>
      <c r="CA2" s="479" t="s">
        <v>69</v>
      </c>
      <c r="CB2" s="480"/>
      <c r="CC2" s="492" t="s">
        <v>70</v>
      </c>
      <c r="CD2" s="493"/>
      <c r="CE2" s="493"/>
      <c r="CF2" s="480"/>
      <c r="CG2" s="479" t="s">
        <v>71</v>
      </c>
      <c r="CH2" s="480"/>
      <c r="CI2" s="479" t="s">
        <v>69</v>
      </c>
      <c r="CJ2" s="480"/>
      <c r="CK2" s="492" t="s">
        <v>703</v>
      </c>
      <c r="CL2" s="493"/>
      <c r="CM2" s="493"/>
      <c r="CN2" s="480"/>
      <c r="CO2" s="479" t="s">
        <v>71</v>
      </c>
      <c r="CP2" s="480"/>
      <c r="CQ2" s="479" t="s">
        <v>69</v>
      </c>
      <c r="CR2" s="480"/>
      <c r="CS2" s="485" t="s">
        <v>70</v>
      </c>
      <c r="CT2" s="484"/>
      <c r="CU2" s="484"/>
      <c r="CV2" s="484"/>
      <c r="CW2" s="483" t="s">
        <v>71</v>
      </c>
      <c r="CX2" s="484"/>
      <c r="CY2" s="481" t="s">
        <v>69</v>
      </c>
      <c r="CZ2" s="482"/>
    </row>
    <row r="3" spans="1:104" s="25" customFormat="1" ht="33" customHeight="1">
      <c r="A3" s="19" t="s">
        <v>10</v>
      </c>
      <c r="B3" s="19" t="s">
        <v>11</v>
      </c>
      <c r="C3" s="19" t="s">
        <v>72</v>
      </c>
      <c r="D3" s="19" t="s">
        <v>73</v>
      </c>
      <c r="E3" s="19" t="s">
        <v>294</v>
      </c>
      <c r="F3" s="19" t="s">
        <v>295</v>
      </c>
      <c r="G3" s="20" t="s">
        <v>74</v>
      </c>
      <c r="H3" s="24" t="s">
        <v>75</v>
      </c>
      <c r="I3" s="21" t="s">
        <v>76</v>
      </c>
      <c r="J3" s="22" t="s">
        <v>77</v>
      </c>
      <c r="K3" s="22" t="s">
        <v>78</v>
      </c>
      <c r="L3" s="22" t="s">
        <v>79</v>
      </c>
      <c r="M3" s="22" t="s">
        <v>80</v>
      </c>
      <c r="N3" s="22" t="s">
        <v>81</v>
      </c>
      <c r="O3" s="22" t="s">
        <v>82</v>
      </c>
      <c r="P3" s="23" t="s">
        <v>75</v>
      </c>
      <c r="Q3" s="21" t="s">
        <v>76</v>
      </c>
      <c r="R3" s="22" t="s">
        <v>77</v>
      </c>
      <c r="S3" s="22" t="s">
        <v>78</v>
      </c>
      <c r="T3" s="22" t="s">
        <v>79</v>
      </c>
      <c r="U3" s="22" t="s">
        <v>80</v>
      </c>
      <c r="V3" s="22" t="s">
        <v>81</v>
      </c>
      <c r="W3" s="22" t="s">
        <v>82</v>
      </c>
      <c r="X3" s="23" t="s">
        <v>75</v>
      </c>
      <c r="Y3" s="21" t="s">
        <v>76</v>
      </c>
      <c r="Z3" s="22" t="s">
        <v>77</v>
      </c>
      <c r="AA3" s="22" t="s">
        <v>78</v>
      </c>
      <c r="AB3" s="22" t="s">
        <v>79</v>
      </c>
      <c r="AC3" s="22" t="s">
        <v>80</v>
      </c>
      <c r="AD3" s="22" t="s">
        <v>81</v>
      </c>
      <c r="AE3" s="22" t="s">
        <v>82</v>
      </c>
      <c r="AF3" s="23" t="s">
        <v>75</v>
      </c>
      <c r="AG3" s="21" t="s">
        <v>76</v>
      </c>
      <c r="AH3" s="22" t="s">
        <v>77</v>
      </c>
      <c r="AI3" s="22" t="s">
        <v>78</v>
      </c>
      <c r="AJ3" s="22" t="s">
        <v>79</v>
      </c>
      <c r="AK3" s="22" t="s">
        <v>80</v>
      </c>
      <c r="AL3" s="22" t="s">
        <v>81</v>
      </c>
      <c r="AM3" s="22" t="s">
        <v>82</v>
      </c>
      <c r="AN3" s="23" t="s">
        <v>75</v>
      </c>
      <c r="AO3" s="21" t="s">
        <v>76</v>
      </c>
      <c r="AP3" s="22" t="s">
        <v>77</v>
      </c>
      <c r="AQ3" s="22" t="s">
        <v>78</v>
      </c>
      <c r="AR3" s="22" t="s">
        <v>79</v>
      </c>
      <c r="AS3" s="22" t="s">
        <v>80</v>
      </c>
      <c r="AT3" s="22" t="s">
        <v>81</v>
      </c>
      <c r="AU3" s="22" t="s">
        <v>82</v>
      </c>
      <c r="AV3" s="23" t="s">
        <v>75</v>
      </c>
      <c r="AW3" s="21" t="s">
        <v>76</v>
      </c>
      <c r="AX3" s="22" t="s">
        <v>77</v>
      </c>
      <c r="AY3" s="22" t="s">
        <v>78</v>
      </c>
      <c r="AZ3" s="22" t="s">
        <v>79</v>
      </c>
      <c r="BA3" s="22" t="s">
        <v>80</v>
      </c>
      <c r="BB3" s="22" t="s">
        <v>81</v>
      </c>
      <c r="BC3" s="22" t="s">
        <v>82</v>
      </c>
      <c r="BD3" s="23" t="s">
        <v>75</v>
      </c>
      <c r="BE3" s="21" t="s">
        <v>76</v>
      </c>
      <c r="BF3" s="22" t="s">
        <v>77</v>
      </c>
      <c r="BG3" s="22" t="s">
        <v>78</v>
      </c>
      <c r="BH3" s="22" t="s">
        <v>79</v>
      </c>
      <c r="BI3" s="22" t="s">
        <v>80</v>
      </c>
      <c r="BJ3" s="22" t="s">
        <v>81</v>
      </c>
      <c r="BK3" s="22" t="s">
        <v>82</v>
      </c>
      <c r="BL3" s="23" t="s">
        <v>75</v>
      </c>
      <c r="BM3" s="21" t="s">
        <v>76</v>
      </c>
      <c r="BN3" s="22" t="s">
        <v>77</v>
      </c>
      <c r="BO3" s="22" t="s">
        <v>78</v>
      </c>
      <c r="BP3" s="22" t="s">
        <v>79</v>
      </c>
      <c r="BQ3" s="22" t="s">
        <v>80</v>
      </c>
      <c r="BR3" s="22" t="s">
        <v>81</v>
      </c>
      <c r="BS3" s="22" t="s">
        <v>82</v>
      </c>
      <c r="BT3" s="23" t="s">
        <v>75</v>
      </c>
      <c r="BU3" s="21" t="s">
        <v>76</v>
      </c>
      <c r="BV3" s="22" t="s">
        <v>77</v>
      </c>
      <c r="BW3" s="22" t="s">
        <v>78</v>
      </c>
      <c r="BX3" s="22" t="s">
        <v>79</v>
      </c>
      <c r="BY3" s="22" t="s">
        <v>80</v>
      </c>
      <c r="BZ3" s="22" t="s">
        <v>81</v>
      </c>
      <c r="CA3" s="22" t="s">
        <v>82</v>
      </c>
      <c r="CB3" s="23" t="s">
        <v>75</v>
      </c>
      <c r="CC3" s="21" t="s">
        <v>76</v>
      </c>
      <c r="CD3" s="22" t="s">
        <v>77</v>
      </c>
      <c r="CE3" s="22" t="s">
        <v>78</v>
      </c>
      <c r="CF3" s="22" t="s">
        <v>79</v>
      </c>
      <c r="CG3" s="22" t="s">
        <v>80</v>
      </c>
      <c r="CH3" s="22" t="s">
        <v>81</v>
      </c>
      <c r="CI3" s="22" t="s">
        <v>82</v>
      </c>
      <c r="CJ3" s="23" t="s">
        <v>75</v>
      </c>
      <c r="CK3" s="21" t="s">
        <v>76</v>
      </c>
      <c r="CL3" s="22" t="s">
        <v>77</v>
      </c>
      <c r="CM3" s="22" t="s">
        <v>78</v>
      </c>
      <c r="CN3" s="22" t="s">
        <v>79</v>
      </c>
      <c r="CO3" s="22" t="s">
        <v>80</v>
      </c>
      <c r="CP3" s="22" t="s">
        <v>81</v>
      </c>
      <c r="CQ3" s="22" t="s">
        <v>82</v>
      </c>
      <c r="CR3" s="23" t="s">
        <v>75</v>
      </c>
      <c r="CS3" s="21" t="s">
        <v>76</v>
      </c>
      <c r="CT3" s="22" t="s">
        <v>77</v>
      </c>
      <c r="CU3" s="22" t="s">
        <v>78</v>
      </c>
      <c r="CV3" s="22" t="s">
        <v>79</v>
      </c>
      <c r="CW3" s="22" t="s">
        <v>80</v>
      </c>
      <c r="CX3" s="22" t="s">
        <v>81</v>
      </c>
      <c r="CY3" s="22" t="s">
        <v>82</v>
      </c>
      <c r="CZ3" s="23" t="s">
        <v>75</v>
      </c>
    </row>
    <row r="4" spans="1:104">
      <c r="A4" s="28" t="s">
        <v>580</v>
      </c>
      <c r="B4" s="382"/>
      <c r="C4" s="27"/>
      <c r="D4" s="28" t="str">
        <f>_xlfn.XLOOKUP(A4,'ABC-XYZ분석 (2)'!C:C,'ABC-XYZ분석 (2)'!I:I)</f>
        <v>여름</v>
      </c>
      <c r="E4" s="28" t="str">
        <f>_xlfn.XLOOKUP(A4,'ABC-XYZ분석 (2)'!C:C,'ABC-XYZ분석 (2)'!AC:AC)</f>
        <v>A</v>
      </c>
      <c r="F4" s="3" t="str">
        <f>_xlfn.XLOOKUP(A4,'ABC-XYZ분석 (2)'!C:C,'ABC-XYZ분석 (2)'!AG:AG)</f>
        <v>Z</v>
      </c>
      <c r="G4" s="14">
        <f>SUMIF(재고!C:C,PSI_메인!A4,재고!I:I)</f>
        <v>1233</v>
      </c>
      <c r="H4" s="18">
        <v>1707</v>
      </c>
      <c r="I4" s="15">
        <v>0</v>
      </c>
      <c r="J4" s="9">
        <v>0</v>
      </c>
      <c r="K4" s="10">
        <v>0</v>
      </c>
      <c r="L4" s="11">
        <v>0</v>
      </c>
      <c r="M4" s="9">
        <f>SUMIFS(입항스케줄!J:J,입항스케줄!C:C,PSI_메인!A4,입항스케줄!U:U,"2601")</f>
        <v>0</v>
      </c>
      <c r="N4" s="11">
        <f>SUMIFS(입항스케줄!J:J,입항스케줄!C:C,PSI_메인!A4,입항스케줄!V:V,"2601")</f>
        <v>0</v>
      </c>
      <c r="O4" s="4">
        <f>H4+M4-K4</f>
        <v>1707</v>
      </c>
      <c r="P4" s="16">
        <f>H4+N4-L4</f>
        <v>1707</v>
      </c>
      <c r="Q4" s="15">
        <v>0</v>
      </c>
      <c r="R4" s="9">
        <v>0</v>
      </c>
      <c r="S4" s="10">
        <v>0</v>
      </c>
      <c r="T4" s="11">
        <v>0</v>
      </c>
      <c r="U4" s="9">
        <f>SUMIFS(입항스케줄!J:J,입항스케줄!C:C,PSI_메인!A4,입항스케줄!U:U,"2602")</f>
        <v>0</v>
      </c>
      <c r="V4" s="11">
        <f>SUMIFS(입항스케줄!J:J,입항스케줄!C:C,PSI_메인!A4,입항스케줄!V:V,"2602")</f>
        <v>0</v>
      </c>
      <c r="W4" s="4">
        <f>P4+U4-S4</f>
        <v>1707</v>
      </c>
      <c r="X4" s="16">
        <f>P4+V4-T4</f>
        <v>1707</v>
      </c>
      <c r="Y4" s="15">
        <v>0</v>
      </c>
      <c r="Z4" s="9">
        <v>0</v>
      </c>
      <c r="AA4" s="10">
        <f t="shared" ref="AA4:AA67" si="0">ROUND((Y4+Z4)/2,0)</f>
        <v>0</v>
      </c>
      <c r="AB4" s="11">
        <v>0</v>
      </c>
      <c r="AC4" s="9">
        <f>SUMIFS(입항스케줄!J:J,입항스케줄!C:C,PSI_메인!A4,입항스케줄!U:U,"2603")</f>
        <v>0</v>
      </c>
      <c r="AD4" s="11">
        <f>SUMIFS(입항스케줄!J:J,입항스케줄!C:C,PSI_메인!A4,입항스케줄!V:V,"2603")</f>
        <v>0</v>
      </c>
      <c r="AE4" s="4">
        <f>X4+AC4-AA4</f>
        <v>1707</v>
      </c>
      <c r="AF4" s="16">
        <f>X4+AD4-AB4</f>
        <v>1707</v>
      </c>
      <c r="AG4" s="15">
        <v>0</v>
      </c>
      <c r="AH4" s="9">
        <v>0</v>
      </c>
      <c r="AI4" s="10">
        <f t="shared" ref="AI4:AI67" si="1">ROUND((AG4+AH4)/2,0)</f>
        <v>0</v>
      </c>
      <c r="AJ4" s="11">
        <v>0</v>
      </c>
      <c r="AK4" s="9">
        <f>SUMIFS(입항스케줄!J:J,입항스케줄!C:C,PSI_메인!A4,입항스케줄!U:U,"2604")</f>
        <v>0</v>
      </c>
      <c r="AL4" s="11">
        <f>SUMIFS(입항스케줄!J:J,입항스케줄!C:C,PSI_메인!A4,입항스케줄!V:V,"2604")</f>
        <v>0</v>
      </c>
      <c r="AM4" s="4">
        <f>AF4+AK4-AI4</f>
        <v>1707</v>
      </c>
      <c r="AN4" s="16">
        <f>AF4+AL4-AJ4</f>
        <v>1707</v>
      </c>
      <c r="AO4" s="15">
        <v>0</v>
      </c>
      <c r="AP4" s="9">
        <v>0</v>
      </c>
      <c r="AQ4" s="10">
        <f t="shared" ref="AQ4:AQ67" si="2">ROUND((AO4+AP4)/2,0)</f>
        <v>0</v>
      </c>
      <c r="AR4" s="11">
        <v>0</v>
      </c>
      <c r="AS4" s="9"/>
      <c r="AT4" s="11"/>
      <c r="AU4" s="4">
        <f>AN4+AS4-AQ4</f>
        <v>1707</v>
      </c>
      <c r="AV4" s="16">
        <f>AN4+AT4-AR4</f>
        <v>1707</v>
      </c>
      <c r="AW4" s="15">
        <v>0</v>
      </c>
      <c r="AX4" s="9">
        <v>0</v>
      </c>
      <c r="AY4" s="10">
        <f t="shared" ref="AY4:AY67" si="3">ROUND((AW4+AX4)/2,0)</f>
        <v>0</v>
      </c>
      <c r="AZ4" s="11">
        <v>0</v>
      </c>
      <c r="BA4" s="9"/>
      <c r="BB4" s="11"/>
      <c r="BC4" s="4">
        <f>AV4+BA4-AY4</f>
        <v>1707</v>
      </c>
      <c r="BD4" s="16">
        <f>AV4+BB4-AZ4</f>
        <v>1707</v>
      </c>
      <c r="BE4" s="15">
        <v>0</v>
      </c>
      <c r="BF4" s="9">
        <v>0</v>
      </c>
      <c r="BG4" s="10">
        <f t="shared" ref="BG4:BG67" si="4">ROUND((BE4+BF4)/2,0)</f>
        <v>0</v>
      </c>
      <c r="BH4" s="11">
        <v>0</v>
      </c>
      <c r="BI4" s="9"/>
      <c r="BJ4" s="11"/>
      <c r="BK4" s="4">
        <f>BD4+BI4-BG4</f>
        <v>1707</v>
      </c>
      <c r="BL4" s="16">
        <f>BD4+BJ4-BH4</f>
        <v>1707</v>
      </c>
      <c r="BM4" s="15">
        <v>0</v>
      </c>
      <c r="BN4" s="9">
        <v>0</v>
      </c>
      <c r="BO4" s="10">
        <f t="shared" ref="BO4:BO67" si="5">ROUND((BM4+BN4)/2,0)</f>
        <v>0</v>
      </c>
      <c r="BP4" s="11">
        <v>0</v>
      </c>
      <c r="BQ4" s="9"/>
      <c r="BR4" s="11"/>
      <c r="BS4" s="4">
        <f>BL4+BQ4-BO4</f>
        <v>1707</v>
      </c>
      <c r="BT4" s="16">
        <f>BL4+BR4-BP4</f>
        <v>1707</v>
      </c>
      <c r="BU4" s="15">
        <v>0</v>
      </c>
      <c r="BV4" s="9">
        <v>0</v>
      </c>
      <c r="BW4" s="10">
        <f t="shared" ref="BW4:BW67" si="6">ROUND((BU4+BV4)/2,0)</f>
        <v>0</v>
      </c>
      <c r="BX4" s="11">
        <v>0</v>
      </c>
      <c r="BY4" s="9"/>
      <c r="BZ4" s="11"/>
      <c r="CA4" s="4">
        <f>BT4+BY4-BW4</f>
        <v>1707</v>
      </c>
      <c r="CB4" s="16">
        <f>BT4+BZ4-BX4</f>
        <v>1707</v>
      </c>
      <c r="CC4" s="15">
        <v>0</v>
      </c>
      <c r="CD4" s="9">
        <v>0</v>
      </c>
      <c r="CE4" s="10">
        <f t="shared" ref="CE4:CE67" si="7">ROUND((CC4+CD4)/2,0)</f>
        <v>0</v>
      </c>
      <c r="CF4" s="11">
        <v>0</v>
      </c>
      <c r="CG4" s="9"/>
      <c r="CH4" s="11"/>
      <c r="CI4" s="4">
        <f>CB4+CG4-CE4</f>
        <v>1707</v>
      </c>
      <c r="CJ4" s="16">
        <f>CB4+CH4-CF4</f>
        <v>1707</v>
      </c>
      <c r="CK4" s="15">
        <v>0</v>
      </c>
      <c r="CL4" s="9">
        <v>0</v>
      </c>
      <c r="CM4" s="10">
        <f t="shared" ref="CM4:CM67" si="8">ROUND((CK4+CL4)/2,0)</f>
        <v>0</v>
      </c>
      <c r="CN4" s="11">
        <v>0</v>
      </c>
      <c r="CO4" s="9"/>
      <c r="CP4" s="11"/>
      <c r="CQ4" s="4">
        <f>CJ4+CO4-CM4</f>
        <v>1707</v>
      </c>
      <c r="CR4" s="16">
        <f>CJ4+CP4-CN4</f>
        <v>1707</v>
      </c>
      <c r="CS4" s="15">
        <v>0</v>
      </c>
      <c r="CT4" s="9">
        <v>0</v>
      </c>
      <c r="CU4" s="10">
        <f t="shared" ref="CU4:CU67" si="9">ROUND((CS4+CT4)/2,0)</f>
        <v>0</v>
      </c>
      <c r="CV4" s="11">
        <v>0</v>
      </c>
      <c r="CW4" s="9"/>
      <c r="CX4" s="11"/>
      <c r="CY4" s="4">
        <f>CR4+CW4-CU4</f>
        <v>1707</v>
      </c>
      <c r="CZ4" s="16">
        <f>CR4+CX4-CV4</f>
        <v>1707</v>
      </c>
    </row>
    <row r="5" spans="1:104">
      <c r="A5" s="28" t="s">
        <v>582</v>
      </c>
      <c r="B5" s="382"/>
      <c r="C5" s="27"/>
      <c r="D5" s="28" t="str">
        <f>_xlfn.XLOOKUP(A5,'ABC-XYZ분석 (2)'!C:C,'ABC-XYZ분석 (2)'!I:I)</f>
        <v>여름</v>
      </c>
      <c r="E5" s="28" t="str">
        <f>_xlfn.XLOOKUP(A5,'ABC-XYZ분석 (2)'!C:C,'ABC-XYZ분석 (2)'!AC:AC)</f>
        <v>A</v>
      </c>
      <c r="F5" s="3" t="str">
        <f>_xlfn.XLOOKUP(A5,'ABC-XYZ분석 (2)'!C:C,'ABC-XYZ분석 (2)'!AG:AG)</f>
        <v>Z</v>
      </c>
      <c r="G5" s="14">
        <f>SUMIF(재고!C:C,PSI_메인!A5,재고!I:I)</f>
        <v>1865</v>
      </c>
      <c r="H5" s="18">
        <v>2987</v>
      </c>
      <c r="I5" s="15">
        <v>0</v>
      </c>
      <c r="J5" s="9">
        <v>0</v>
      </c>
      <c r="K5" s="10">
        <v>0</v>
      </c>
      <c r="L5" s="11">
        <v>0</v>
      </c>
      <c r="M5" s="9">
        <f>SUMIFS(입항스케줄!J:J,입항스케줄!C:C,PSI_메인!A5,입항스케줄!U:U,"2601")</f>
        <v>0</v>
      </c>
      <c r="N5" s="11">
        <f>SUMIFS(입항스케줄!J:J,입항스케줄!C:C,PSI_메인!A5,입항스케줄!V:V,"2601")</f>
        <v>0</v>
      </c>
      <c r="O5" s="4">
        <f>H5+M5-K5</f>
        <v>2987</v>
      </c>
      <c r="P5" s="16">
        <f>H5+N5-L5</f>
        <v>2987</v>
      </c>
      <c r="Q5" s="15">
        <v>0</v>
      </c>
      <c r="R5" s="9">
        <v>0</v>
      </c>
      <c r="S5" s="10">
        <v>0</v>
      </c>
      <c r="T5" s="11">
        <v>0</v>
      </c>
      <c r="U5" s="9">
        <f>SUMIFS(입항스케줄!J:J,입항스케줄!C:C,PSI_메인!A5,입항스케줄!U:U,"2602")</f>
        <v>0</v>
      </c>
      <c r="V5" s="11">
        <f>SUMIFS(입항스케줄!J:J,입항스케줄!C:C,PSI_메인!A5,입항스케줄!V:V,"2602")</f>
        <v>0</v>
      </c>
      <c r="W5" s="4">
        <f>P5+U5-S5</f>
        <v>2987</v>
      </c>
      <c r="X5" s="16">
        <f>P5+V5-T5</f>
        <v>2987</v>
      </c>
      <c r="Y5" s="15">
        <v>0</v>
      </c>
      <c r="Z5" s="9">
        <v>0</v>
      </c>
      <c r="AA5" s="10">
        <f t="shared" si="0"/>
        <v>0</v>
      </c>
      <c r="AB5" s="11">
        <v>0</v>
      </c>
      <c r="AC5" s="9">
        <f>SUMIFS(입항스케줄!J:J,입항스케줄!C:C,PSI_메인!A5,입항스케줄!U:U,"2603")</f>
        <v>0</v>
      </c>
      <c r="AD5" s="11">
        <f>SUMIFS(입항스케줄!J:J,입항스케줄!C:C,PSI_메인!A5,입항스케줄!V:V,"2603")</f>
        <v>0</v>
      </c>
      <c r="AE5" s="4">
        <f>X5+AC5-AA5</f>
        <v>2987</v>
      </c>
      <c r="AF5" s="16">
        <f>X5+AD5-AB5</f>
        <v>2987</v>
      </c>
      <c r="AG5" s="15">
        <v>0</v>
      </c>
      <c r="AH5" s="9">
        <v>0</v>
      </c>
      <c r="AI5" s="10">
        <f t="shared" si="1"/>
        <v>0</v>
      </c>
      <c r="AJ5" s="11">
        <v>0</v>
      </c>
      <c r="AK5" s="9">
        <f>SUMIFS(입항스케줄!J:J,입항스케줄!C:C,PSI_메인!A5,입항스케줄!U:U,"2604")</f>
        <v>0</v>
      </c>
      <c r="AL5" s="11">
        <f>SUMIFS(입항스케줄!J:J,입항스케줄!C:C,PSI_메인!A5,입항스케줄!V:V,"2604")</f>
        <v>0</v>
      </c>
      <c r="AM5" s="4">
        <f>AF5+AK5-AI5</f>
        <v>2987</v>
      </c>
      <c r="AN5" s="16">
        <f>AF5+AL5-AJ5</f>
        <v>2987</v>
      </c>
      <c r="AO5" s="15">
        <v>0</v>
      </c>
      <c r="AP5" s="9">
        <v>0</v>
      </c>
      <c r="AQ5" s="10">
        <f t="shared" si="2"/>
        <v>0</v>
      </c>
      <c r="AR5" s="11">
        <v>0</v>
      </c>
      <c r="AS5" s="9"/>
      <c r="AT5" s="11"/>
      <c r="AU5" s="4">
        <f>AN5+AS5-AQ5</f>
        <v>2987</v>
      </c>
      <c r="AV5" s="16">
        <f>AN5+AT5-AR5</f>
        <v>2987</v>
      </c>
      <c r="AW5" s="15">
        <v>0</v>
      </c>
      <c r="AX5" s="9">
        <v>0</v>
      </c>
      <c r="AY5" s="10">
        <f t="shared" si="3"/>
        <v>0</v>
      </c>
      <c r="AZ5" s="11">
        <v>0</v>
      </c>
      <c r="BA5" s="9"/>
      <c r="BB5" s="11"/>
      <c r="BC5" s="4">
        <f>AV5+BA5-AY5</f>
        <v>2987</v>
      </c>
      <c r="BD5" s="16">
        <f>AV5+BB5-AZ5</f>
        <v>2987</v>
      </c>
      <c r="BE5" s="15">
        <v>0</v>
      </c>
      <c r="BF5" s="9">
        <v>0</v>
      </c>
      <c r="BG5" s="10">
        <f t="shared" si="4"/>
        <v>0</v>
      </c>
      <c r="BH5" s="11">
        <v>0</v>
      </c>
      <c r="BI5" s="9"/>
      <c r="BJ5" s="11"/>
      <c r="BK5" s="4">
        <f>BD5+BI5-BG5</f>
        <v>2987</v>
      </c>
      <c r="BL5" s="16">
        <f>BD5+BJ5-BH5</f>
        <v>2987</v>
      </c>
      <c r="BM5" s="15">
        <v>0</v>
      </c>
      <c r="BN5" s="9">
        <v>0</v>
      </c>
      <c r="BO5" s="10">
        <f t="shared" si="5"/>
        <v>0</v>
      </c>
      <c r="BP5" s="11">
        <v>0</v>
      </c>
      <c r="BQ5" s="9"/>
      <c r="BR5" s="11"/>
      <c r="BS5" s="4">
        <f>BL5+BQ5-BO5</f>
        <v>2987</v>
      </c>
      <c r="BT5" s="16">
        <f>BL5+BR5-BP5</f>
        <v>2987</v>
      </c>
      <c r="BU5" s="15">
        <v>0</v>
      </c>
      <c r="BV5" s="9">
        <v>0</v>
      </c>
      <c r="BW5" s="10">
        <f t="shared" si="6"/>
        <v>0</v>
      </c>
      <c r="BX5" s="11">
        <v>0</v>
      </c>
      <c r="BY5" s="9"/>
      <c r="BZ5" s="11"/>
      <c r="CA5" s="4">
        <f>BT5+BY5-BW5</f>
        <v>2987</v>
      </c>
      <c r="CB5" s="16">
        <f>BT5+BZ5-BX5</f>
        <v>2987</v>
      </c>
      <c r="CC5" s="15">
        <v>0</v>
      </c>
      <c r="CD5" s="9">
        <v>0</v>
      </c>
      <c r="CE5" s="10">
        <f t="shared" si="7"/>
        <v>0</v>
      </c>
      <c r="CF5" s="11">
        <v>0</v>
      </c>
      <c r="CG5" s="9"/>
      <c r="CH5" s="11"/>
      <c r="CI5" s="4">
        <f>CB5+CG5-CE5</f>
        <v>2987</v>
      </c>
      <c r="CJ5" s="16">
        <f>CB5+CH5-CF5</f>
        <v>2987</v>
      </c>
      <c r="CK5" s="15">
        <v>0</v>
      </c>
      <c r="CL5" s="9">
        <v>0</v>
      </c>
      <c r="CM5" s="10">
        <f t="shared" si="8"/>
        <v>0</v>
      </c>
      <c r="CN5" s="11">
        <v>0</v>
      </c>
      <c r="CO5" s="9"/>
      <c r="CP5" s="11"/>
      <c r="CQ5" s="4">
        <f>CJ5+CO5-CM5</f>
        <v>2987</v>
      </c>
      <c r="CR5" s="16">
        <f>CJ5+CP5-CN5</f>
        <v>2987</v>
      </c>
      <c r="CS5" s="15">
        <v>0</v>
      </c>
      <c r="CT5" s="9">
        <v>0</v>
      </c>
      <c r="CU5" s="10">
        <f t="shared" si="9"/>
        <v>0</v>
      </c>
      <c r="CV5" s="11">
        <v>0</v>
      </c>
      <c r="CW5" s="9"/>
      <c r="CX5" s="11"/>
      <c r="CY5" s="4">
        <f>CR5+CW5-CU5</f>
        <v>2987</v>
      </c>
      <c r="CZ5" s="16">
        <f>CR5+CX5-CV5</f>
        <v>2987</v>
      </c>
    </row>
    <row r="6" spans="1:104">
      <c r="A6" s="28" t="s">
        <v>583</v>
      </c>
      <c r="B6" s="382"/>
      <c r="C6" s="27"/>
      <c r="D6" s="28" t="str">
        <f>_xlfn.XLOOKUP(A6,'ABC-XYZ분석 (2)'!C:C,'ABC-XYZ분석 (2)'!I:I)</f>
        <v>여름</v>
      </c>
      <c r="E6" s="28" t="str">
        <f>_xlfn.XLOOKUP(A6,'ABC-XYZ분석 (2)'!C:C,'ABC-XYZ분석 (2)'!AC:AC)</f>
        <v>A</v>
      </c>
      <c r="F6" s="3" t="str">
        <f>_xlfn.XLOOKUP(A6,'ABC-XYZ분석 (2)'!C:C,'ABC-XYZ분석 (2)'!AG:AG)</f>
        <v>Z</v>
      </c>
      <c r="G6" s="14">
        <f>SUMIF(재고!C:C,PSI_메인!A6,재고!I:I)</f>
        <v>0</v>
      </c>
      <c r="H6" s="18">
        <v>2425</v>
      </c>
      <c r="I6" s="15">
        <v>0</v>
      </c>
      <c r="J6" s="9">
        <v>0</v>
      </c>
      <c r="K6" s="10">
        <v>0</v>
      </c>
      <c r="L6" s="11">
        <v>0</v>
      </c>
      <c r="M6" s="9">
        <f>SUMIFS(입항스케줄!J:J,입항스케줄!C:C,PSI_메인!A6,입항스케줄!U:U,"2601")</f>
        <v>0</v>
      </c>
      <c r="N6" s="11">
        <f>SUMIFS(입항스케줄!J:J,입항스케줄!C:C,PSI_메인!A6,입항스케줄!V:V,"2601")</f>
        <v>0</v>
      </c>
      <c r="O6" s="4">
        <f>H6+M6-K6</f>
        <v>2425</v>
      </c>
      <c r="P6" s="16">
        <f>H6+N6-L6</f>
        <v>2425</v>
      </c>
      <c r="Q6" s="15">
        <v>0</v>
      </c>
      <c r="R6" s="9">
        <v>0</v>
      </c>
      <c r="S6" s="10">
        <v>0</v>
      </c>
      <c r="T6" s="11">
        <v>0</v>
      </c>
      <c r="U6" s="9">
        <f>SUMIFS(입항스케줄!J:J,입항스케줄!C:C,PSI_메인!A6,입항스케줄!U:U,"2602")</f>
        <v>0</v>
      </c>
      <c r="V6" s="11">
        <f>SUMIFS(입항스케줄!J:J,입항스케줄!C:C,PSI_메인!A6,입항스케줄!V:V,"2602")</f>
        <v>0</v>
      </c>
      <c r="W6" s="4">
        <f>P6+U6-S6</f>
        <v>2425</v>
      </c>
      <c r="X6" s="16">
        <f>P6+V6-T6</f>
        <v>2425</v>
      </c>
      <c r="Y6" s="15">
        <v>0</v>
      </c>
      <c r="Z6" s="9">
        <v>0</v>
      </c>
      <c r="AA6" s="10">
        <f t="shared" si="0"/>
        <v>0</v>
      </c>
      <c r="AB6" s="11">
        <v>0</v>
      </c>
      <c r="AC6" s="9">
        <f>SUMIFS(입항스케줄!J:J,입항스케줄!C:C,PSI_메인!A6,입항스케줄!U:U,"2603")</f>
        <v>0</v>
      </c>
      <c r="AD6" s="11">
        <f>SUMIFS(입항스케줄!J:J,입항스케줄!C:C,PSI_메인!A6,입항스케줄!V:V,"2603")</f>
        <v>0</v>
      </c>
      <c r="AE6" s="4">
        <f>X6+AC6-AA6</f>
        <v>2425</v>
      </c>
      <c r="AF6" s="16">
        <f>X6+AD6-AB6</f>
        <v>2425</v>
      </c>
      <c r="AG6" s="15">
        <v>0</v>
      </c>
      <c r="AH6" s="9">
        <v>0</v>
      </c>
      <c r="AI6" s="10">
        <f t="shared" si="1"/>
        <v>0</v>
      </c>
      <c r="AJ6" s="11">
        <v>0</v>
      </c>
      <c r="AK6" s="9">
        <f>SUMIFS(입항스케줄!J:J,입항스케줄!C:C,PSI_메인!A6,입항스케줄!U:U,"2604")</f>
        <v>0</v>
      </c>
      <c r="AL6" s="11">
        <f>SUMIFS(입항스케줄!J:J,입항스케줄!C:C,PSI_메인!A6,입항스케줄!V:V,"2604")</f>
        <v>0</v>
      </c>
      <c r="AM6" s="4">
        <f>AF6+AK6-AI6</f>
        <v>2425</v>
      </c>
      <c r="AN6" s="16">
        <f>AF6+AL6-AJ6</f>
        <v>2425</v>
      </c>
      <c r="AO6" s="15">
        <v>0</v>
      </c>
      <c r="AP6" s="9">
        <v>0</v>
      </c>
      <c r="AQ6" s="10">
        <f t="shared" si="2"/>
        <v>0</v>
      </c>
      <c r="AR6" s="11">
        <v>0</v>
      </c>
      <c r="AS6" s="9"/>
      <c r="AT6" s="11"/>
      <c r="AU6" s="4">
        <f>AN6+AS6-AQ6</f>
        <v>2425</v>
      </c>
      <c r="AV6" s="16">
        <f>AN6+AT6-AR6</f>
        <v>2425</v>
      </c>
      <c r="AW6" s="15">
        <v>0</v>
      </c>
      <c r="AX6" s="9">
        <v>0</v>
      </c>
      <c r="AY6" s="10">
        <f t="shared" si="3"/>
        <v>0</v>
      </c>
      <c r="AZ6" s="11">
        <v>0</v>
      </c>
      <c r="BA6" s="9"/>
      <c r="BB6" s="11"/>
      <c r="BC6" s="4">
        <f>AV6+BA6-AY6</f>
        <v>2425</v>
      </c>
      <c r="BD6" s="16">
        <f>AV6+BB6-AZ6</f>
        <v>2425</v>
      </c>
      <c r="BE6" s="15">
        <v>0</v>
      </c>
      <c r="BF6" s="9">
        <v>0</v>
      </c>
      <c r="BG6" s="10">
        <f t="shared" si="4"/>
        <v>0</v>
      </c>
      <c r="BH6" s="11">
        <v>0</v>
      </c>
      <c r="BI6" s="9"/>
      <c r="BJ6" s="11"/>
      <c r="BK6" s="4">
        <f>BD6+BI6-BG6</f>
        <v>2425</v>
      </c>
      <c r="BL6" s="16">
        <f>BD6+BJ6-BH6</f>
        <v>2425</v>
      </c>
      <c r="BM6" s="15">
        <v>0</v>
      </c>
      <c r="BN6" s="9">
        <v>0</v>
      </c>
      <c r="BO6" s="10">
        <f t="shared" si="5"/>
        <v>0</v>
      </c>
      <c r="BP6" s="11">
        <v>0</v>
      </c>
      <c r="BQ6" s="9"/>
      <c r="BR6" s="11"/>
      <c r="BS6" s="4">
        <f>BL6+BQ6-BO6</f>
        <v>2425</v>
      </c>
      <c r="BT6" s="16">
        <f>BL6+BR6-BP6</f>
        <v>2425</v>
      </c>
      <c r="BU6" s="15">
        <v>0</v>
      </c>
      <c r="BV6" s="9">
        <v>0</v>
      </c>
      <c r="BW6" s="10">
        <f t="shared" si="6"/>
        <v>0</v>
      </c>
      <c r="BX6" s="11">
        <v>0</v>
      </c>
      <c r="BY6" s="9"/>
      <c r="BZ6" s="11"/>
      <c r="CA6" s="4">
        <f>BT6+BY6-BW6</f>
        <v>2425</v>
      </c>
      <c r="CB6" s="16">
        <f>BT6+BZ6-BX6</f>
        <v>2425</v>
      </c>
      <c r="CC6" s="15">
        <v>0</v>
      </c>
      <c r="CD6" s="9">
        <v>0</v>
      </c>
      <c r="CE6" s="10">
        <f t="shared" si="7"/>
        <v>0</v>
      </c>
      <c r="CF6" s="11">
        <v>0</v>
      </c>
      <c r="CG6" s="9"/>
      <c r="CH6" s="11"/>
      <c r="CI6" s="4">
        <f>CB6+CG6-CE6</f>
        <v>2425</v>
      </c>
      <c r="CJ6" s="16">
        <f>CB6+CH6-CF6</f>
        <v>2425</v>
      </c>
      <c r="CK6" s="15">
        <v>0</v>
      </c>
      <c r="CL6" s="9">
        <v>0</v>
      </c>
      <c r="CM6" s="10">
        <f t="shared" si="8"/>
        <v>0</v>
      </c>
      <c r="CN6" s="11">
        <v>0</v>
      </c>
      <c r="CO6" s="9"/>
      <c r="CP6" s="11"/>
      <c r="CQ6" s="4">
        <f>CJ6+CO6-CM6</f>
        <v>2425</v>
      </c>
      <c r="CR6" s="16">
        <f>CJ6+CP6-CN6</f>
        <v>2425</v>
      </c>
      <c r="CS6" s="15">
        <v>0</v>
      </c>
      <c r="CT6" s="9">
        <v>0</v>
      </c>
      <c r="CU6" s="10">
        <f t="shared" si="9"/>
        <v>0</v>
      </c>
      <c r="CV6" s="11">
        <v>0</v>
      </c>
      <c r="CW6" s="9"/>
      <c r="CX6" s="11"/>
      <c r="CY6" s="4">
        <f>CR6+CW6-CU6</f>
        <v>2425</v>
      </c>
      <c r="CZ6" s="16">
        <f>CR6+CX6-CV6</f>
        <v>2425</v>
      </c>
    </row>
    <row r="7" spans="1:104">
      <c r="A7" s="28" t="s">
        <v>584</v>
      </c>
      <c r="B7" s="382"/>
      <c r="C7" s="27"/>
      <c r="D7" s="28" t="str">
        <f>_xlfn.XLOOKUP(A7,'ABC-XYZ분석 (2)'!C:C,'ABC-XYZ분석 (2)'!I:I)</f>
        <v>여름</v>
      </c>
      <c r="E7" s="28" t="str">
        <f>_xlfn.XLOOKUP(A7,'ABC-XYZ분석 (2)'!C:C,'ABC-XYZ분석 (2)'!AC:AC)</f>
        <v>A</v>
      </c>
      <c r="F7" s="3" t="str">
        <f>_xlfn.XLOOKUP(A7,'ABC-XYZ분석 (2)'!C:C,'ABC-XYZ분석 (2)'!AG:AG)</f>
        <v>Z</v>
      </c>
      <c r="G7" s="14">
        <f>SUMIF(재고!C:C,PSI_메인!A7,재고!I:I)</f>
        <v>0</v>
      </c>
      <c r="H7" s="18">
        <v>3187</v>
      </c>
      <c r="I7" s="15">
        <v>0</v>
      </c>
      <c r="J7" s="9">
        <v>0</v>
      </c>
      <c r="K7" s="10">
        <v>530</v>
      </c>
      <c r="L7" s="11">
        <v>0</v>
      </c>
      <c r="M7" s="9">
        <f>SUMIFS(입항스케줄!J:J,입항스케줄!C:C,PSI_메인!A7,입항스케줄!U:U,"2601")</f>
        <v>0</v>
      </c>
      <c r="N7" s="11">
        <f>SUMIFS(입항스케줄!J:J,입항스케줄!C:C,PSI_메인!A7,입항스케줄!V:V,"2601")</f>
        <v>0</v>
      </c>
      <c r="O7" s="4">
        <f>H7+M7-K7</f>
        <v>2657</v>
      </c>
      <c r="P7" s="16">
        <f>H7+N7-L7</f>
        <v>3187</v>
      </c>
      <c r="Q7" s="15">
        <v>0</v>
      </c>
      <c r="R7" s="9">
        <v>0</v>
      </c>
      <c r="S7" s="10">
        <v>600</v>
      </c>
      <c r="T7" s="11">
        <v>0</v>
      </c>
      <c r="U7" s="9">
        <f>SUMIFS(입항스케줄!J:J,입항스케줄!C:C,PSI_메인!A7,입항스케줄!U:U,"2602")</f>
        <v>0</v>
      </c>
      <c r="V7" s="11">
        <f>SUMIFS(입항스케줄!J:J,입항스케줄!C:C,PSI_메인!A7,입항스케줄!V:V,"2602")</f>
        <v>0</v>
      </c>
      <c r="W7" s="4">
        <f>P7+U7-S7</f>
        <v>2587</v>
      </c>
      <c r="X7" s="16">
        <f>P7+V7-T7</f>
        <v>3187</v>
      </c>
      <c r="Y7" s="15">
        <v>0</v>
      </c>
      <c r="Z7" s="9">
        <v>0</v>
      </c>
      <c r="AA7" s="10">
        <f t="shared" si="0"/>
        <v>0</v>
      </c>
      <c r="AB7" s="11">
        <v>0</v>
      </c>
      <c r="AC7" s="9">
        <f>SUMIFS(입항스케줄!J:J,입항스케줄!C:C,PSI_메인!A7,입항스케줄!U:U,"2603")</f>
        <v>0</v>
      </c>
      <c r="AD7" s="11">
        <f>SUMIFS(입항스케줄!J:J,입항스케줄!C:C,PSI_메인!A7,입항스케줄!V:V,"2603")</f>
        <v>0</v>
      </c>
      <c r="AE7" s="4">
        <f>X7+AC7-AA7</f>
        <v>3187</v>
      </c>
      <c r="AF7" s="16">
        <f>X7+AD7-AB7</f>
        <v>3187</v>
      </c>
      <c r="AG7" s="15">
        <v>0</v>
      </c>
      <c r="AH7" s="9">
        <v>0</v>
      </c>
      <c r="AI7" s="10">
        <f t="shared" si="1"/>
        <v>0</v>
      </c>
      <c r="AJ7" s="11">
        <v>0</v>
      </c>
      <c r="AK7" s="9">
        <f>SUMIFS(입항스케줄!J:J,입항스케줄!C:C,PSI_메인!A7,입항스케줄!U:U,"2604")</f>
        <v>0</v>
      </c>
      <c r="AL7" s="11">
        <f>SUMIFS(입항스케줄!J:J,입항스케줄!C:C,PSI_메인!A7,입항스케줄!V:V,"2604")</f>
        <v>0</v>
      </c>
      <c r="AM7" s="4">
        <f>AF7+AK7-AI7</f>
        <v>3187</v>
      </c>
      <c r="AN7" s="16">
        <f>AF7+AL7-AJ7</f>
        <v>3187</v>
      </c>
      <c r="AO7" s="15">
        <v>0</v>
      </c>
      <c r="AP7" s="9">
        <v>0</v>
      </c>
      <c r="AQ7" s="10">
        <f t="shared" si="2"/>
        <v>0</v>
      </c>
      <c r="AR7" s="11">
        <v>0</v>
      </c>
      <c r="AS7" s="9"/>
      <c r="AT7" s="11"/>
      <c r="AU7" s="4">
        <f>AN7+AS7-AQ7</f>
        <v>3187</v>
      </c>
      <c r="AV7" s="16">
        <f>AN7+AT7-AR7</f>
        <v>3187</v>
      </c>
      <c r="AW7" s="15">
        <v>0</v>
      </c>
      <c r="AX7" s="9">
        <v>0</v>
      </c>
      <c r="AY7" s="10">
        <f t="shared" si="3"/>
        <v>0</v>
      </c>
      <c r="AZ7" s="11">
        <v>0</v>
      </c>
      <c r="BA7" s="9"/>
      <c r="BB7" s="11"/>
      <c r="BC7" s="4">
        <f>AV7+BA7-AY7</f>
        <v>3187</v>
      </c>
      <c r="BD7" s="16">
        <f>AV7+BB7-AZ7</f>
        <v>3187</v>
      </c>
      <c r="BE7" s="15">
        <v>0</v>
      </c>
      <c r="BF7" s="9">
        <v>0</v>
      </c>
      <c r="BG7" s="10">
        <f t="shared" si="4"/>
        <v>0</v>
      </c>
      <c r="BH7" s="11">
        <v>0</v>
      </c>
      <c r="BI7" s="9"/>
      <c r="BJ7" s="11"/>
      <c r="BK7" s="4">
        <f>BD7+BI7-BG7</f>
        <v>3187</v>
      </c>
      <c r="BL7" s="16">
        <f>BD7+BJ7-BH7</f>
        <v>3187</v>
      </c>
      <c r="BM7" s="15">
        <v>0</v>
      </c>
      <c r="BN7" s="9">
        <v>0</v>
      </c>
      <c r="BO7" s="10">
        <f t="shared" si="5"/>
        <v>0</v>
      </c>
      <c r="BP7" s="11">
        <v>0</v>
      </c>
      <c r="BQ7" s="9"/>
      <c r="BR7" s="11"/>
      <c r="BS7" s="4">
        <f>BL7+BQ7-BO7</f>
        <v>3187</v>
      </c>
      <c r="BT7" s="16">
        <f>BL7+BR7-BP7</f>
        <v>3187</v>
      </c>
      <c r="BU7" s="15">
        <v>0</v>
      </c>
      <c r="BV7" s="9">
        <v>0</v>
      </c>
      <c r="BW7" s="10">
        <f t="shared" si="6"/>
        <v>0</v>
      </c>
      <c r="BX7" s="11">
        <v>0</v>
      </c>
      <c r="BY7" s="9"/>
      <c r="BZ7" s="11"/>
      <c r="CA7" s="4">
        <f>BT7+BY7-BW7</f>
        <v>3187</v>
      </c>
      <c r="CB7" s="16">
        <f>BT7+BZ7-BX7</f>
        <v>3187</v>
      </c>
      <c r="CC7" s="15">
        <v>0</v>
      </c>
      <c r="CD7" s="9">
        <v>0</v>
      </c>
      <c r="CE7" s="10">
        <f t="shared" si="7"/>
        <v>0</v>
      </c>
      <c r="CF7" s="11">
        <v>0</v>
      </c>
      <c r="CG7" s="9"/>
      <c r="CH7" s="11"/>
      <c r="CI7" s="4">
        <f>CB7+CG7-CE7</f>
        <v>3187</v>
      </c>
      <c r="CJ7" s="16">
        <f>CB7+CH7-CF7</f>
        <v>3187</v>
      </c>
      <c r="CK7" s="15">
        <v>0</v>
      </c>
      <c r="CL7" s="9">
        <v>0</v>
      </c>
      <c r="CM7" s="10">
        <f t="shared" si="8"/>
        <v>0</v>
      </c>
      <c r="CN7" s="11">
        <v>0</v>
      </c>
      <c r="CO7" s="9"/>
      <c r="CP7" s="11"/>
      <c r="CQ7" s="4">
        <f>CJ7+CO7-CM7</f>
        <v>3187</v>
      </c>
      <c r="CR7" s="16">
        <f>CJ7+CP7-CN7</f>
        <v>3187</v>
      </c>
      <c r="CS7" s="15">
        <v>0</v>
      </c>
      <c r="CT7" s="9">
        <v>0</v>
      </c>
      <c r="CU7" s="10">
        <f t="shared" si="9"/>
        <v>0</v>
      </c>
      <c r="CV7" s="11">
        <v>0</v>
      </c>
      <c r="CW7" s="9"/>
      <c r="CX7" s="11"/>
      <c r="CY7" s="4">
        <f>CR7+CW7-CU7</f>
        <v>3187</v>
      </c>
      <c r="CZ7" s="16">
        <f>CR7+CX7-CV7</f>
        <v>3187</v>
      </c>
    </row>
    <row r="8" spans="1:104" ht="17.25" customHeight="1">
      <c r="A8" s="28" t="s">
        <v>585</v>
      </c>
      <c r="B8" s="382"/>
      <c r="C8" s="27"/>
      <c r="D8" s="28" t="str">
        <f>_xlfn.XLOOKUP(A8,'ABC-XYZ분석 (2)'!C:C,'ABC-XYZ분석 (2)'!I:I)</f>
        <v>여름</v>
      </c>
      <c r="E8" s="28" t="str">
        <f>_xlfn.XLOOKUP(A8,'ABC-XYZ분석 (2)'!C:C,'ABC-XYZ분석 (2)'!AC:AC)</f>
        <v>A</v>
      </c>
      <c r="F8" s="3" t="str">
        <f>_xlfn.XLOOKUP(A8,'ABC-XYZ분석 (2)'!C:C,'ABC-XYZ분석 (2)'!AG:AG)</f>
        <v>Z</v>
      </c>
      <c r="G8" s="14">
        <f>SUMIF(재고!C:C,PSI_메인!A8,재고!I:I)</f>
        <v>0</v>
      </c>
      <c r="H8" s="270">
        <v>3022</v>
      </c>
      <c r="I8" s="271">
        <v>0</v>
      </c>
      <c r="J8" s="272">
        <v>0</v>
      </c>
      <c r="K8" s="273">
        <v>125</v>
      </c>
      <c r="L8" s="11">
        <v>0</v>
      </c>
      <c r="M8" s="9">
        <f>SUMIFS(입항스케줄!J:J,입항스케줄!C:C,PSI_메인!A8,입항스케줄!U:U,"2601")</f>
        <v>0</v>
      </c>
      <c r="N8" s="11">
        <f>SUMIFS(입항스케줄!J:J,입항스케줄!C:C,PSI_메인!A8,입항스케줄!V:V,"2601")</f>
        <v>0</v>
      </c>
      <c r="O8" s="275">
        <f>H8+M8-K8</f>
        <v>2897</v>
      </c>
      <c r="P8" s="276">
        <f>H8+N8-L8</f>
        <v>3022</v>
      </c>
      <c r="Q8" s="271">
        <v>0</v>
      </c>
      <c r="R8" s="272">
        <v>0</v>
      </c>
      <c r="S8" s="10">
        <v>100</v>
      </c>
      <c r="T8" s="11">
        <v>0</v>
      </c>
      <c r="U8" s="9">
        <f>SUMIFS(입항스케줄!J:J,입항스케줄!C:C,PSI_메인!A8,입항스케줄!U:U,"2602")</f>
        <v>0</v>
      </c>
      <c r="V8" s="11">
        <f>SUMIFS(입항스케줄!J:J,입항스케줄!C:C,PSI_메인!A8,입항스케줄!V:V,"2602")</f>
        <v>0</v>
      </c>
      <c r="W8" s="275">
        <f>P8+U8-S8</f>
        <v>2922</v>
      </c>
      <c r="X8" s="276">
        <f>P8+V8-T8</f>
        <v>3022</v>
      </c>
      <c r="Y8" s="271">
        <v>0</v>
      </c>
      <c r="Z8" s="272">
        <v>0</v>
      </c>
      <c r="AA8" s="273">
        <f t="shared" si="0"/>
        <v>0</v>
      </c>
      <c r="AB8" s="11">
        <v>0</v>
      </c>
      <c r="AC8" s="9">
        <f>SUMIFS(입항스케줄!J:J,입항스케줄!C:C,PSI_메인!A8,입항스케줄!U:U,"2603")</f>
        <v>0</v>
      </c>
      <c r="AD8" s="11">
        <f>SUMIFS(입항스케줄!J:J,입항스케줄!C:C,PSI_메인!A8,입항스케줄!V:V,"2603")</f>
        <v>0</v>
      </c>
      <c r="AE8" s="275">
        <f>X8+AC8-AA8</f>
        <v>3022</v>
      </c>
      <c r="AF8" s="276">
        <f>X8+AD8-AB8</f>
        <v>3022</v>
      </c>
      <c r="AG8" s="271">
        <v>0</v>
      </c>
      <c r="AH8" s="272">
        <v>0</v>
      </c>
      <c r="AI8" s="273">
        <f t="shared" si="1"/>
        <v>0</v>
      </c>
      <c r="AJ8" s="11">
        <v>0</v>
      </c>
      <c r="AK8" s="9">
        <f>SUMIFS(입항스케줄!J:J,입항스케줄!C:C,PSI_메인!A8,입항스케줄!U:U,"2604")</f>
        <v>0</v>
      </c>
      <c r="AL8" s="11">
        <f>SUMIFS(입항스케줄!J:J,입항스케줄!C:C,PSI_메인!A8,입항스케줄!V:V,"2604")</f>
        <v>0</v>
      </c>
      <c r="AM8" s="275">
        <f>AF8+AK8-AI8</f>
        <v>3022</v>
      </c>
      <c r="AN8" s="276">
        <f>AF8+AL8-AJ8</f>
        <v>3022</v>
      </c>
      <c r="AO8" s="271">
        <v>0</v>
      </c>
      <c r="AP8" s="272">
        <v>0</v>
      </c>
      <c r="AQ8" s="273">
        <f t="shared" si="2"/>
        <v>0</v>
      </c>
      <c r="AR8" s="11">
        <v>0</v>
      </c>
      <c r="AS8" s="9"/>
      <c r="AT8" s="274"/>
      <c r="AU8" s="275">
        <f>AN8+AS8-AQ8</f>
        <v>3022</v>
      </c>
      <c r="AV8" s="276">
        <f>AN8+AT8-AR8</f>
        <v>3022</v>
      </c>
      <c r="AW8" s="271">
        <v>0</v>
      </c>
      <c r="AX8" s="272">
        <v>0</v>
      </c>
      <c r="AY8" s="273">
        <f t="shared" si="3"/>
        <v>0</v>
      </c>
      <c r="AZ8" s="11">
        <v>0</v>
      </c>
      <c r="BA8" s="9"/>
      <c r="BB8" s="11"/>
      <c r="BC8" s="275">
        <f>AV8+BA8-AY8</f>
        <v>3022</v>
      </c>
      <c r="BD8" s="276">
        <f>AV8+BB8-AZ8</f>
        <v>3022</v>
      </c>
      <c r="BE8" s="271">
        <v>0</v>
      </c>
      <c r="BF8" s="272">
        <v>0</v>
      </c>
      <c r="BG8" s="273">
        <f t="shared" si="4"/>
        <v>0</v>
      </c>
      <c r="BH8" s="11">
        <v>0</v>
      </c>
      <c r="BI8" s="272"/>
      <c r="BJ8" s="11"/>
      <c r="BK8" s="275">
        <f>BD8+BI8-BG8</f>
        <v>3022</v>
      </c>
      <c r="BL8" s="276">
        <f>BD8+BJ8-BH8</f>
        <v>3022</v>
      </c>
      <c r="BM8" s="271">
        <v>0</v>
      </c>
      <c r="BN8" s="272">
        <v>0</v>
      </c>
      <c r="BO8" s="273">
        <f t="shared" si="5"/>
        <v>0</v>
      </c>
      <c r="BP8" s="11">
        <v>0</v>
      </c>
      <c r="BQ8" s="272"/>
      <c r="BR8" s="11"/>
      <c r="BS8" s="275">
        <f>BL8+BQ8-BO8</f>
        <v>3022</v>
      </c>
      <c r="BT8" s="276">
        <f>BL8+BR8-BP8</f>
        <v>3022</v>
      </c>
      <c r="BU8" s="271">
        <v>0</v>
      </c>
      <c r="BV8" s="272">
        <v>0</v>
      </c>
      <c r="BW8" s="273">
        <f t="shared" si="6"/>
        <v>0</v>
      </c>
      <c r="BX8" s="11">
        <v>0</v>
      </c>
      <c r="BY8" s="272"/>
      <c r="BZ8" s="11"/>
      <c r="CA8" s="275">
        <f>BT8+BY8-BW8</f>
        <v>3022</v>
      </c>
      <c r="CB8" s="276">
        <f>BT8+BZ8-BX8</f>
        <v>3022</v>
      </c>
      <c r="CC8" s="271">
        <v>0</v>
      </c>
      <c r="CD8" s="272">
        <v>0</v>
      </c>
      <c r="CE8" s="273">
        <f t="shared" si="7"/>
        <v>0</v>
      </c>
      <c r="CF8" s="11">
        <v>0</v>
      </c>
      <c r="CG8" s="272"/>
      <c r="CH8" s="11"/>
      <c r="CI8" s="275">
        <f>CB8+CG8-CE8</f>
        <v>3022</v>
      </c>
      <c r="CJ8" s="276">
        <f>CB8+CH8-CF8</f>
        <v>3022</v>
      </c>
      <c r="CK8" s="271">
        <v>0</v>
      </c>
      <c r="CL8" s="272">
        <v>0</v>
      </c>
      <c r="CM8" s="273">
        <f t="shared" si="8"/>
        <v>0</v>
      </c>
      <c r="CN8" s="11">
        <v>0</v>
      </c>
      <c r="CO8" s="272"/>
      <c r="CP8" s="274"/>
      <c r="CQ8" s="275">
        <f>CJ8+CO8-CM8</f>
        <v>3022</v>
      </c>
      <c r="CR8" s="276">
        <f>CJ8+CP8-CN8</f>
        <v>3022</v>
      </c>
      <c r="CS8" s="271">
        <v>0</v>
      </c>
      <c r="CT8" s="272">
        <v>0</v>
      </c>
      <c r="CU8" s="273">
        <f t="shared" si="9"/>
        <v>0</v>
      </c>
      <c r="CV8" s="11">
        <v>0</v>
      </c>
      <c r="CW8" s="272"/>
      <c r="CX8" s="274"/>
      <c r="CY8" s="275">
        <f>CR8+CW8-CU8</f>
        <v>3022</v>
      </c>
      <c r="CZ8" s="276">
        <f>CR8+CX8-CV8</f>
        <v>3022</v>
      </c>
    </row>
    <row r="9" spans="1:104" ht="17.25" customHeight="1">
      <c r="A9" s="28" t="s">
        <v>586</v>
      </c>
      <c r="B9" s="382"/>
      <c r="C9" s="27"/>
      <c r="D9" s="28" t="str">
        <f>_xlfn.XLOOKUP(A9,'ABC-XYZ분석 (2)'!C:C,'ABC-XYZ분석 (2)'!I:I)</f>
        <v>여름</v>
      </c>
      <c r="E9" s="28" t="str">
        <f>_xlfn.XLOOKUP(A9,'ABC-XYZ분석 (2)'!C:C,'ABC-XYZ분석 (2)'!AC:AC)</f>
        <v>A</v>
      </c>
      <c r="F9" s="3" t="str">
        <f>_xlfn.XLOOKUP(A9,'ABC-XYZ분석 (2)'!C:C,'ABC-XYZ분석 (2)'!AG:AG)</f>
        <v>Z</v>
      </c>
      <c r="G9" s="14">
        <f>SUMIF(재고!C:C,PSI_메인!A9,재고!I:I)</f>
        <v>0</v>
      </c>
      <c r="H9" s="277">
        <v>13414</v>
      </c>
      <c r="I9" s="278">
        <v>0</v>
      </c>
      <c r="J9" s="278">
        <v>0</v>
      </c>
      <c r="K9" s="279">
        <v>0</v>
      </c>
      <c r="L9" s="11">
        <v>0</v>
      </c>
      <c r="M9" s="9">
        <f>SUMIFS(입항스케줄!J:J,입항스케줄!C:C,PSI_메인!A9,입항스케줄!U:U,"2601")</f>
        <v>0</v>
      </c>
      <c r="N9" s="11">
        <f>SUMIFS(입항스케줄!J:J,입항스케줄!C:C,PSI_메인!A9,입항스케줄!V:V,"2601")</f>
        <v>0</v>
      </c>
      <c r="O9" s="280">
        <f t="shared" ref="O9:O72" si="10">$G9+M9-K9</f>
        <v>0</v>
      </c>
      <c r="P9" s="277">
        <f t="shared" ref="P9:P72" si="11">$G9+N9-L9</f>
        <v>0</v>
      </c>
      <c r="Q9" s="278">
        <v>0</v>
      </c>
      <c r="R9" s="278">
        <v>0</v>
      </c>
      <c r="S9" s="10">
        <v>0</v>
      </c>
      <c r="T9" s="11">
        <v>0</v>
      </c>
      <c r="U9" s="9">
        <f>SUMIFS(입항스케줄!J:J,입항스케줄!C:C,PSI_메인!A9,입항스케줄!U:U,"2602")</f>
        <v>0</v>
      </c>
      <c r="V9" s="11">
        <f>SUMIFS(입항스케줄!J:J,입항스케줄!C:C,PSI_메인!A9,입항스케줄!V:V,"2602")</f>
        <v>0</v>
      </c>
      <c r="W9" s="280">
        <f t="shared" ref="W9:W72" si="12">$G9+U9-S9</f>
        <v>0</v>
      </c>
      <c r="X9" s="277">
        <f t="shared" ref="X9:X72" si="13">$G9+V9-T9</f>
        <v>0</v>
      </c>
      <c r="Y9" s="278">
        <v>0</v>
      </c>
      <c r="Z9" s="278">
        <v>0</v>
      </c>
      <c r="AA9" s="279">
        <f t="shared" si="0"/>
        <v>0</v>
      </c>
      <c r="AB9" s="11">
        <v>0</v>
      </c>
      <c r="AC9" s="9">
        <f>SUMIFS(입항스케줄!J:J,입항스케줄!C:C,PSI_메인!A9,입항스케줄!U:U,"2603")</f>
        <v>0</v>
      </c>
      <c r="AD9" s="11">
        <f>SUMIFS(입항스케줄!J:J,입항스케줄!C:C,PSI_메인!A9,입항스케줄!V:V,"2603")</f>
        <v>0</v>
      </c>
      <c r="AE9" s="280">
        <f t="shared" ref="AE9:AE72" si="14">$G9+AC9-AA9</f>
        <v>0</v>
      </c>
      <c r="AF9" s="277">
        <f t="shared" ref="AF9:AF72" si="15">$G9+AD9-AB9</f>
        <v>0</v>
      </c>
      <c r="AG9" s="278">
        <v>0</v>
      </c>
      <c r="AH9" s="278">
        <v>0</v>
      </c>
      <c r="AI9" s="279">
        <f t="shared" si="1"/>
        <v>0</v>
      </c>
      <c r="AJ9" s="11">
        <v>0</v>
      </c>
      <c r="AK9" s="9">
        <f>SUMIFS(입항스케줄!J:J,입항스케줄!C:C,PSI_메인!A9,입항스케줄!U:U,"2604")</f>
        <v>0</v>
      </c>
      <c r="AL9" s="11">
        <f>SUMIFS(입항스케줄!J:J,입항스케줄!C:C,PSI_메인!A9,입항스케줄!V:V,"2604")</f>
        <v>0</v>
      </c>
      <c r="AM9" s="280">
        <f t="shared" ref="AM9:AM72" si="16">$G9+AK9-AI9</f>
        <v>0</v>
      </c>
      <c r="AN9" s="277">
        <f t="shared" ref="AN9:AN72" si="17">$G9+AL9-AJ9</f>
        <v>0</v>
      </c>
      <c r="AO9" s="278">
        <v>0</v>
      </c>
      <c r="AP9" s="278">
        <v>0</v>
      </c>
      <c r="AQ9" s="279">
        <f t="shared" si="2"/>
        <v>0</v>
      </c>
      <c r="AR9" s="11">
        <v>0</v>
      </c>
      <c r="AS9" s="9"/>
      <c r="AT9" s="277"/>
      <c r="AU9" s="280">
        <f t="shared" ref="AU9:AU72" si="18">$G9+AS9-AQ9</f>
        <v>0</v>
      </c>
      <c r="AV9" s="277">
        <f t="shared" ref="AV9:AV72" si="19">$G9+AT9-AR9</f>
        <v>0</v>
      </c>
      <c r="AW9" s="278">
        <v>0</v>
      </c>
      <c r="AX9" s="278">
        <v>0</v>
      </c>
      <c r="AY9" s="279">
        <f t="shared" si="3"/>
        <v>0</v>
      </c>
      <c r="AZ9" s="11">
        <v>0</v>
      </c>
      <c r="BA9" s="9"/>
      <c r="BB9" s="11"/>
      <c r="BC9" s="280">
        <f t="shared" ref="BC9:BC72" si="20">$G9+BA9-AY9</f>
        <v>0</v>
      </c>
      <c r="BD9" s="277">
        <f t="shared" ref="BD9:BD72" si="21">$G9+BB9-AZ9</f>
        <v>0</v>
      </c>
      <c r="BE9" s="278">
        <v>0</v>
      </c>
      <c r="BF9" s="278">
        <v>0</v>
      </c>
      <c r="BG9" s="279">
        <f t="shared" si="4"/>
        <v>0</v>
      </c>
      <c r="BH9" s="11">
        <v>0</v>
      </c>
      <c r="BI9" s="278"/>
      <c r="BJ9" s="11"/>
      <c r="BK9" s="280">
        <f t="shared" ref="BK9:BK72" si="22">$G9+BI9-BG9</f>
        <v>0</v>
      </c>
      <c r="BL9" s="277">
        <f t="shared" ref="BL9:BL72" si="23">$G9+BJ9-BH9</f>
        <v>0</v>
      </c>
      <c r="BM9" s="278">
        <v>0</v>
      </c>
      <c r="BN9" s="278">
        <v>0</v>
      </c>
      <c r="BO9" s="279">
        <f t="shared" si="5"/>
        <v>0</v>
      </c>
      <c r="BP9" s="11">
        <v>0</v>
      </c>
      <c r="BQ9" s="278"/>
      <c r="BR9" s="11"/>
      <c r="BS9" s="280">
        <f t="shared" ref="BS9:BS72" si="24">$G9+BQ9-BO9</f>
        <v>0</v>
      </c>
      <c r="BT9" s="277">
        <f t="shared" ref="BT9:BT72" si="25">$G9+BR9-BP9</f>
        <v>0</v>
      </c>
      <c r="BU9" s="278">
        <v>0</v>
      </c>
      <c r="BV9" s="278">
        <v>0</v>
      </c>
      <c r="BW9" s="279">
        <f t="shared" si="6"/>
        <v>0</v>
      </c>
      <c r="BX9" s="11">
        <v>0</v>
      </c>
      <c r="BY9" s="278"/>
      <c r="BZ9" s="11"/>
      <c r="CA9" s="280">
        <f t="shared" ref="CA9:CA72" si="26">$G9+BY9-BW9</f>
        <v>0</v>
      </c>
      <c r="CB9" s="277">
        <f t="shared" ref="CB9:CB72" si="27">$G9+BZ9-BX9</f>
        <v>0</v>
      </c>
      <c r="CC9" s="278">
        <v>0</v>
      </c>
      <c r="CD9" s="278">
        <v>0</v>
      </c>
      <c r="CE9" s="279">
        <f t="shared" si="7"/>
        <v>0</v>
      </c>
      <c r="CF9" s="11">
        <v>0</v>
      </c>
      <c r="CG9" s="278"/>
      <c r="CH9" s="11"/>
      <c r="CI9" s="280">
        <f t="shared" ref="CI9:CI72" si="28">$G9+CG9-CE9</f>
        <v>0</v>
      </c>
      <c r="CJ9" s="277">
        <f t="shared" ref="CJ9:CJ72" si="29">$G9+CH9-CF9</f>
        <v>0</v>
      </c>
      <c r="CK9" s="278">
        <v>0</v>
      </c>
      <c r="CL9" s="278">
        <v>0</v>
      </c>
      <c r="CM9" s="279">
        <f t="shared" si="8"/>
        <v>0</v>
      </c>
      <c r="CN9" s="11">
        <v>0</v>
      </c>
      <c r="CO9" s="278"/>
      <c r="CP9" s="277"/>
      <c r="CQ9" s="280">
        <f t="shared" ref="CQ9:CQ72" si="30">$G9+CO9-CM9</f>
        <v>0</v>
      </c>
      <c r="CR9" s="277">
        <f t="shared" ref="CR9:CR72" si="31">$G9+CP9-CN9</f>
        <v>0</v>
      </c>
      <c r="CS9" s="278">
        <v>0</v>
      </c>
      <c r="CT9" s="278">
        <v>0</v>
      </c>
      <c r="CU9" s="279">
        <f t="shared" si="9"/>
        <v>0</v>
      </c>
      <c r="CV9" s="11">
        <v>0</v>
      </c>
      <c r="CW9" s="278"/>
      <c r="CX9" s="277"/>
      <c r="CY9" s="280">
        <f t="shared" ref="CY9:CY72" si="32">$G9+CW9-CU9</f>
        <v>0</v>
      </c>
      <c r="CZ9" s="277">
        <f t="shared" ref="CZ9:CZ72" si="33">$G9+CX9-CV9</f>
        <v>0</v>
      </c>
    </row>
    <row r="10" spans="1:104" ht="17.25" customHeight="1">
      <c r="A10" s="28" t="s">
        <v>587</v>
      </c>
      <c r="B10" s="382"/>
      <c r="C10" s="27"/>
      <c r="D10" s="28" t="str">
        <f>_xlfn.XLOOKUP(A10,'ABC-XYZ분석 (2)'!C:C,'ABC-XYZ분석 (2)'!I:I)</f>
        <v>여름</v>
      </c>
      <c r="E10" s="28" t="str">
        <f>_xlfn.XLOOKUP(A10,'ABC-XYZ분석 (2)'!C:C,'ABC-XYZ분석 (2)'!AC:AC)</f>
        <v>A</v>
      </c>
      <c r="F10" s="3" t="str">
        <f>_xlfn.XLOOKUP(A10,'ABC-XYZ분석 (2)'!C:C,'ABC-XYZ분석 (2)'!AG:AG)</f>
        <v>Z</v>
      </c>
      <c r="G10" s="14">
        <f>SUMIF(재고!C:C,PSI_메인!A10,재고!I:I)</f>
        <v>0</v>
      </c>
      <c r="H10" s="277">
        <v>7601</v>
      </c>
      <c r="I10" s="278">
        <v>0</v>
      </c>
      <c r="J10" s="278">
        <v>0</v>
      </c>
      <c r="K10" s="279">
        <v>0</v>
      </c>
      <c r="L10" s="11">
        <v>0</v>
      </c>
      <c r="M10" s="9">
        <f>SUMIFS(입항스케줄!J:J,입항스케줄!C:C,PSI_메인!A10,입항스케줄!U:U,"2601")</f>
        <v>0</v>
      </c>
      <c r="N10" s="11">
        <f>SUMIFS(입항스케줄!J:J,입항스케줄!C:C,PSI_메인!A10,입항스케줄!V:V,"2601")</f>
        <v>0</v>
      </c>
      <c r="O10" s="280">
        <f t="shared" si="10"/>
        <v>0</v>
      </c>
      <c r="P10" s="277">
        <f t="shared" si="11"/>
        <v>0</v>
      </c>
      <c r="Q10" s="278">
        <v>0</v>
      </c>
      <c r="R10" s="278">
        <v>0</v>
      </c>
      <c r="S10" s="10">
        <v>0</v>
      </c>
      <c r="T10" s="11">
        <v>0</v>
      </c>
      <c r="U10" s="9">
        <f>SUMIFS(입항스케줄!J:J,입항스케줄!C:C,PSI_메인!A10,입항스케줄!U:U,"2602")</f>
        <v>0</v>
      </c>
      <c r="V10" s="11">
        <f>SUMIFS(입항스케줄!J:J,입항스케줄!C:C,PSI_메인!A10,입항스케줄!V:V,"2602")</f>
        <v>0</v>
      </c>
      <c r="W10" s="280">
        <f t="shared" si="12"/>
        <v>0</v>
      </c>
      <c r="X10" s="277">
        <f t="shared" si="13"/>
        <v>0</v>
      </c>
      <c r="Y10" s="278">
        <v>0</v>
      </c>
      <c r="Z10" s="278">
        <v>0</v>
      </c>
      <c r="AA10" s="279">
        <f t="shared" si="0"/>
        <v>0</v>
      </c>
      <c r="AB10" s="11">
        <v>0</v>
      </c>
      <c r="AC10" s="9">
        <f>SUMIFS(입항스케줄!J:J,입항스케줄!C:C,PSI_메인!A10,입항스케줄!U:U,"2603")</f>
        <v>0</v>
      </c>
      <c r="AD10" s="11">
        <f>SUMIFS(입항스케줄!J:J,입항스케줄!C:C,PSI_메인!A10,입항스케줄!V:V,"2603")</f>
        <v>0</v>
      </c>
      <c r="AE10" s="280">
        <f t="shared" si="14"/>
        <v>0</v>
      </c>
      <c r="AF10" s="277">
        <f t="shared" si="15"/>
        <v>0</v>
      </c>
      <c r="AG10" s="278">
        <v>0</v>
      </c>
      <c r="AH10" s="278">
        <v>0</v>
      </c>
      <c r="AI10" s="279">
        <f t="shared" si="1"/>
        <v>0</v>
      </c>
      <c r="AJ10" s="11">
        <v>0</v>
      </c>
      <c r="AK10" s="9">
        <f>SUMIFS(입항스케줄!J:J,입항스케줄!C:C,PSI_메인!A10,입항스케줄!U:U,"2604")</f>
        <v>0</v>
      </c>
      <c r="AL10" s="11">
        <f>SUMIFS(입항스케줄!J:J,입항스케줄!C:C,PSI_메인!A10,입항스케줄!V:V,"2604")</f>
        <v>0</v>
      </c>
      <c r="AM10" s="280">
        <f t="shared" si="16"/>
        <v>0</v>
      </c>
      <c r="AN10" s="277">
        <f t="shared" si="17"/>
        <v>0</v>
      </c>
      <c r="AO10" s="278">
        <v>0</v>
      </c>
      <c r="AP10" s="278">
        <v>0</v>
      </c>
      <c r="AQ10" s="279">
        <f t="shared" si="2"/>
        <v>0</v>
      </c>
      <c r="AR10" s="11">
        <v>0</v>
      </c>
      <c r="AS10" s="9"/>
      <c r="AT10" s="277"/>
      <c r="AU10" s="280">
        <f t="shared" si="18"/>
        <v>0</v>
      </c>
      <c r="AV10" s="277">
        <f t="shared" si="19"/>
        <v>0</v>
      </c>
      <c r="AW10" s="278">
        <v>0</v>
      </c>
      <c r="AX10" s="278">
        <v>0</v>
      </c>
      <c r="AY10" s="279">
        <f t="shared" si="3"/>
        <v>0</v>
      </c>
      <c r="AZ10" s="11">
        <v>0</v>
      </c>
      <c r="BA10" s="9"/>
      <c r="BB10" s="11"/>
      <c r="BC10" s="280">
        <f t="shared" si="20"/>
        <v>0</v>
      </c>
      <c r="BD10" s="277">
        <f t="shared" si="21"/>
        <v>0</v>
      </c>
      <c r="BE10" s="278">
        <v>0</v>
      </c>
      <c r="BF10" s="278">
        <v>0</v>
      </c>
      <c r="BG10" s="279">
        <f t="shared" si="4"/>
        <v>0</v>
      </c>
      <c r="BH10" s="11">
        <v>0</v>
      </c>
      <c r="BI10" s="278"/>
      <c r="BJ10" s="11"/>
      <c r="BK10" s="280">
        <f t="shared" si="22"/>
        <v>0</v>
      </c>
      <c r="BL10" s="277">
        <f t="shared" si="23"/>
        <v>0</v>
      </c>
      <c r="BM10" s="278">
        <v>0</v>
      </c>
      <c r="BN10" s="278">
        <v>0</v>
      </c>
      <c r="BO10" s="279">
        <f t="shared" si="5"/>
        <v>0</v>
      </c>
      <c r="BP10" s="11">
        <v>0</v>
      </c>
      <c r="BQ10" s="278"/>
      <c r="BR10" s="11"/>
      <c r="BS10" s="280">
        <f t="shared" si="24"/>
        <v>0</v>
      </c>
      <c r="BT10" s="277">
        <f t="shared" si="25"/>
        <v>0</v>
      </c>
      <c r="BU10" s="278">
        <v>0</v>
      </c>
      <c r="BV10" s="278">
        <v>0</v>
      </c>
      <c r="BW10" s="279">
        <f t="shared" si="6"/>
        <v>0</v>
      </c>
      <c r="BX10" s="11">
        <v>0</v>
      </c>
      <c r="BY10" s="278"/>
      <c r="BZ10" s="11"/>
      <c r="CA10" s="280">
        <f t="shared" si="26"/>
        <v>0</v>
      </c>
      <c r="CB10" s="277">
        <f t="shared" si="27"/>
        <v>0</v>
      </c>
      <c r="CC10" s="278">
        <v>0</v>
      </c>
      <c r="CD10" s="278">
        <v>0</v>
      </c>
      <c r="CE10" s="279">
        <f t="shared" si="7"/>
        <v>0</v>
      </c>
      <c r="CF10" s="11">
        <v>0</v>
      </c>
      <c r="CG10" s="278"/>
      <c r="CH10" s="11"/>
      <c r="CI10" s="280">
        <f t="shared" si="28"/>
        <v>0</v>
      </c>
      <c r="CJ10" s="277">
        <f t="shared" si="29"/>
        <v>0</v>
      </c>
      <c r="CK10" s="278">
        <v>0</v>
      </c>
      <c r="CL10" s="278">
        <v>0</v>
      </c>
      <c r="CM10" s="279">
        <f t="shared" si="8"/>
        <v>0</v>
      </c>
      <c r="CN10" s="11">
        <v>0</v>
      </c>
      <c r="CO10" s="278"/>
      <c r="CP10" s="277"/>
      <c r="CQ10" s="280">
        <f t="shared" si="30"/>
        <v>0</v>
      </c>
      <c r="CR10" s="277">
        <f t="shared" si="31"/>
        <v>0</v>
      </c>
      <c r="CS10" s="278">
        <v>0</v>
      </c>
      <c r="CT10" s="278">
        <v>0</v>
      </c>
      <c r="CU10" s="279">
        <f t="shared" si="9"/>
        <v>0</v>
      </c>
      <c r="CV10" s="11">
        <v>0</v>
      </c>
      <c r="CW10" s="278"/>
      <c r="CX10" s="277"/>
      <c r="CY10" s="280">
        <f t="shared" si="32"/>
        <v>0</v>
      </c>
      <c r="CZ10" s="277">
        <f t="shared" si="33"/>
        <v>0</v>
      </c>
    </row>
    <row r="11" spans="1:104" ht="17.25" customHeight="1">
      <c r="A11" s="28" t="s">
        <v>588</v>
      </c>
      <c r="B11" s="382"/>
      <c r="C11" s="27"/>
      <c r="D11" s="28" t="str">
        <f>_xlfn.XLOOKUP(A11,'ABC-XYZ분석 (2)'!C:C,'ABC-XYZ분석 (2)'!I:I)</f>
        <v>사계절</v>
      </c>
      <c r="E11" s="28" t="str">
        <f>_xlfn.XLOOKUP(A11,'ABC-XYZ분석 (2)'!C:C,'ABC-XYZ분석 (2)'!AC:AC)</f>
        <v>A</v>
      </c>
      <c r="F11" s="3" t="str">
        <f>_xlfn.XLOOKUP(A11,'ABC-XYZ분석 (2)'!C:C,'ABC-XYZ분석 (2)'!AG:AG)</f>
        <v>X</v>
      </c>
      <c r="G11" s="14">
        <f>SUMIF(재고!C:C,PSI_메인!A11,재고!I:I)</f>
        <v>0</v>
      </c>
      <c r="H11" s="277">
        <v>3274</v>
      </c>
      <c r="I11" s="278">
        <v>0</v>
      </c>
      <c r="J11" s="278">
        <v>0</v>
      </c>
      <c r="K11" s="279">
        <v>0</v>
      </c>
      <c r="L11" s="11">
        <v>0</v>
      </c>
      <c r="M11" s="9">
        <f>SUMIFS(입항스케줄!J:J,입항스케줄!C:C,PSI_메인!A11,입항스케줄!U:U,"2601")</f>
        <v>0</v>
      </c>
      <c r="N11" s="11">
        <f>SUMIFS(입항스케줄!J:J,입항스케줄!C:C,PSI_메인!A11,입항스케줄!V:V,"2601")</f>
        <v>0</v>
      </c>
      <c r="O11" s="280">
        <f t="shared" si="10"/>
        <v>0</v>
      </c>
      <c r="P11" s="277">
        <f t="shared" si="11"/>
        <v>0</v>
      </c>
      <c r="Q11" s="278">
        <v>0</v>
      </c>
      <c r="R11" s="278">
        <v>0</v>
      </c>
      <c r="S11" s="10">
        <v>0</v>
      </c>
      <c r="T11" s="11">
        <v>0</v>
      </c>
      <c r="U11" s="9">
        <f>SUMIFS(입항스케줄!J:J,입항스케줄!C:C,PSI_메인!A11,입항스케줄!U:U,"2602")</f>
        <v>0</v>
      </c>
      <c r="V11" s="11">
        <f>SUMIFS(입항스케줄!J:J,입항스케줄!C:C,PSI_메인!A11,입항스케줄!V:V,"2602")</f>
        <v>0</v>
      </c>
      <c r="W11" s="280">
        <f t="shared" si="12"/>
        <v>0</v>
      </c>
      <c r="X11" s="277">
        <f t="shared" si="13"/>
        <v>0</v>
      </c>
      <c r="Y11" s="278">
        <v>0</v>
      </c>
      <c r="Z11" s="278">
        <v>0</v>
      </c>
      <c r="AA11" s="279">
        <f t="shared" si="0"/>
        <v>0</v>
      </c>
      <c r="AB11" s="11">
        <v>0</v>
      </c>
      <c r="AC11" s="9">
        <f>SUMIFS(입항스케줄!J:J,입항스케줄!C:C,PSI_메인!A11,입항스케줄!U:U,"2603")</f>
        <v>0</v>
      </c>
      <c r="AD11" s="11">
        <f>SUMIFS(입항스케줄!J:J,입항스케줄!C:C,PSI_메인!A11,입항스케줄!V:V,"2603")</f>
        <v>0</v>
      </c>
      <c r="AE11" s="280">
        <f t="shared" si="14"/>
        <v>0</v>
      </c>
      <c r="AF11" s="277">
        <f t="shared" si="15"/>
        <v>0</v>
      </c>
      <c r="AG11" s="278">
        <v>0</v>
      </c>
      <c r="AH11" s="278">
        <v>0</v>
      </c>
      <c r="AI11" s="279">
        <f t="shared" si="1"/>
        <v>0</v>
      </c>
      <c r="AJ11" s="11">
        <v>0</v>
      </c>
      <c r="AK11" s="9">
        <f>SUMIFS(입항스케줄!J:J,입항스케줄!C:C,PSI_메인!A11,입항스케줄!U:U,"2604")</f>
        <v>0</v>
      </c>
      <c r="AL11" s="11">
        <f>SUMIFS(입항스케줄!J:J,입항스케줄!C:C,PSI_메인!A11,입항스케줄!V:V,"2604")</f>
        <v>0</v>
      </c>
      <c r="AM11" s="280">
        <f t="shared" si="16"/>
        <v>0</v>
      </c>
      <c r="AN11" s="277">
        <f t="shared" si="17"/>
        <v>0</v>
      </c>
      <c r="AO11" s="278">
        <v>0</v>
      </c>
      <c r="AP11" s="278">
        <v>0</v>
      </c>
      <c r="AQ11" s="279">
        <f t="shared" si="2"/>
        <v>0</v>
      </c>
      <c r="AR11" s="11">
        <v>0</v>
      </c>
      <c r="AS11" s="9"/>
      <c r="AT11" s="277"/>
      <c r="AU11" s="280">
        <f t="shared" si="18"/>
        <v>0</v>
      </c>
      <c r="AV11" s="277">
        <f t="shared" si="19"/>
        <v>0</v>
      </c>
      <c r="AW11" s="278">
        <v>0</v>
      </c>
      <c r="AX11" s="278">
        <v>0</v>
      </c>
      <c r="AY11" s="279">
        <f t="shared" si="3"/>
        <v>0</v>
      </c>
      <c r="AZ11" s="11">
        <v>0</v>
      </c>
      <c r="BA11" s="9"/>
      <c r="BB11" s="11"/>
      <c r="BC11" s="280">
        <f t="shared" si="20"/>
        <v>0</v>
      </c>
      <c r="BD11" s="277">
        <f t="shared" si="21"/>
        <v>0</v>
      </c>
      <c r="BE11" s="278">
        <v>0</v>
      </c>
      <c r="BF11" s="278">
        <v>0</v>
      </c>
      <c r="BG11" s="279">
        <f t="shared" si="4"/>
        <v>0</v>
      </c>
      <c r="BH11" s="11">
        <v>0</v>
      </c>
      <c r="BI11" s="278"/>
      <c r="BJ11" s="11"/>
      <c r="BK11" s="280">
        <f t="shared" si="22"/>
        <v>0</v>
      </c>
      <c r="BL11" s="277">
        <f t="shared" si="23"/>
        <v>0</v>
      </c>
      <c r="BM11" s="278">
        <v>0</v>
      </c>
      <c r="BN11" s="278">
        <v>0</v>
      </c>
      <c r="BO11" s="279">
        <f t="shared" si="5"/>
        <v>0</v>
      </c>
      <c r="BP11" s="11">
        <v>0</v>
      </c>
      <c r="BQ11" s="278"/>
      <c r="BR11" s="11"/>
      <c r="BS11" s="280">
        <f t="shared" si="24"/>
        <v>0</v>
      </c>
      <c r="BT11" s="277">
        <f t="shared" si="25"/>
        <v>0</v>
      </c>
      <c r="BU11" s="278">
        <v>0</v>
      </c>
      <c r="BV11" s="278">
        <v>0</v>
      </c>
      <c r="BW11" s="279">
        <f t="shared" si="6"/>
        <v>0</v>
      </c>
      <c r="BX11" s="11">
        <v>0</v>
      </c>
      <c r="BY11" s="278"/>
      <c r="BZ11" s="11"/>
      <c r="CA11" s="280">
        <f t="shared" si="26"/>
        <v>0</v>
      </c>
      <c r="CB11" s="277">
        <f t="shared" si="27"/>
        <v>0</v>
      </c>
      <c r="CC11" s="278">
        <v>0</v>
      </c>
      <c r="CD11" s="278">
        <v>0</v>
      </c>
      <c r="CE11" s="279">
        <f t="shared" si="7"/>
        <v>0</v>
      </c>
      <c r="CF11" s="11">
        <v>0</v>
      </c>
      <c r="CG11" s="278"/>
      <c r="CH11" s="11"/>
      <c r="CI11" s="280">
        <f t="shared" si="28"/>
        <v>0</v>
      </c>
      <c r="CJ11" s="277">
        <f t="shared" si="29"/>
        <v>0</v>
      </c>
      <c r="CK11" s="278">
        <v>0</v>
      </c>
      <c r="CL11" s="278">
        <v>0</v>
      </c>
      <c r="CM11" s="279">
        <f t="shared" si="8"/>
        <v>0</v>
      </c>
      <c r="CN11" s="11">
        <v>0</v>
      </c>
      <c r="CO11" s="278"/>
      <c r="CP11" s="277"/>
      <c r="CQ11" s="280">
        <f t="shared" si="30"/>
        <v>0</v>
      </c>
      <c r="CR11" s="277">
        <f t="shared" si="31"/>
        <v>0</v>
      </c>
      <c r="CS11" s="278">
        <v>0</v>
      </c>
      <c r="CT11" s="278">
        <v>0</v>
      </c>
      <c r="CU11" s="279">
        <f t="shared" si="9"/>
        <v>0</v>
      </c>
      <c r="CV11" s="11">
        <v>0</v>
      </c>
      <c r="CW11" s="278"/>
      <c r="CX11" s="277"/>
      <c r="CY11" s="280">
        <f t="shared" si="32"/>
        <v>0</v>
      </c>
      <c r="CZ11" s="277">
        <f t="shared" si="33"/>
        <v>0</v>
      </c>
    </row>
    <row r="12" spans="1:104" ht="17.25" customHeight="1">
      <c r="A12" s="28" t="s">
        <v>589</v>
      </c>
      <c r="B12" s="382"/>
      <c r="C12" s="27"/>
      <c r="D12" s="28" t="str">
        <f>_xlfn.XLOOKUP(A12,'ABC-XYZ분석 (2)'!C:C,'ABC-XYZ분석 (2)'!I:I)</f>
        <v>여름</v>
      </c>
      <c r="E12" s="28" t="str">
        <f>_xlfn.XLOOKUP(A12,'ABC-XYZ분석 (2)'!C:C,'ABC-XYZ분석 (2)'!AC:AC)</f>
        <v>A</v>
      </c>
      <c r="F12" s="3" t="str">
        <f>_xlfn.XLOOKUP(A12,'ABC-XYZ분석 (2)'!C:C,'ABC-XYZ분석 (2)'!AG:AG)</f>
        <v>Z</v>
      </c>
      <c r="G12" s="14">
        <f>SUMIF(재고!C:C,PSI_메인!A12,재고!I:I)</f>
        <v>0</v>
      </c>
      <c r="H12" s="277">
        <v>6767</v>
      </c>
      <c r="I12" s="278">
        <v>0</v>
      </c>
      <c r="J12" s="278">
        <v>0</v>
      </c>
      <c r="K12" s="279">
        <v>0</v>
      </c>
      <c r="L12" s="11">
        <v>0</v>
      </c>
      <c r="M12" s="9">
        <f>SUMIFS(입항스케줄!J:J,입항스케줄!C:C,PSI_메인!A12,입항스케줄!U:U,"2601")</f>
        <v>0</v>
      </c>
      <c r="N12" s="11">
        <f>SUMIFS(입항스케줄!J:J,입항스케줄!C:C,PSI_메인!A12,입항스케줄!V:V,"2601")</f>
        <v>0</v>
      </c>
      <c r="O12" s="280">
        <f t="shared" si="10"/>
        <v>0</v>
      </c>
      <c r="P12" s="277">
        <f t="shared" si="11"/>
        <v>0</v>
      </c>
      <c r="Q12" s="278">
        <v>0</v>
      </c>
      <c r="R12" s="278">
        <v>0</v>
      </c>
      <c r="S12" s="10">
        <v>0</v>
      </c>
      <c r="T12" s="11">
        <v>0</v>
      </c>
      <c r="U12" s="9">
        <f>SUMIFS(입항스케줄!J:J,입항스케줄!C:C,PSI_메인!A12,입항스케줄!U:U,"2602")</f>
        <v>0</v>
      </c>
      <c r="V12" s="11">
        <f>SUMIFS(입항스케줄!J:J,입항스케줄!C:C,PSI_메인!A12,입항스케줄!V:V,"2602")</f>
        <v>0</v>
      </c>
      <c r="W12" s="280">
        <f t="shared" si="12"/>
        <v>0</v>
      </c>
      <c r="X12" s="277">
        <f t="shared" si="13"/>
        <v>0</v>
      </c>
      <c r="Y12" s="278">
        <v>0</v>
      </c>
      <c r="Z12" s="278">
        <v>0</v>
      </c>
      <c r="AA12" s="279">
        <f t="shared" si="0"/>
        <v>0</v>
      </c>
      <c r="AB12" s="11">
        <v>0</v>
      </c>
      <c r="AC12" s="9">
        <f>SUMIFS(입항스케줄!J:J,입항스케줄!C:C,PSI_메인!A12,입항스케줄!U:U,"2603")</f>
        <v>0</v>
      </c>
      <c r="AD12" s="11">
        <f>SUMIFS(입항스케줄!J:J,입항스케줄!C:C,PSI_메인!A12,입항스케줄!V:V,"2603")</f>
        <v>0</v>
      </c>
      <c r="AE12" s="280">
        <f t="shared" si="14"/>
        <v>0</v>
      </c>
      <c r="AF12" s="277">
        <f t="shared" si="15"/>
        <v>0</v>
      </c>
      <c r="AG12" s="278">
        <v>0</v>
      </c>
      <c r="AH12" s="278">
        <v>0</v>
      </c>
      <c r="AI12" s="279">
        <f t="shared" si="1"/>
        <v>0</v>
      </c>
      <c r="AJ12" s="11">
        <v>0</v>
      </c>
      <c r="AK12" s="9">
        <f>SUMIFS(입항스케줄!J:J,입항스케줄!C:C,PSI_메인!A12,입항스케줄!U:U,"2604")</f>
        <v>0</v>
      </c>
      <c r="AL12" s="11">
        <f>SUMIFS(입항스케줄!J:J,입항스케줄!C:C,PSI_메인!A12,입항스케줄!V:V,"2604")</f>
        <v>0</v>
      </c>
      <c r="AM12" s="280">
        <f t="shared" si="16"/>
        <v>0</v>
      </c>
      <c r="AN12" s="277">
        <f t="shared" si="17"/>
        <v>0</v>
      </c>
      <c r="AO12" s="278">
        <v>0</v>
      </c>
      <c r="AP12" s="278">
        <v>0</v>
      </c>
      <c r="AQ12" s="279">
        <f t="shared" si="2"/>
        <v>0</v>
      </c>
      <c r="AR12" s="11">
        <v>0</v>
      </c>
      <c r="AS12" s="9"/>
      <c r="AT12" s="277"/>
      <c r="AU12" s="280">
        <f t="shared" si="18"/>
        <v>0</v>
      </c>
      <c r="AV12" s="277">
        <f t="shared" si="19"/>
        <v>0</v>
      </c>
      <c r="AW12" s="278">
        <v>0</v>
      </c>
      <c r="AX12" s="278">
        <v>0</v>
      </c>
      <c r="AY12" s="279">
        <f t="shared" si="3"/>
        <v>0</v>
      </c>
      <c r="AZ12" s="11">
        <v>0</v>
      </c>
      <c r="BA12" s="9"/>
      <c r="BB12" s="11"/>
      <c r="BC12" s="280">
        <f t="shared" si="20"/>
        <v>0</v>
      </c>
      <c r="BD12" s="277">
        <f t="shared" si="21"/>
        <v>0</v>
      </c>
      <c r="BE12" s="278">
        <v>0</v>
      </c>
      <c r="BF12" s="278">
        <v>0</v>
      </c>
      <c r="BG12" s="279">
        <f t="shared" si="4"/>
        <v>0</v>
      </c>
      <c r="BH12" s="11">
        <v>0</v>
      </c>
      <c r="BI12" s="278"/>
      <c r="BJ12" s="11"/>
      <c r="BK12" s="280">
        <f t="shared" si="22"/>
        <v>0</v>
      </c>
      <c r="BL12" s="277">
        <f t="shared" si="23"/>
        <v>0</v>
      </c>
      <c r="BM12" s="278">
        <v>0</v>
      </c>
      <c r="BN12" s="278">
        <v>0</v>
      </c>
      <c r="BO12" s="279">
        <f t="shared" si="5"/>
        <v>0</v>
      </c>
      <c r="BP12" s="11">
        <v>0</v>
      </c>
      <c r="BQ12" s="278"/>
      <c r="BR12" s="11"/>
      <c r="BS12" s="280">
        <f t="shared" si="24"/>
        <v>0</v>
      </c>
      <c r="BT12" s="277">
        <f t="shared" si="25"/>
        <v>0</v>
      </c>
      <c r="BU12" s="278">
        <v>0</v>
      </c>
      <c r="BV12" s="278">
        <v>0</v>
      </c>
      <c r="BW12" s="279">
        <f t="shared" si="6"/>
        <v>0</v>
      </c>
      <c r="BX12" s="11">
        <v>0</v>
      </c>
      <c r="BY12" s="278"/>
      <c r="BZ12" s="11"/>
      <c r="CA12" s="280">
        <f t="shared" si="26"/>
        <v>0</v>
      </c>
      <c r="CB12" s="277">
        <f t="shared" si="27"/>
        <v>0</v>
      </c>
      <c r="CC12" s="278">
        <v>0</v>
      </c>
      <c r="CD12" s="278">
        <v>0</v>
      </c>
      <c r="CE12" s="279">
        <f t="shared" si="7"/>
        <v>0</v>
      </c>
      <c r="CF12" s="11">
        <v>0</v>
      </c>
      <c r="CG12" s="278"/>
      <c r="CH12" s="11"/>
      <c r="CI12" s="280">
        <f t="shared" si="28"/>
        <v>0</v>
      </c>
      <c r="CJ12" s="277">
        <f t="shared" si="29"/>
        <v>0</v>
      </c>
      <c r="CK12" s="278">
        <v>0</v>
      </c>
      <c r="CL12" s="278">
        <v>0</v>
      </c>
      <c r="CM12" s="279">
        <f t="shared" si="8"/>
        <v>0</v>
      </c>
      <c r="CN12" s="11">
        <v>0</v>
      </c>
      <c r="CO12" s="278"/>
      <c r="CP12" s="277"/>
      <c r="CQ12" s="280">
        <f t="shared" si="30"/>
        <v>0</v>
      </c>
      <c r="CR12" s="277">
        <f t="shared" si="31"/>
        <v>0</v>
      </c>
      <c r="CS12" s="278">
        <v>0</v>
      </c>
      <c r="CT12" s="278">
        <v>0</v>
      </c>
      <c r="CU12" s="279">
        <f t="shared" si="9"/>
        <v>0</v>
      </c>
      <c r="CV12" s="11">
        <v>0</v>
      </c>
      <c r="CW12" s="278"/>
      <c r="CX12" s="277"/>
      <c r="CY12" s="280">
        <f t="shared" si="32"/>
        <v>0</v>
      </c>
      <c r="CZ12" s="277">
        <f t="shared" si="33"/>
        <v>0</v>
      </c>
    </row>
    <row r="13" spans="1:104" ht="17.25" customHeight="1">
      <c r="A13" s="28" t="s">
        <v>590</v>
      </c>
      <c r="B13" s="382"/>
      <c r="C13" s="27"/>
      <c r="D13" s="28" t="str">
        <f>_xlfn.XLOOKUP(A13,'ABC-XYZ분석 (2)'!C:C,'ABC-XYZ분석 (2)'!I:I)</f>
        <v>사계절</v>
      </c>
      <c r="E13" s="28" t="str">
        <f>_xlfn.XLOOKUP(A13,'ABC-XYZ분석 (2)'!C:C,'ABC-XYZ분석 (2)'!AC:AC)</f>
        <v>A</v>
      </c>
      <c r="F13" s="3" t="str">
        <f>_xlfn.XLOOKUP(A13,'ABC-XYZ분석 (2)'!C:C,'ABC-XYZ분석 (2)'!AG:AG)</f>
        <v>X</v>
      </c>
      <c r="G13" s="14">
        <f>SUMIF(재고!C:C,PSI_메인!A13,재고!I:I)</f>
        <v>0</v>
      </c>
      <c r="H13" s="277">
        <v>10244</v>
      </c>
      <c r="I13" s="278">
        <v>0</v>
      </c>
      <c r="J13" s="278">
        <v>0</v>
      </c>
      <c r="K13" s="279">
        <v>0</v>
      </c>
      <c r="L13" s="11">
        <v>0</v>
      </c>
      <c r="M13" s="9">
        <f>SUMIFS(입항스케줄!J:J,입항스케줄!C:C,PSI_메인!A13,입항스케줄!U:U,"2601")</f>
        <v>0</v>
      </c>
      <c r="N13" s="11">
        <f>SUMIFS(입항스케줄!J:J,입항스케줄!C:C,PSI_메인!A13,입항스케줄!V:V,"2601")</f>
        <v>0</v>
      </c>
      <c r="O13" s="280">
        <f t="shared" si="10"/>
        <v>0</v>
      </c>
      <c r="P13" s="277">
        <f t="shared" si="11"/>
        <v>0</v>
      </c>
      <c r="Q13" s="278">
        <v>0</v>
      </c>
      <c r="R13" s="278">
        <v>0</v>
      </c>
      <c r="S13" s="10">
        <v>0</v>
      </c>
      <c r="T13" s="11">
        <v>0</v>
      </c>
      <c r="U13" s="9">
        <f>SUMIFS(입항스케줄!J:J,입항스케줄!C:C,PSI_메인!A13,입항스케줄!U:U,"2602")</f>
        <v>0</v>
      </c>
      <c r="V13" s="11">
        <f>SUMIFS(입항스케줄!J:J,입항스케줄!C:C,PSI_메인!A13,입항스케줄!V:V,"2602")</f>
        <v>0</v>
      </c>
      <c r="W13" s="280">
        <f t="shared" si="12"/>
        <v>0</v>
      </c>
      <c r="X13" s="277">
        <f t="shared" si="13"/>
        <v>0</v>
      </c>
      <c r="Y13" s="278">
        <v>0</v>
      </c>
      <c r="Z13" s="278">
        <v>0</v>
      </c>
      <c r="AA13" s="279">
        <f t="shared" si="0"/>
        <v>0</v>
      </c>
      <c r="AB13" s="11">
        <v>0</v>
      </c>
      <c r="AC13" s="9">
        <f>SUMIFS(입항스케줄!J:J,입항스케줄!C:C,PSI_메인!A13,입항스케줄!U:U,"2603")</f>
        <v>0</v>
      </c>
      <c r="AD13" s="11">
        <f>SUMIFS(입항스케줄!J:J,입항스케줄!C:C,PSI_메인!A13,입항스케줄!V:V,"2603")</f>
        <v>0</v>
      </c>
      <c r="AE13" s="280">
        <f t="shared" si="14"/>
        <v>0</v>
      </c>
      <c r="AF13" s="277">
        <f t="shared" si="15"/>
        <v>0</v>
      </c>
      <c r="AG13" s="278">
        <v>0</v>
      </c>
      <c r="AH13" s="278">
        <v>0</v>
      </c>
      <c r="AI13" s="279">
        <f t="shared" si="1"/>
        <v>0</v>
      </c>
      <c r="AJ13" s="11">
        <v>0</v>
      </c>
      <c r="AK13" s="9">
        <f>SUMIFS(입항스케줄!J:J,입항스케줄!C:C,PSI_메인!A13,입항스케줄!U:U,"2604")</f>
        <v>0</v>
      </c>
      <c r="AL13" s="11">
        <f>SUMIFS(입항스케줄!J:J,입항스케줄!C:C,PSI_메인!A13,입항스케줄!V:V,"2604")</f>
        <v>0</v>
      </c>
      <c r="AM13" s="280">
        <f t="shared" si="16"/>
        <v>0</v>
      </c>
      <c r="AN13" s="277">
        <f t="shared" si="17"/>
        <v>0</v>
      </c>
      <c r="AO13" s="278">
        <v>0</v>
      </c>
      <c r="AP13" s="278">
        <v>0</v>
      </c>
      <c r="AQ13" s="279">
        <f t="shared" si="2"/>
        <v>0</v>
      </c>
      <c r="AR13" s="11">
        <v>0</v>
      </c>
      <c r="AS13" s="9"/>
      <c r="AT13" s="277"/>
      <c r="AU13" s="280">
        <f t="shared" si="18"/>
        <v>0</v>
      </c>
      <c r="AV13" s="277">
        <f t="shared" si="19"/>
        <v>0</v>
      </c>
      <c r="AW13" s="278">
        <v>0</v>
      </c>
      <c r="AX13" s="278">
        <v>0</v>
      </c>
      <c r="AY13" s="279">
        <f t="shared" si="3"/>
        <v>0</v>
      </c>
      <c r="AZ13" s="11">
        <v>0</v>
      </c>
      <c r="BA13" s="9"/>
      <c r="BB13" s="11"/>
      <c r="BC13" s="280">
        <f t="shared" si="20"/>
        <v>0</v>
      </c>
      <c r="BD13" s="277">
        <f t="shared" si="21"/>
        <v>0</v>
      </c>
      <c r="BE13" s="278">
        <v>0</v>
      </c>
      <c r="BF13" s="278">
        <v>0</v>
      </c>
      <c r="BG13" s="279">
        <f t="shared" si="4"/>
        <v>0</v>
      </c>
      <c r="BH13" s="11">
        <v>0</v>
      </c>
      <c r="BI13" s="278"/>
      <c r="BJ13" s="11"/>
      <c r="BK13" s="280">
        <f t="shared" si="22"/>
        <v>0</v>
      </c>
      <c r="BL13" s="277">
        <f t="shared" si="23"/>
        <v>0</v>
      </c>
      <c r="BM13" s="278">
        <v>0</v>
      </c>
      <c r="BN13" s="278">
        <v>0</v>
      </c>
      <c r="BO13" s="279">
        <f t="shared" si="5"/>
        <v>0</v>
      </c>
      <c r="BP13" s="11">
        <v>0</v>
      </c>
      <c r="BQ13" s="278"/>
      <c r="BR13" s="11"/>
      <c r="BS13" s="280">
        <f t="shared" si="24"/>
        <v>0</v>
      </c>
      <c r="BT13" s="277">
        <f t="shared" si="25"/>
        <v>0</v>
      </c>
      <c r="BU13" s="278">
        <v>0</v>
      </c>
      <c r="BV13" s="278">
        <v>0</v>
      </c>
      <c r="BW13" s="279">
        <f t="shared" si="6"/>
        <v>0</v>
      </c>
      <c r="BX13" s="11">
        <v>0</v>
      </c>
      <c r="BY13" s="278"/>
      <c r="BZ13" s="11"/>
      <c r="CA13" s="280">
        <f t="shared" si="26"/>
        <v>0</v>
      </c>
      <c r="CB13" s="277">
        <f t="shared" si="27"/>
        <v>0</v>
      </c>
      <c r="CC13" s="278">
        <v>0</v>
      </c>
      <c r="CD13" s="278">
        <v>0</v>
      </c>
      <c r="CE13" s="279">
        <f t="shared" si="7"/>
        <v>0</v>
      </c>
      <c r="CF13" s="11">
        <v>0</v>
      </c>
      <c r="CG13" s="278"/>
      <c r="CH13" s="11"/>
      <c r="CI13" s="280">
        <f t="shared" si="28"/>
        <v>0</v>
      </c>
      <c r="CJ13" s="277">
        <f t="shared" si="29"/>
        <v>0</v>
      </c>
      <c r="CK13" s="278">
        <v>0</v>
      </c>
      <c r="CL13" s="278">
        <v>0</v>
      </c>
      <c r="CM13" s="279">
        <f t="shared" si="8"/>
        <v>0</v>
      </c>
      <c r="CN13" s="11">
        <v>0</v>
      </c>
      <c r="CO13" s="278"/>
      <c r="CP13" s="277"/>
      <c r="CQ13" s="280">
        <f t="shared" si="30"/>
        <v>0</v>
      </c>
      <c r="CR13" s="277">
        <f t="shared" si="31"/>
        <v>0</v>
      </c>
      <c r="CS13" s="278">
        <v>0</v>
      </c>
      <c r="CT13" s="278">
        <v>0</v>
      </c>
      <c r="CU13" s="279">
        <f t="shared" si="9"/>
        <v>0</v>
      </c>
      <c r="CV13" s="11">
        <v>0</v>
      </c>
      <c r="CW13" s="278"/>
      <c r="CX13" s="277"/>
      <c r="CY13" s="280">
        <f t="shared" si="32"/>
        <v>0</v>
      </c>
      <c r="CZ13" s="277">
        <f t="shared" si="33"/>
        <v>0</v>
      </c>
    </row>
    <row r="14" spans="1:104" ht="17.25" customHeight="1">
      <c r="A14" s="28" t="s">
        <v>591</v>
      </c>
      <c r="B14" s="382"/>
      <c r="C14" s="27"/>
      <c r="D14" s="28" t="str">
        <f>_xlfn.XLOOKUP(A14,'ABC-XYZ분석 (2)'!C:C,'ABC-XYZ분석 (2)'!I:I)</f>
        <v>사계절</v>
      </c>
      <c r="E14" s="28" t="str">
        <f>_xlfn.XLOOKUP(A14,'ABC-XYZ분석 (2)'!C:C,'ABC-XYZ분석 (2)'!AC:AC)</f>
        <v>A</v>
      </c>
      <c r="F14" s="3" t="str">
        <f>_xlfn.XLOOKUP(A14,'ABC-XYZ분석 (2)'!C:C,'ABC-XYZ분석 (2)'!AG:AG)</f>
        <v>X</v>
      </c>
      <c r="G14" s="14">
        <f>SUMIF(재고!C:C,PSI_메인!A14,재고!I:I)</f>
        <v>0</v>
      </c>
      <c r="H14" s="277">
        <v>2877</v>
      </c>
      <c r="I14" s="278">
        <v>0</v>
      </c>
      <c r="J14" s="278">
        <v>0</v>
      </c>
      <c r="K14" s="279">
        <v>400</v>
      </c>
      <c r="L14" s="11">
        <v>0</v>
      </c>
      <c r="M14" s="9">
        <f>SUMIFS(입항스케줄!J:J,입항스케줄!C:C,PSI_메인!A14,입항스케줄!U:U,"2601")</f>
        <v>0</v>
      </c>
      <c r="N14" s="11">
        <f>SUMIFS(입항스케줄!J:J,입항스케줄!C:C,PSI_메인!A14,입항스케줄!V:V,"2601")</f>
        <v>0</v>
      </c>
      <c r="O14" s="280">
        <f t="shared" si="10"/>
        <v>-400</v>
      </c>
      <c r="P14" s="277">
        <f t="shared" si="11"/>
        <v>0</v>
      </c>
      <c r="Q14" s="278">
        <v>0</v>
      </c>
      <c r="R14" s="278">
        <v>0</v>
      </c>
      <c r="S14" s="10">
        <v>500</v>
      </c>
      <c r="T14" s="11">
        <v>0</v>
      </c>
      <c r="U14" s="9">
        <f>SUMIFS(입항스케줄!J:J,입항스케줄!C:C,PSI_메인!A14,입항스케줄!U:U,"2602")</f>
        <v>0</v>
      </c>
      <c r="V14" s="11">
        <f>SUMIFS(입항스케줄!J:J,입항스케줄!C:C,PSI_메인!A14,입항스케줄!V:V,"2602")</f>
        <v>0</v>
      </c>
      <c r="W14" s="280">
        <f t="shared" si="12"/>
        <v>-500</v>
      </c>
      <c r="X14" s="277">
        <f t="shared" si="13"/>
        <v>0</v>
      </c>
      <c r="Y14" s="278">
        <v>0</v>
      </c>
      <c r="Z14" s="278">
        <v>0</v>
      </c>
      <c r="AA14" s="279">
        <f t="shared" si="0"/>
        <v>0</v>
      </c>
      <c r="AB14" s="11">
        <v>0</v>
      </c>
      <c r="AC14" s="9">
        <f>SUMIFS(입항스케줄!J:J,입항스케줄!C:C,PSI_메인!A14,입항스케줄!U:U,"2603")</f>
        <v>0</v>
      </c>
      <c r="AD14" s="11">
        <f>SUMIFS(입항스케줄!J:J,입항스케줄!C:C,PSI_메인!A14,입항스케줄!V:V,"2603")</f>
        <v>0</v>
      </c>
      <c r="AE14" s="280">
        <f t="shared" si="14"/>
        <v>0</v>
      </c>
      <c r="AF14" s="277">
        <f t="shared" si="15"/>
        <v>0</v>
      </c>
      <c r="AG14" s="278">
        <v>0</v>
      </c>
      <c r="AH14" s="278">
        <v>0</v>
      </c>
      <c r="AI14" s="279">
        <f t="shared" si="1"/>
        <v>0</v>
      </c>
      <c r="AJ14" s="11">
        <v>0</v>
      </c>
      <c r="AK14" s="9">
        <f>SUMIFS(입항스케줄!J:J,입항스케줄!C:C,PSI_메인!A14,입항스케줄!U:U,"2604")</f>
        <v>0</v>
      </c>
      <c r="AL14" s="11">
        <f>SUMIFS(입항스케줄!J:J,입항스케줄!C:C,PSI_메인!A14,입항스케줄!V:V,"2604")</f>
        <v>0</v>
      </c>
      <c r="AM14" s="280">
        <f t="shared" si="16"/>
        <v>0</v>
      </c>
      <c r="AN14" s="277">
        <f t="shared" si="17"/>
        <v>0</v>
      </c>
      <c r="AO14" s="278">
        <v>0</v>
      </c>
      <c r="AP14" s="278">
        <v>0</v>
      </c>
      <c r="AQ14" s="279">
        <f t="shared" si="2"/>
        <v>0</v>
      </c>
      <c r="AR14" s="11">
        <v>0</v>
      </c>
      <c r="AS14" s="9"/>
      <c r="AT14" s="277"/>
      <c r="AU14" s="280">
        <f t="shared" si="18"/>
        <v>0</v>
      </c>
      <c r="AV14" s="277">
        <f t="shared" si="19"/>
        <v>0</v>
      </c>
      <c r="AW14" s="278">
        <v>0</v>
      </c>
      <c r="AX14" s="278">
        <v>0</v>
      </c>
      <c r="AY14" s="279">
        <f t="shared" si="3"/>
        <v>0</v>
      </c>
      <c r="AZ14" s="11">
        <v>0</v>
      </c>
      <c r="BA14" s="9"/>
      <c r="BB14" s="11"/>
      <c r="BC14" s="280">
        <f t="shared" si="20"/>
        <v>0</v>
      </c>
      <c r="BD14" s="277">
        <f t="shared" si="21"/>
        <v>0</v>
      </c>
      <c r="BE14" s="278">
        <v>0</v>
      </c>
      <c r="BF14" s="278">
        <v>0</v>
      </c>
      <c r="BG14" s="279">
        <f t="shared" si="4"/>
        <v>0</v>
      </c>
      <c r="BH14" s="11">
        <v>0</v>
      </c>
      <c r="BI14" s="278"/>
      <c r="BJ14" s="11"/>
      <c r="BK14" s="280">
        <f t="shared" si="22"/>
        <v>0</v>
      </c>
      <c r="BL14" s="277">
        <f t="shared" si="23"/>
        <v>0</v>
      </c>
      <c r="BM14" s="278">
        <v>0</v>
      </c>
      <c r="BN14" s="278">
        <v>0</v>
      </c>
      <c r="BO14" s="279">
        <f t="shared" si="5"/>
        <v>0</v>
      </c>
      <c r="BP14" s="11">
        <v>0</v>
      </c>
      <c r="BQ14" s="278"/>
      <c r="BR14" s="11"/>
      <c r="BS14" s="280">
        <f t="shared" si="24"/>
        <v>0</v>
      </c>
      <c r="BT14" s="277">
        <f t="shared" si="25"/>
        <v>0</v>
      </c>
      <c r="BU14" s="278">
        <v>0</v>
      </c>
      <c r="BV14" s="278">
        <v>0</v>
      </c>
      <c r="BW14" s="279">
        <f t="shared" si="6"/>
        <v>0</v>
      </c>
      <c r="BX14" s="11">
        <v>0</v>
      </c>
      <c r="BY14" s="278"/>
      <c r="BZ14" s="11"/>
      <c r="CA14" s="280">
        <f t="shared" si="26"/>
        <v>0</v>
      </c>
      <c r="CB14" s="277">
        <f t="shared" si="27"/>
        <v>0</v>
      </c>
      <c r="CC14" s="278">
        <v>0</v>
      </c>
      <c r="CD14" s="278">
        <v>0</v>
      </c>
      <c r="CE14" s="279">
        <f t="shared" si="7"/>
        <v>0</v>
      </c>
      <c r="CF14" s="11">
        <v>0</v>
      </c>
      <c r="CG14" s="278"/>
      <c r="CH14" s="11"/>
      <c r="CI14" s="280">
        <f t="shared" si="28"/>
        <v>0</v>
      </c>
      <c r="CJ14" s="277">
        <f t="shared" si="29"/>
        <v>0</v>
      </c>
      <c r="CK14" s="278">
        <v>0</v>
      </c>
      <c r="CL14" s="278">
        <v>0</v>
      </c>
      <c r="CM14" s="279">
        <f t="shared" si="8"/>
        <v>0</v>
      </c>
      <c r="CN14" s="11">
        <v>0</v>
      </c>
      <c r="CO14" s="278"/>
      <c r="CP14" s="277"/>
      <c r="CQ14" s="280">
        <f t="shared" si="30"/>
        <v>0</v>
      </c>
      <c r="CR14" s="277">
        <f t="shared" si="31"/>
        <v>0</v>
      </c>
      <c r="CS14" s="278">
        <v>0</v>
      </c>
      <c r="CT14" s="278">
        <v>0</v>
      </c>
      <c r="CU14" s="279">
        <f t="shared" si="9"/>
        <v>0</v>
      </c>
      <c r="CV14" s="11">
        <v>0</v>
      </c>
      <c r="CW14" s="278"/>
      <c r="CX14" s="277"/>
      <c r="CY14" s="280">
        <f t="shared" si="32"/>
        <v>0</v>
      </c>
      <c r="CZ14" s="277">
        <f t="shared" si="33"/>
        <v>0</v>
      </c>
    </row>
    <row r="15" spans="1:104" ht="17.25" customHeight="1">
      <c r="A15" s="28" t="s">
        <v>592</v>
      </c>
      <c r="B15" s="382"/>
      <c r="C15" s="27"/>
      <c r="D15" s="28" t="str">
        <f>_xlfn.XLOOKUP(A15,'ABC-XYZ분석 (2)'!C:C,'ABC-XYZ분석 (2)'!I:I)</f>
        <v>사계절</v>
      </c>
      <c r="E15" s="28" t="str">
        <f>_xlfn.XLOOKUP(A15,'ABC-XYZ분석 (2)'!C:C,'ABC-XYZ분석 (2)'!AC:AC)</f>
        <v>A</v>
      </c>
      <c r="F15" s="3" t="str">
        <f>_xlfn.XLOOKUP(A15,'ABC-XYZ분석 (2)'!C:C,'ABC-XYZ분석 (2)'!AG:AG)</f>
        <v>X</v>
      </c>
      <c r="G15" s="14">
        <f>SUMIF(재고!C:C,PSI_메인!A15,재고!I:I)</f>
        <v>2800</v>
      </c>
      <c r="H15" s="277">
        <v>3641</v>
      </c>
      <c r="I15" s="278">
        <v>0</v>
      </c>
      <c r="J15" s="278">
        <v>0</v>
      </c>
      <c r="K15" s="279">
        <v>2000</v>
      </c>
      <c r="L15" s="11">
        <v>0</v>
      </c>
      <c r="M15" s="9">
        <f>SUMIFS(입항스케줄!J:J,입항스케줄!C:C,PSI_메인!A15,입항스케줄!U:U,"2601")</f>
        <v>0</v>
      </c>
      <c r="N15" s="11">
        <f>SUMIFS(입항스케줄!J:J,입항스케줄!C:C,PSI_메인!A15,입항스케줄!V:V,"2601")</f>
        <v>0</v>
      </c>
      <c r="O15" s="280">
        <f t="shared" si="10"/>
        <v>800</v>
      </c>
      <c r="P15" s="277">
        <f t="shared" si="11"/>
        <v>2800</v>
      </c>
      <c r="Q15" s="278">
        <v>0</v>
      </c>
      <c r="R15" s="278">
        <v>0</v>
      </c>
      <c r="S15" s="10">
        <v>2000</v>
      </c>
      <c r="T15" s="11">
        <v>0</v>
      </c>
      <c r="U15" s="9">
        <f>SUMIFS(입항스케줄!J:J,입항스케줄!C:C,PSI_메인!A15,입항스케줄!U:U,"2602")</f>
        <v>0</v>
      </c>
      <c r="V15" s="11">
        <f>SUMIFS(입항스케줄!J:J,입항스케줄!C:C,PSI_메인!A15,입항스케줄!V:V,"2602")</f>
        <v>0</v>
      </c>
      <c r="W15" s="280">
        <f t="shared" si="12"/>
        <v>800</v>
      </c>
      <c r="X15" s="277">
        <f t="shared" si="13"/>
        <v>2800</v>
      </c>
      <c r="Y15" s="278">
        <v>0</v>
      </c>
      <c r="Z15" s="278">
        <v>0</v>
      </c>
      <c r="AA15" s="279">
        <f t="shared" si="0"/>
        <v>0</v>
      </c>
      <c r="AB15" s="11">
        <v>0</v>
      </c>
      <c r="AC15" s="9">
        <f>SUMIFS(입항스케줄!J:J,입항스케줄!C:C,PSI_메인!A15,입항스케줄!U:U,"2603")</f>
        <v>0</v>
      </c>
      <c r="AD15" s="11">
        <f>SUMIFS(입항스케줄!J:J,입항스케줄!C:C,PSI_메인!A15,입항스케줄!V:V,"2603")</f>
        <v>0</v>
      </c>
      <c r="AE15" s="280">
        <f t="shared" si="14"/>
        <v>2800</v>
      </c>
      <c r="AF15" s="277">
        <f t="shared" si="15"/>
        <v>2800</v>
      </c>
      <c r="AG15" s="278">
        <v>0</v>
      </c>
      <c r="AH15" s="278">
        <v>0</v>
      </c>
      <c r="AI15" s="279">
        <f t="shared" si="1"/>
        <v>0</v>
      </c>
      <c r="AJ15" s="11">
        <v>0</v>
      </c>
      <c r="AK15" s="9">
        <f>SUMIFS(입항스케줄!J:J,입항스케줄!C:C,PSI_메인!A15,입항스케줄!U:U,"2604")</f>
        <v>0</v>
      </c>
      <c r="AL15" s="11">
        <f>SUMIFS(입항스케줄!J:J,입항스케줄!C:C,PSI_메인!A15,입항스케줄!V:V,"2604")</f>
        <v>0</v>
      </c>
      <c r="AM15" s="280">
        <f t="shared" si="16"/>
        <v>2800</v>
      </c>
      <c r="AN15" s="277">
        <f t="shared" si="17"/>
        <v>2800</v>
      </c>
      <c r="AO15" s="278">
        <v>0</v>
      </c>
      <c r="AP15" s="278">
        <v>0</v>
      </c>
      <c r="AQ15" s="279">
        <f t="shared" si="2"/>
        <v>0</v>
      </c>
      <c r="AR15" s="11">
        <v>0</v>
      </c>
      <c r="AS15" s="9"/>
      <c r="AT15" s="277"/>
      <c r="AU15" s="280">
        <f t="shared" si="18"/>
        <v>2800</v>
      </c>
      <c r="AV15" s="277">
        <f t="shared" si="19"/>
        <v>2800</v>
      </c>
      <c r="AW15" s="278">
        <v>0</v>
      </c>
      <c r="AX15" s="278">
        <v>0</v>
      </c>
      <c r="AY15" s="279">
        <f t="shared" si="3"/>
        <v>0</v>
      </c>
      <c r="AZ15" s="11">
        <v>0</v>
      </c>
      <c r="BA15" s="9"/>
      <c r="BB15" s="11"/>
      <c r="BC15" s="280">
        <f t="shared" si="20"/>
        <v>2800</v>
      </c>
      <c r="BD15" s="277">
        <f t="shared" si="21"/>
        <v>2800</v>
      </c>
      <c r="BE15" s="278">
        <v>0</v>
      </c>
      <c r="BF15" s="278">
        <v>0</v>
      </c>
      <c r="BG15" s="279">
        <f t="shared" si="4"/>
        <v>0</v>
      </c>
      <c r="BH15" s="11">
        <v>0</v>
      </c>
      <c r="BI15" s="278"/>
      <c r="BJ15" s="11"/>
      <c r="BK15" s="280">
        <f t="shared" si="22"/>
        <v>2800</v>
      </c>
      <c r="BL15" s="277">
        <f t="shared" si="23"/>
        <v>2800</v>
      </c>
      <c r="BM15" s="278">
        <v>0</v>
      </c>
      <c r="BN15" s="278">
        <v>0</v>
      </c>
      <c r="BO15" s="279">
        <f t="shared" si="5"/>
        <v>0</v>
      </c>
      <c r="BP15" s="11">
        <v>0</v>
      </c>
      <c r="BQ15" s="278"/>
      <c r="BR15" s="11"/>
      <c r="BS15" s="280">
        <f t="shared" si="24"/>
        <v>2800</v>
      </c>
      <c r="BT15" s="277">
        <f t="shared" si="25"/>
        <v>2800</v>
      </c>
      <c r="BU15" s="278">
        <v>0</v>
      </c>
      <c r="BV15" s="278">
        <v>0</v>
      </c>
      <c r="BW15" s="279">
        <f t="shared" si="6"/>
        <v>0</v>
      </c>
      <c r="BX15" s="11">
        <v>0</v>
      </c>
      <c r="BY15" s="278"/>
      <c r="BZ15" s="11"/>
      <c r="CA15" s="280">
        <f t="shared" si="26"/>
        <v>2800</v>
      </c>
      <c r="CB15" s="277">
        <f t="shared" si="27"/>
        <v>2800</v>
      </c>
      <c r="CC15" s="278">
        <v>0</v>
      </c>
      <c r="CD15" s="278">
        <v>0</v>
      </c>
      <c r="CE15" s="279">
        <f t="shared" si="7"/>
        <v>0</v>
      </c>
      <c r="CF15" s="11">
        <v>0</v>
      </c>
      <c r="CG15" s="278"/>
      <c r="CH15" s="11"/>
      <c r="CI15" s="280">
        <f t="shared" si="28"/>
        <v>2800</v>
      </c>
      <c r="CJ15" s="277">
        <f t="shared" si="29"/>
        <v>2800</v>
      </c>
      <c r="CK15" s="278">
        <v>0</v>
      </c>
      <c r="CL15" s="278">
        <v>0</v>
      </c>
      <c r="CM15" s="279">
        <f t="shared" si="8"/>
        <v>0</v>
      </c>
      <c r="CN15" s="11">
        <v>0</v>
      </c>
      <c r="CO15" s="278"/>
      <c r="CP15" s="277"/>
      <c r="CQ15" s="280">
        <f t="shared" si="30"/>
        <v>2800</v>
      </c>
      <c r="CR15" s="277">
        <f t="shared" si="31"/>
        <v>2800</v>
      </c>
      <c r="CS15" s="278">
        <v>0</v>
      </c>
      <c r="CT15" s="278">
        <v>0</v>
      </c>
      <c r="CU15" s="279">
        <f t="shared" si="9"/>
        <v>0</v>
      </c>
      <c r="CV15" s="11">
        <v>0</v>
      </c>
      <c r="CW15" s="278"/>
      <c r="CX15" s="277"/>
      <c r="CY15" s="280">
        <f t="shared" si="32"/>
        <v>2800</v>
      </c>
      <c r="CZ15" s="277">
        <f t="shared" si="33"/>
        <v>2800</v>
      </c>
    </row>
    <row r="16" spans="1:104" ht="17.25" customHeight="1">
      <c r="A16" s="28" t="s">
        <v>593</v>
      </c>
      <c r="B16" s="382"/>
      <c r="C16" s="27"/>
      <c r="D16" s="28" t="str">
        <f>_xlfn.XLOOKUP(A16,'ABC-XYZ분석 (2)'!C:C,'ABC-XYZ분석 (2)'!I:I)</f>
        <v>여름</v>
      </c>
      <c r="E16" s="28" t="str">
        <f>_xlfn.XLOOKUP(A16,'ABC-XYZ분석 (2)'!C:C,'ABC-XYZ분석 (2)'!AC:AC)</f>
        <v>A</v>
      </c>
      <c r="F16" s="3" t="str">
        <f>_xlfn.XLOOKUP(A16,'ABC-XYZ분석 (2)'!C:C,'ABC-XYZ분석 (2)'!AG:AG)</f>
        <v>Z</v>
      </c>
      <c r="G16" s="14">
        <f>SUMIF(재고!C:C,PSI_메인!A16,재고!I:I)</f>
        <v>1</v>
      </c>
      <c r="H16" s="277">
        <v>837</v>
      </c>
      <c r="I16" s="278">
        <v>0</v>
      </c>
      <c r="J16" s="278">
        <v>0</v>
      </c>
      <c r="K16" s="279">
        <v>487.5</v>
      </c>
      <c r="L16" s="11">
        <v>0</v>
      </c>
      <c r="M16" s="9">
        <f>SUMIFS(입항스케줄!J:J,입항스케줄!C:C,PSI_메인!A16,입항스케줄!U:U,"2601")</f>
        <v>0</v>
      </c>
      <c r="N16" s="11">
        <f>SUMIFS(입항스케줄!J:J,입항스케줄!C:C,PSI_메인!A16,입항스케줄!V:V,"2601")</f>
        <v>0</v>
      </c>
      <c r="O16" s="280">
        <f t="shared" si="10"/>
        <v>-486.5</v>
      </c>
      <c r="P16" s="277">
        <f t="shared" si="11"/>
        <v>1</v>
      </c>
      <c r="Q16" s="278">
        <v>0</v>
      </c>
      <c r="R16" s="278">
        <v>0</v>
      </c>
      <c r="S16" s="10">
        <v>300</v>
      </c>
      <c r="T16" s="11">
        <v>0</v>
      </c>
      <c r="U16" s="9">
        <f>SUMIFS(입항스케줄!J:J,입항스케줄!C:C,PSI_메인!A16,입항스케줄!U:U,"2602")</f>
        <v>0</v>
      </c>
      <c r="V16" s="11">
        <f>SUMIFS(입항스케줄!J:J,입항스케줄!C:C,PSI_메인!A16,입항스케줄!V:V,"2602")</f>
        <v>0</v>
      </c>
      <c r="W16" s="280">
        <f t="shared" si="12"/>
        <v>-299</v>
      </c>
      <c r="X16" s="277">
        <f t="shared" si="13"/>
        <v>1</v>
      </c>
      <c r="Y16" s="278">
        <v>0</v>
      </c>
      <c r="Z16" s="278">
        <v>0</v>
      </c>
      <c r="AA16" s="279">
        <f t="shared" si="0"/>
        <v>0</v>
      </c>
      <c r="AB16" s="11">
        <v>0</v>
      </c>
      <c r="AC16" s="9">
        <f>SUMIFS(입항스케줄!J:J,입항스케줄!C:C,PSI_메인!A16,입항스케줄!U:U,"2603")</f>
        <v>0</v>
      </c>
      <c r="AD16" s="11">
        <f>SUMIFS(입항스케줄!J:J,입항스케줄!C:C,PSI_메인!A16,입항스케줄!V:V,"2603")</f>
        <v>0</v>
      </c>
      <c r="AE16" s="280">
        <f t="shared" si="14"/>
        <v>1</v>
      </c>
      <c r="AF16" s="277">
        <f t="shared" si="15"/>
        <v>1</v>
      </c>
      <c r="AG16" s="278">
        <v>0</v>
      </c>
      <c r="AH16" s="278">
        <v>0</v>
      </c>
      <c r="AI16" s="279">
        <f t="shared" si="1"/>
        <v>0</v>
      </c>
      <c r="AJ16" s="11">
        <v>0</v>
      </c>
      <c r="AK16" s="9">
        <f>SUMIFS(입항스케줄!J:J,입항스케줄!C:C,PSI_메인!A16,입항스케줄!U:U,"2604")</f>
        <v>0</v>
      </c>
      <c r="AL16" s="11">
        <f>SUMIFS(입항스케줄!J:J,입항스케줄!C:C,PSI_메인!A16,입항스케줄!V:V,"2604")</f>
        <v>0</v>
      </c>
      <c r="AM16" s="280">
        <f t="shared" si="16"/>
        <v>1</v>
      </c>
      <c r="AN16" s="277">
        <f t="shared" si="17"/>
        <v>1</v>
      </c>
      <c r="AO16" s="278">
        <v>0</v>
      </c>
      <c r="AP16" s="278">
        <v>0</v>
      </c>
      <c r="AQ16" s="279">
        <f t="shared" si="2"/>
        <v>0</v>
      </c>
      <c r="AR16" s="11">
        <v>0</v>
      </c>
      <c r="AS16" s="9"/>
      <c r="AT16" s="277"/>
      <c r="AU16" s="280">
        <f t="shared" si="18"/>
        <v>1</v>
      </c>
      <c r="AV16" s="277">
        <f t="shared" si="19"/>
        <v>1</v>
      </c>
      <c r="AW16" s="278">
        <v>0</v>
      </c>
      <c r="AX16" s="278">
        <v>0</v>
      </c>
      <c r="AY16" s="279">
        <f t="shared" si="3"/>
        <v>0</v>
      </c>
      <c r="AZ16" s="11">
        <v>0</v>
      </c>
      <c r="BA16" s="9"/>
      <c r="BB16" s="11"/>
      <c r="BC16" s="280">
        <f t="shared" si="20"/>
        <v>1</v>
      </c>
      <c r="BD16" s="277">
        <f t="shared" si="21"/>
        <v>1</v>
      </c>
      <c r="BE16" s="278">
        <v>0</v>
      </c>
      <c r="BF16" s="278">
        <v>0</v>
      </c>
      <c r="BG16" s="279">
        <f t="shared" si="4"/>
        <v>0</v>
      </c>
      <c r="BH16" s="11">
        <v>0</v>
      </c>
      <c r="BI16" s="278"/>
      <c r="BJ16" s="11"/>
      <c r="BK16" s="280">
        <f t="shared" si="22"/>
        <v>1</v>
      </c>
      <c r="BL16" s="277">
        <f t="shared" si="23"/>
        <v>1</v>
      </c>
      <c r="BM16" s="278">
        <v>0</v>
      </c>
      <c r="BN16" s="278">
        <v>0</v>
      </c>
      <c r="BO16" s="279">
        <f t="shared" si="5"/>
        <v>0</v>
      </c>
      <c r="BP16" s="11">
        <v>0</v>
      </c>
      <c r="BQ16" s="278"/>
      <c r="BR16" s="11"/>
      <c r="BS16" s="280">
        <f t="shared" si="24"/>
        <v>1</v>
      </c>
      <c r="BT16" s="277">
        <f t="shared" si="25"/>
        <v>1</v>
      </c>
      <c r="BU16" s="278">
        <v>0</v>
      </c>
      <c r="BV16" s="278">
        <v>0</v>
      </c>
      <c r="BW16" s="279">
        <f t="shared" si="6"/>
        <v>0</v>
      </c>
      <c r="BX16" s="11">
        <v>0</v>
      </c>
      <c r="BY16" s="278"/>
      <c r="BZ16" s="11"/>
      <c r="CA16" s="280">
        <f t="shared" si="26"/>
        <v>1</v>
      </c>
      <c r="CB16" s="277">
        <f t="shared" si="27"/>
        <v>1</v>
      </c>
      <c r="CC16" s="278">
        <v>0</v>
      </c>
      <c r="CD16" s="278">
        <v>0</v>
      </c>
      <c r="CE16" s="279">
        <f t="shared" si="7"/>
        <v>0</v>
      </c>
      <c r="CF16" s="11">
        <v>0</v>
      </c>
      <c r="CG16" s="278"/>
      <c r="CH16" s="11"/>
      <c r="CI16" s="280">
        <f t="shared" si="28"/>
        <v>1</v>
      </c>
      <c r="CJ16" s="277">
        <f t="shared" si="29"/>
        <v>1</v>
      </c>
      <c r="CK16" s="278">
        <v>0</v>
      </c>
      <c r="CL16" s="278">
        <v>0</v>
      </c>
      <c r="CM16" s="279">
        <f t="shared" si="8"/>
        <v>0</v>
      </c>
      <c r="CN16" s="11">
        <v>0</v>
      </c>
      <c r="CO16" s="278"/>
      <c r="CP16" s="277"/>
      <c r="CQ16" s="280">
        <f t="shared" si="30"/>
        <v>1</v>
      </c>
      <c r="CR16" s="277">
        <f t="shared" si="31"/>
        <v>1</v>
      </c>
      <c r="CS16" s="278">
        <v>0</v>
      </c>
      <c r="CT16" s="278">
        <v>0</v>
      </c>
      <c r="CU16" s="279">
        <f t="shared" si="9"/>
        <v>0</v>
      </c>
      <c r="CV16" s="11">
        <v>0</v>
      </c>
      <c r="CW16" s="278"/>
      <c r="CX16" s="277"/>
      <c r="CY16" s="280">
        <f t="shared" si="32"/>
        <v>1</v>
      </c>
      <c r="CZ16" s="277">
        <f t="shared" si="33"/>
        <v>1</v>
      </c>
    </row>
    <row r="17" spans="1:104" ht="17.25" customHeight="1">
      <c r="A17" s="28" t="s">
        <v>594</v>
      </c>
      <c r="B17" s="382"/>
      <c r="C17" s="27"/>
      <c r="D17" s="28" t="str">
        <f>_xlfn.XLOOKUP(A17,'ABC-XYZ분석 (2)'!C:C,'ABC-XYZ분석 (2)'!I:I)</f>
        <v>사계절</v>
      </c>
      <c r="E17" s="28" t="str">
        <f>_xlfn.XLOOKUP(A17,'ABC-XYZ분석 (2)'!C:C,'ABC-XYZ분석 (2)'!AC:AC)</f>
        <v>A</v>
      </c>
      <c r="F17" s="3" t="str">
        <f>_xlfn.XLOOKUP(A17,'ABC-XYZ분석 (2)'!C:C,'ABC-XYZ분석 (2)'!AG:AG)</f>
        <v>Y</v>
      </c>
      <c r="G17" s="14">
        <f>SUMIF(재고!C:C,PSI_메인!A17,재고!I:I)</f>
        <v>2</v>
      </c>
      <c r="H17" s="277">
        <v>9201</v>
      </c>
      <c r="I17" s="278">
        <v>0</v>
      </c>
      <c r="J17" s="278">
        <v>0</v>
      </c>
      <c r="K17" s="279">
        <v>0</v>
      </c>
      <c r="L17" s="11">
        <v>0</v>
      </c>
      <c r="M17" s="9">
        <f>SUMIFS(입항스케줄!J:J,입항스케줄!C:C,PSI_메인!A17,입항스케줄!U:U,"2601")</f>
        <v>0</v>
      </c>
      <c r="N17" s="11">
        <f>SUMIFS(입항스케줄!J:J,입항스케줄!C:C,PSI_메인!A17,입항스케줄!V:V,"2601")</f>
        <v>0</v>
      </c>
      <c r="O17" s="280">
        <f t="shared" si="10"/>
        <v>2</v>
      </c>
      <c r="P17" s="277">
        <f t="shared" si="11"/>
        <v>2</v>
      </c>
      <c r="Q17" s="278">
        <v>0</v>
      </c>
      <c r="R17" s="278">
        <v>0</v>
      </c>
      <c r="S17" s="10">
        <v>0</v>
      </c>
      <c r="T17" s="11">
        <v>0</v>
      </c>
      <c r="U17" s="9">
        <f>SUMIFS(입항스케줄!J:J,입항스케줄!C:C,PSI_메인!A17,입항스케줄!U:U,"2602")</f>
        <v>0</v>
      </c>
      <c r="V17" s="11">
        <f>SUMIFS(입항스케줄!J:J,입항스케줄!C:C,PSI_메인!A17,입항스케줄!V:V,"2602")</f>
        <v>0</v>
      </c>
      <c r="W17" s="280">
        <f t="shared" si="12"/>
        <v>2</v>
      </c>
      <c r="X17" s="277">
        <f t="shared" si="13"/>
        <v>2</v>
      </c>
      <c r="Y17" s="278">
        <v>0</v>
      </c>
      <c r="Z17" s="278">
        <v>0</v>
      </c>
      <c r="AA17" s="279">
        <f t="shared" si="0"/>
        <v>0</v>
      </c>
      <c r="AB17" s="11">
        <v>0</v>
      </c>
      <c r="AC17" s="9">
        <f>SUMIFS(입항스케줄!J:J,입항스케줄!C:C,PSI_메인!A17,입항스케줄!U:U,"2603")</f>
        <v>0</v>
      </c>
      <c r="AD17" s="11">
        <f>SUMIFS(입항스케줄!J:J,입항스케줄!C:C,PSI_메인!A17,입항스케줄!V:V,"2603")</f>
        <v>0</v>
      </c>
      <c r="AE17" s="280">
        <f t="shared" si="14"/>
        <v>2</v>
      </c>
      <c r="AF17" s="277">
        <f t="shared" si="15"/>
        <v>2</v>
      </c>
      <c r="AG17" s="278">
        <v>0</v>
      </c>
      <c r="AH17" s="278">
        <v>0</v>
      </c>
      <c r="AI17" s="279">
        <f t="shared" si="1"/>
        <v>0</v>
      </c>
      <c r="AJ17" s="11">
        <v>0</v>
      </c>
      <c r="AK17" s="9">
        <f>SUMIFS(입항스케줄!J:J,입항스케줄!C:C,PSI_메인!A17,입항스케줄!U:U,"2604")</f>
        <v>0</v>
      </c>
      <c r="AL17" s="11">
        <f>SUMIFS(입항스케줄!J:J,입항스케줄!C:C,PSI_메인!A17,입항스케줄!V:V,"2604")</f>
        <v>0</v>
      </c>
      <c r="AM17" s="280">
        <f t="shared" si="16"/>
        <v>2</v>
      </c>
      <c r="AN17" s="277">
        <f t="shared" si="17"/>
        <v>2</v>
      </c>
      <c r="AO17" s="278">
        <v>0</v>
      </c>
      <c r="AP17" s="278">
        <v>0</v>
      </c>
      <c r="AQ17" s="279">
        <f t="shared" si="2"/>
        <v>0</v>
      </c>
      <c r="AR17" s="11">
        <v>0</v>
      </c>
      <c r="AS17" s="9"/>
      <c r="AT17" s="277"/>
      <c r="AU17" s="280">
        <f t="shared" si="18"/>
        <v>2</v>
      </c>
      <c r="AV17" s="277">
        <f t="shared" si="19"/>
        <v>2</v>
      </c>
      <c r="AW17" s="278">
        <v>0</v>
      </c>
      <c r="AX17" s="278">
        <v>0</v>
      </c>
      <c r="AY17" s="279">
        <f t="shared" si="3"/>
        <v>0</v>
      </c>
      <c r="AZ17" s="11">
        <v>0</v>
      </c>
      <c r="BA17" s="9"/>
      <c r="BB17" s="11"/>
      <c r="BC17" s="280">
        <f t="shared" si="20"/>
        <v>2</v>
      </c>
      <c r="BD17" s="277">
        <f t="shared" si="21"/>
        <v>2</v>
      </c>
      <c r="BE17" s="278">
        <v>0</v>
      </c>
      <c r="BF17" s="278">
        <v>0</v>
      </c>
      <c r="BG17" s="279">
        <f t="shared" si="4"/>
        <v>0</v>
      </c>
      <c r="BH17" s="11">
        <v>0</v>
      </c>
      <c r="BI17" s="278"/>
      <c r="BJ17" s="11"/>
      <c r="BK17" s="280">
        <f t="shared" si="22"/>
        <v>2</v>
      </c>
      <c r="BL17" s="277">
        <f t="shared" si="23"/>
        <v>2</v>
      </c>
      <c r="BM17" s="278">
        <v>0</v>
      </c>
      <c r="BN17" s="278">
        <v>0</v>
      </c>
      <c r="BO17" s="279">
        <f t="shared" si="5"/>
        <v>0</v>
      </c>
      <c r="BP17" s="11">
        <v>0</v>
      </c>
      <c r="BQ17" s="278"/>
      <c r="BR17" s="11"/>
      <c r="BS17" s="280">
        <f t="shared" si="24"/>
        <v>2</v>
      </c>
      <c r="BT17" s="277">
        <f t="shared" si="25"/>
        <v>2</v>
      </c>
      <c r="BU17" s="278">
        <v>0</v>
      </c>
      <c r="BV17" s="278">
        <v>0</v>
      </c>
      <c r="BW17" s="279">
        <f t="shared" si="6"/>
        <v>0</v>
      </c>
      <c r="BX17" s="11">
        <v>0</v>
      </c>
      <c r="BY17" s="278"/>
      <c r="BZ17" s="11"/>
      <c r="CA17" s="280">
        <f t="shared" si="26"/>
        <v>2</v>
      </c>
      <c r="CB17" s="277">
        <f t="shared" si="27"/>
        <v>2</v>
      </c>
      <c r="CC17" s="278">
        <v>0</v>
      </c>
      <c r="CD17" s="278">
        <v>0</v>
      </c>
      <c r="CE17" s="279">
        <f t="shared" si="7"/>
        <v>0</v>
      </c>
      <c r="CF17" s="11">
        <v>0</v>
      </c>
      <c r="CG17" s="278"/>
      <c r="CH17" s="11"/>
      <c r="CI17" s="280">
        <f t="shared" si="28"/>
        <v>2</v>
      </c>
      <c r="CJ17" s="277">
        <f t="shared" si="29"/>
        <v>2</v>
      </c>
      <c r="CK17" s="278">
        <v>0</v>
      </c>
      <c r="CL17" s="278">
        <v>0</v>
      </c>
      <c r="CM17" s="279">
        <f t="shared" si="8"/>
        <v>0</v>
      </c>
      <c r="CN17" s="11">
        <v>0</v>
      </c>
      <c r="CO17" s="278"/>
      <c r="CP17" s="277"/>
      <c r="CQ17" s="280">
        <f t="shared" si="30"/>
        <v>2</v>
      </c>
      <c r="CR17" s="277">
        <f t="shared" si="31"/>
        <v>2</v>
      </c>
      <c r="CS17" s="278">
        <v>0</v>
      </c>
      <c r="CT17" s="278">
        <v>0</v>
      </c>
      <c r="CU17" s="279">
        <f t="shared" si="9"/>
        <v>0</v>
      </c>
      <c r="CV17" s="11">
        <v>0</v>
      </c>
      <c r="CW17" s="278"/>
      <c r="CX17" s="277"/>
      <c r="CY17" s="280">
        <f t="shared" si="32"/>
        <v>2</v>
      </c>
      <c r="CZ17" s="277">
        <f t="shared" si="33"/>
        <v>2</v>
      </c>
    </row>
    <row r="18" spans="1:104" ht="17.25" customHeight="1">
      <c r="A18" s="28" t="s">
        <v>595</v>
      </c>
      <c r="B18" s="382"/>
      <c r="C18" s="27"/>
      <c r="D18" s="28" t="str">
        <f>_xlfn.XLOOKUP(A18,'ABC-XYZ분석 (2)'!C:C,'ABC-XYZ분석 (2)'!I:I)</f>
        <v>여름</v>
      </c>
      <c r="E18" s="28" t="str">
        <f>_xlfn.XLOOKUP(A18,'ABC-XYZ분석 (2)'!C:C,'ABC-XYZ분석 (2)'!AC:AC)</f>
        <v>A</v>
      </c>
      <c r="F18" s="3" t="str">
        <f>_xlfn.XLOOKUP(A18,'ABC-XYZ분석 (2)'!C:C,'ABC-XYZ분석 (2)'!AG:AG)</f>
        <v>Z</v>
      </c>
      <c r="G18" s="14">
        <f>SUMIF(재고!C:C,PSI_메인!A18,재고!I:I)</f>
        <v>0</v>
      </c>
      <c r="H18" s="277">
        <v>556</v>
      </c>
      <c r="I18" s="278">
        <v>0</v>
      </c>
      <c r="J18" s="278">
        <v>0</v>
      </c>
      <c r="K18" s="279">
        <v>300</v>
      </c>
      <c r="L18" s="11">
        <v>0</v>
      </c>
      <c r="M18" s="9">
        <f>SUMIFS(입항스케줄!J:J,입항스케줄!C:C,PSI_메인!A18,입항스케줄!U:U,"2601")</f>
        <v>0</v>
      </c>
      <c r="N18" s="11">
        <f>SUMIFS(입항스케줄!J:J,입항스케줄!C:C,PSI_메인!A18,입항스케줄!V:V,"2601")</f>
        <v>0</v>
      </c>
      <c r="O18" s="280">
        <f t="shared" si="10"/>
        <v>-300</v>
      </c>
      <c r="P18" s="277">
        <f t="shared" si="11"/>
        <v>0</v>
      </c>
      <c r="Q18" s="278">
        <v>0</v>
      </c>
      <c r="R18" s="278">
        <v>0</v>
      </c>
      <c r="S18" s="10">
        <v>300</v>
      </c>
      <c r="T18" s="11">
        <v>0</v>
      </c>
      <c r="U18" s="9">
        <f>SUMIFS(입항스케줄!J:J,입항스케줄!C:C,PSI_메인!A18,입항스케줄!U:U,"2602")</f>
        <v>0</v>
      </c>
      <c r="V18" s="11">
        <f>SUMIFS(입항스케줄!J:J,입항스케줄!C:C,PSI_메인!A18,입항스케줄!V:V,"2602")</f>
        <v>0</v>
      </c>
      <c r="W18" s="280">
        <f t="shared" si="12"/>
        <v>-300</v>
      </c>
      <c r="X18" s="277">
        <f t="shared" si="13"/>
        <v>0</v>
      </c>
      <c r="Y18" s="278">
        <v>0</v>
      </c>
      <c r="Z18" s="278">
        <v>0</v>
      </c>
      <c r="AA18" s="279">
        <f t="shared" si="0"/>
        <v>0</v>
      </c>
      <c r="AB18" s="11">
        <v>0</v>
      </c>
      <c r="AC18" s="9">
        <f>SUMIFS(입항스케줄!J:J,입항스케줄!C:C,PSI_메인!A18,입항스케줄!U:U,"2603")</f>
        <v>0</v>
      </c>
      <c r="AD18" s="11">
        <f>SUMIFS(입항스케줄!J:J,입항스케줄!C:C,PSI_메인!A18,입항스케줄!V:V,"2603")</f>
        <v>0</v>
      </c>
      <c r="AE18" s="280">
        <f t="shared" si="14"/>
        <v>0</v>
      </c>
      <c r="AF18" s="277">
        <f t="shared" si="15"/>
        <v>0</v>
      </c>
      <c r="AG18" s="278">
        <v>0</v>
      </c>
      <c r="AH18" s="278">
        <v>0</v>
      </c>
      <c r="AI18" s="279">
        <f t="shared" si="1"/>
        <v>0</v>
      </c>
      <c r="AJ18" s="11">
        <v>0</v>
      </c>
      <c r="AK18" s="9">
        <f>SUMIFS(입항스케줄!J:J,입항스케줄!C:C,PSI_메인!A18,입항스케줄!U:U,"2604")</f>
        <v>0</v>
      </c>
      <c r="AL18" s="11">
        <f>SUMIFS(입항스케줄!J:J,입항스케줄!C:C,PSI_메인!A18,입항스케줄!V:V,"2604")</f>
        <v>0</v>
      </c>
      <c r="AM18" s="280">
        <f t="shared" si="16"/>
        <v>0</v>
      </c>
      <c r="AN18" s="277">
        <f t="shared" si="17"/>
        <v>0</v>
      </c>
      <c r="AO18" s="278">
        <v>0</v>
      </c>
      <c r="AP18" s="278">
        <v>0</v>
      </c>
      <c r="AQ18" s="279">
        <f t="shared" si="2"/>
        <v>0</v>
      </c>
      <c r="AR18" s="11">
        <v>0</v>
      </c>
      <c r="AS18" s="9"/>
      <c r="AT18" s="277"/>
      <c r="AU18" s="280">
        <f t="shared" si="18"/>
        <v>0</v>
      </c>
      <c r="AV18" s="277">
        <f t="shared" si="19"/>
        <v>0</v>
      </c>
      <c r="AW18" s="278">
        <v>0</v>
      </c>
      <c r="AX18" s="278">
        <v>0</v>
      </c>
      <c r="AY18" s="279">
        <f t="shared" si="3"/>
        <v>0</v>
      </c>
      <c r="AZ18" s="11">
        <v>0</v>
      </c>
      <c r="BA18" s="9"/>
      <c r="BB18" s="11"/>
      <c r="BC18" s="280">
        <f t="shared" si="20"/>
        <v>0</v>
      </c>
      <c r="BD18" s="277">
        <f t="shared" si="21"/>
        <v>0</v>
      </c>
      <c r="BE18" s="278">
        <v>0</v>
      </c>
      <c r="BF18" s="278">
        <v>0</v>
      </c>
      <c r="BG18" s="279">
        <f t="shared" si="4"/>
        <v>0</v>
      </c>
      <c r="BH18" s="11">
        <v>0</v>
      </c>
      <c r="BI18" s="278"/>
      <c r="BJ18" s="11"/>
      <c r="BK18" s="280">
        <f t="shared" si="22"/>
        <v>0</v>
      </c>
      <c r="BL18" s="277">
        <f t="shared" si="23"/>
        <v>0</v>
      </c>
      <c r="BM18" s="278">
        <v>0</v>
      </c>
      <c r="BN18" s="278">
        <v>0</v>
      </c>
      <c r="BO18" s="279">
        <f t="shared" si="5"/>
        <v>0</v>
      </c>
      <c r="BP18" s="11">
        <v>0</v>
      </c>
      <c r="BQ18" s="278"/>
      <c r="BR18" s="11"/>
      <c r="BS18" s="280">
        <f t="shared" si="24"/>
        <v>0</v>
      </c>
      <c r="BT18" s="277">
        <f t="shared" si="25"/>
        <v>0</v>
      </c>
      <c r="BU18" s="278">
        <v>0</v>
      </c>
      <c r="BV18" s="278">
        <v>0</v>
      </c>
      <c r="BW18" s="279">
        <f t="shared" si="6"/>
        <v>0</v>
      </c>
      <c r="BX18" s="11">
        <v>0</v>
      </c>
      <c r="BY18" s="278"/>
      <c r="BZ18" s="11"/>
      <c r="CA18" s="280">
        <f t="shared" si="26"/>
        <v>0</v>
      </c>
      <c r="CB18" s="277">
        <f t="shared" si="27"/>
        <v>0</v>
      </c>
      <c r="CC18" s="278">
        <v>0</v>
      </c>
      <c r="CD18" s="278">
        <v>0</v>
      </c>
      <c r="CE18" s="279">
        <f t="shared" si="7"/>
        <v>0</v>
      </c>
      <c r="CF18" s="11">
        <v>0</v>
      </c>
      <c r="CG18" s="278"/>
      <c r="CH18" s="11"/>
      <c r="CI18" s="280">
        <f t="shared" si="28"/>
        <v>0</v>
      </c>
      <c r="CJ18" s="277">
        <f t="shared" si="29"/>
        <v>0</v>
      </c>
      <c r="CK18" s="278">
        <v>0</v>
      </c>
      <c r="CL18" s="278">
        <v>0</v>
      </c>
      <c r="CM18" s="279">
        <f t="shared" si="8"/>
        <v>0</v>
      </c>
      <c r="CN18" s="11">
        <v>0</v>
      </c>
      <c r="CO18" s="278"/>
      <c r="CP18" s="277"/>
      <c r="CQ18" s="280">
        <f t="shared" si="30"/>
        <v>0</v>
      </c>
      <c r="CR18" s="277">
        <f t="shared" si="31"/>
        <v>0</v>
      </c>
      <c r="CS18" s="278">
        <v>0</v>
      </c>
      <c r="CT18" s="278">
        <v>0</v>
      </c>
      <c r="CU18" s="279">
        <f t="shared" si="9"/>
        <v>0</v>
      </c>
      <c r="CV18" s="11">
        <v>0</v>
      </c>
      <c r="CW18" s="278"/>
      <c r="CX18" s="277"/>
      <c r="CY18" s="280">
        <f t="shared" si="32"/>
        <v>0</v>
      </c>
      <c r="CZ18" s="277">
        <f t="shared" si="33"/>
        <v>0</v>
      </c>
    </row>
    <row r="19" spans="1:104" ht="17.25" customHeight="1">
      <c r="A19" s="28" t="s">
        <v>596</v>
      </c>
      <c r="B19" s="382"/>
      <c r="C19" s="27"/>
      <c r="D19" s="28" t="str">
        <f>_xlfn.XLOOKUP(A19,'ABC-XYZ분석 (2)'!C:C,'ABC-XYZ분석 (2)'!I:I)</f>
        <v>사계절</v>
      </c>
      <c r="E19" s="28" t="str">
        <f>_xlfn.XLOOKUP(A19,'ABC-XYZ분석 (2)'!C:C,'ABC-XYZ분석 (2)'!AC:AC)</f>
        <v>A</v>
      </c>
      <c r="F19" s="3" t="str">
        <f>_xlfn.XLOOKUP(A19,'ABC-XYZ분석 (2)'!C:C,'ABC-XYZ분석 (2)'!AG:AG)</f>
        <v>Y</v>
      </c>
      <c r="G19" s="14">
        <f>SUMIF(재고!C:C,PSI_메인!A19,재고!I:I)</f>
        <v>24</v>
      </c>
      <c r="H19" s="277">
        <v>195</v>
      </c>
      <c r="I19" s="278">
        <v>0</v>
      </c>
      <c r="J19" s="278">
        <v>0</v>
      </c>
      <c r="K19" s="279">
        <v>300</v>
      </c>
      <c r="L19" s="11">
        <v>0</v>
      </c>
      <c r="M19" s="9">
        <f>SUMIFS(입항스케줄!J:J,입항스케줄!C:C,PSI_메인!A19,입항스케줄!U:U,"2601")</f>
        <v>0</v>
      </c>
      <c r="N19" s="11">
        <f>SUMIFS(입항스케줄!J:J,입항스케줄!C:C,PSI_메인!A19,입항스케줄!V:V,"2601")</f>
        <v>0</v>
      </c>
      <c r="O19" s="280">
        <f t="shared" si="10"/>
        <v>-276</v>
      </c>
      <c r="P19" s="277">
        <f t="shared" si="11"/>
        <v>24</v>
      </c>
      <c r="Q19" s="278">
        <v>0</v>
      </c>
      <c r="R19" s="278">
        <v>0</v>
      </c>
      <c r="S19" s="10">
        <v>75.599999999999994</v>
      </c>
      <c r="T19" s="11">
        <v>0</v>
      </c>
      <c r="U19" s="9">
        <f>SUMIFS(입항스케줄!J:J,입항스케줄!C:C,PSI_메인!A19,입항스케줄!U:U,"2602")</f>
        <v>0</v>
      </c>
      <c r="V19" s="11">
        <f>SUMIFS(입항스케줄!J:J,입항스케줄!C:C,PSI_메인!A19,입항스케줄!V:V,"2602")</f>
        <v>0</v>
      </c>
      <c r="W19" s="280">
        <f t="shared" si="12"/>
        <v>-51.599999999999994</v>
      </c>
      <c r="X19" s="277">
        <f t="shared" si="13"/>
        <v>24</v>
      </c>
      <c r="Y19" s="278">
        <v>0</v>
      </c>
      <c r="Z19" s="278">
        <v>0</v>
      </c>
      <c r="AA19" s="279">
        <f t="shared" si="0"/>
        <v>0</v>
      </c>
      <c r="AB19" s="11">
        <v>0</v>
      </c>
      <c r="AC19" s="9">
        <f>SUMIFS(입항스케줄!J:J,입항스케줄!C:C,PSI_메인!A19,입항스케줄!U:U,"2603")</f>
        <v>0</v>
      </c>
      <c r="AD19" s="11">
        <f>SUMIFS(입항스케줄!J:J,입항스케줄!C:C,PSI_메인!A19,입항스케줄!V:V,"2603")</f>
        <v>0</v>
      </c>
      <c r="AE19" s="280">
        <f t="shared" si="14"/>
        <v>24</v>
      </c>
      <c r="AF19" s="277">
        <f t="shared" si="15"/>
        <v>24</v>
      </c>
      <c r="AG19" s="278">
        <v>0</v>
      </c>
      <c r="AH19" s="278">
        <v>0</v>
      </c>
      <c r="AI19" s="279">
        <f t="shared" si="1"/>
        <v>0</v>
      </c>
      <c r="AJ19" s="11">
        <v>0</v>
      </c>
      <c r="AK19" s="9">
        <f>SUMIFS(입항스케줄!J:J,입항스케줄!C:C,PSI_메인!A19,입항스케줄!U:U,"2604")</f>
        <v>0</v>
      </c>
      <c r="AL19" s="11">
        <f>SUMIFS(입항스케줄!J:J,입항스케줄!C:C,PSI_메인!A19,입항스케줄!V:V,"2604")</f>
        <v>0</v>
      </c>
      <c r="AM19" s="280">
        <f t="shared" si="16"/>
        <v>24</v>
      </c>
      <c r="AN19" s="277">
        <f t="shared" si="17"/>
        <v>24</v>
      </c>
      <c r="AO19" s="278">
        <v>0</v>
      </c>
      <c r="AP19" s="278">
        <v>0</v>
      </c>
      <c r="AQ19" s="279">
        <f t="shared" si="2"/>
        <v>0</v>
      </c>
      <c r="AR19" s="11">
        <v>0</v>
      </c>
      <c r="AS19" s="9"/>
      <c r="AT19" s="277"/>
      <c r="AU19" s="280">
        <f t="shared" si="18"/>
        <v>24</v>
      </c>
      <c r="AV19" s="277">
        <f t="shared" si="19"/>
        <v>24</v>
      </c>
      <c r="AW19" s="278">
        <v>0</v>
      </c>
      <c r="AX19" s="278">
        <v>0</v>
      </c>
      <c r="AY19" s="279">
        <f t="shared" si="3"/>
        <v>0</v>
      </c>
      <c r="AZ19" s="11">
        <v>0</v>
      </c>
      <c r="BA19" s="9"/>
      <c r="BB19" s="11"/>
      <c r="BC19" s="280">
        <f t="shared" si="20"/>
        <v>24</v>
      </c>
      <c r="BD19" s="277">
        <f t="shared" si="21"/>
        <v>24</v>
      </c>
      <c r="BE19" s="278">
        <v>0</v>
      </c>
      <c r="BF19" s="278">
        <v>0</v>
      </c>
      <c r="BG19" s="279">
        <f t="shared" si="4"/>
        <v>0</v>
      </c>
      <c r="BH19" s="11">
        <v>0</v>
      </c>
      <c r="BI19" s="278"/>
      <c r="BJ19" s="11"/>
      <c r="BK19" s="280">
        <f t="shared" si="22"/>
        <v>24</v>
      </c>
      <c r="BL19" s="277">
        <f t="shared" si="23"/>
        <v>24</v>
      </c>
      <c r="BM19" s="278">
        <v>0</v>
      </c>
      <c r="BN19" s="278">
        <v>0</v>
      </c>
      <c r="BO19" s="279">
        <f t="shared" si="5"/>
        <v>0</v>
      </c>
      <c r="BP19" s="11">
        <v>0</v>
      </c>
      <c r="BQ19" s="278"/>
      <c r="BR19" s="11"/>
      <c r="BS19" s="280">
        <f t="shared" si="24"/>
        <v>24</v>
      </c>
      <c r="BT19" s="277">
        <f t="shared" si="25"/>
        <v>24</v>
      </c>
      <c r="BU19" s="278">
        <v>0</v>
      </c>
      <c r="BV19" s="278">
        <v>0</v>
      </c>
      <c r="BW19" s="279">
        <f t="shared" si="6"/>
        <v>0</v>
      </c>
      <c r="BX19" s="11">
        <v>0</v>
      </c>
      <c r="BY19" s="278"/>
      <c r="BZ19" s="11"/>
      <c r="CA19" s="280">
        <f t="shared" si="26"/>
        <v>24</v>
      </c>
      <c r="CB19" s="277">
        <f t="shared" si="27"/>
        <v>24</v>
      </c>
      <c r="CC19" s="278">
        <v>0</v>
      </c>
      <c r="CD19" s="278">
        <v>0</v>
      </c>
      <c r="CE19" s="279">
        <f t="shared" si="7"/>
        <v>0</v>
      </c>
      <c r="CF19" s="11">
        <v>0</v>
      </c>
      <c r="CG19" s="278"/>
      <c r="CH19" s="11"/>
      <c r="CI19" s="280">
        <f t="shared" si="28"/>
        <v>24</v>
      </c>
      <c r="CJ19" s="277">
        <f t="shared" si="29"/>
        <v>24</v>
      </c>
      <c r="CK19" s="278">
        <v>0</v>
      </c>
      <c r="CL19" s="278">
        <v>0</v>
      </c>
      <c r="CM19" s="279">
        <f t="shared" si="8"/>
        <v>0</v>
      </c>
      <c r="CN19" s="11">
        <v>0</v>
      </c>
      <c r="CO19" s="278"/>
      <c r="CP19" s="277"/>
      <c r="CQ19" s="280">
        <f t="shared" si="30"/>
        <v>24</v>
      </c>
      <c r="CR19" s="277">
        <f t="shared" si="31"/>
        <v>24</v>
      </c>
      <c r="CS19" s="278">
        <v>0</v>
      </c>
      <c r="CT19" s="278">
        <v>0</v>
      </c>
      <c r="CU19" s="279">
        <f t="shared" si="9"/>
        <v>0</v>
      </c>
      <c r="CV19" s="11">
        <v>0</v>
      </c>
      <c r="CW19" s="278"/>
      <c r="CX19" s="277"/>
      <c r="CY19" s="280">
        <f t="shared" si="32"/>
        <v>24</v>
      </c>
      <c r="CZ19" s="277">
        <f t="shared" si="33"/>
        <v>24</v>
      </c>
    </row>
    <row r="20" spans="1:104" ht="17.25" customHeight="1">
      <c r="A20" s="28" t="s">
        <v>597</v>
      </c>
      <c r="B20" s="382"/>
      <c r="C20" s="27"/>
      <c r="D20" s="28" t="str">
        <f>_xlfn.XLOOKUP(A20,'ABC-XYZ분석 (2)'!C:C,'ABC-XYZ분석 (2)'!I:I)</f>
        <v>사계절</v>
      </c>
      <c r="E20" s="28" t="str">
        <f>_xlfn.XLOOKUP(A20,'ABC-XYZ분석 (2)'!C:C,'ABC-XYZ분석 (2)'!AC:AC)</f>
        <v>A</v>
      </c>
      <c r="F20" s="3" t="str">
        <f>_xlfn.XLOOKUP(A20,'ABC-XYZ분석 (2)'!C:C,'ABC-XYZ분석 (2)'!AG:AG)</f>
        <v>Y</v>
      </c>
      <c r="G20" s="14">
        <f>SUMIF(재고!C:C,PSI_메인!A20,재고!I:I)</f>
        <v>10</v>
      </c>
      <c r="H20" s="277">
        <v>649</v>
      </c>
      <c r="I20" s="278">
        <v>0</v>
      </c>
      <c r="J20" s="278">
        <v>0</v>
      </c>
      <c r="K20" s="279">
        <v>562.5</v>
      </c>
      <c r="L20" s="11">
        <v>0</v>
      </c>
      <c r="M20" s="9">
        <f>SUMIFS(입항스케줄!J:J,입항스케줄!C:C,PSI_메인!A20,입항스케줄!U:U,"2601")</f>
        <v>0</v>
      </c>
      <c r="N20" s="11">
        <f>SUMIFS(입항스케줄!J:J,입항스케줄!C:C,PSI_메인!A20,입항스케줄!V:V,"2601")</f>
        <v>0</v>
      </c>
      <c r="O20" s="280">
        <f t="shared" si="10"/>
        <v>-552.5</v>
      </c>
      <c r="P20" s="277">
        <f t="shared" si="11"/>
        <v>10</v>
      </c>
      <c r="Q20" s="278">
        <v>0</v>
      </c>
      <c r="R20" s="278">
        <v>0</v>
      </c>
      <c r="S20" s="10">
        <v>300</v>
      </c>
      <c r="T20" s="11">
        <v>0</v>
      </c>
      <c r="U20" s="9">
        <f>SUMIFS(입항스케줄!J:J,입항스케줄!C:C,PSI_메인!A20,입항스케줄!U:U,"2602")</f>
        <v>0</v>
      </c>
      <c r="V20" s="11">
        <f>SUMIFS(입항스케줄!J:J,입항스케줄!C:C,PSI_메인!A20,입항스케줄!V:V,"2602")</f>
        <v>0</v>
      </c>
      <c r="W20" s="280">
        <f t="shared" si="12"/>
        <v>-290</v>
      </c>
      <c r="X20" s="277">
        <f t="shared" si="13"/>
        <v>10</v>
      </c>
      <c r="Y20" s="278">
        <v>0</v>
      </c>
      <c r="Z20" s="278">
        <v>0</v>
      </c>
      <c r="AA20" s="279">
        <f t="shared" si="0"/>
        <v>0</v>
      </c>
      <c r="AB20" s="11">
        <v>0</v>
      </c>
      <c r="AC20" s="9">
        <f>SUMIFS(입항스케줄!J:J,입항스케줄!C:C,PSI_메인!A20,입항스케줄!U:U,"2603")</f>
        <v>0</v>
      </c>
      <c r="AD20" s="11">
        <f>SUMIFS(입항스케줄!J:J,입항스케줄!C:C,PSI_메인!A20,입항스케줄!V:V,"2603")</f>
        <v>0</v>
      </c>
      <c r="AE20" s="280">
        <f t="shared" si="14"/>
        <v>10</v>
      </c>
      <c r="AF20" s="277">
        <f t="shared" si="15"/>
        <v>10</v>
      </c>
      <c r="AG20" s="278">
        <v>0</v>
      </c>
      <c r="AH20" s="278">
        <v>0</v>
      </c>
      <c r="AI20" s="279">
        <f t="shared" si="1"/>
        <v>0</v>
      </c>
      <c r="AJ20" s="11">
        <v>0</v>
      </c>
      <c r="AK20" s="9">
        <f>SUMIFS(입항스케줄!J:J,입항스케줄!C:C,PSI_메인!A20,입항스케줄!U:U,"2604")</f>
        <v>0</v>
      </c>
      <c r="AL20" s="11">
        <f>SUMIFS(입항스케줄!J:J,입항스케줄!C:C,PSI_메인!A20,입항스케줄!V:V,"2604")</f>
        <v>0</v>
      </c>
      <c r="AM20" s="280">
        <f t="shared" si="16"/>
        <v>10</v>
      </c>
      <c r="AN20" s="277">
        <f t="shared" si="17"/>
        <v>10</v>
      </c>
      <c r="AO20" s="278">
        <v>0</v>
      </c>
      <c r="AP20" s="278">
        <v>0</v>
      </c>
      <c r="AQ20" s="279">
        <f t="shared" si="2"/>
        <v>0</v>
      </c>
      <c r="AR20" s="11">
        <v>0</v>
      </c>
      <c r="AS20" s="9"/>
      <c r="AT20" s="277"/>
      <c r="AU20" s="280">
        <f t="shared" si="18"/>
        <v>10</v>
      </c>
      <c r="AV20" s="277">
        <f t="shared" si="19"/>
        <v>10</v>
      </c>
      <c r="AW20" s="278">
        <v>0</v>
      </c>
      <c r="AX20" s="278">
        <v>0</v>
      </c>
      <c r="AY20" s="279">
        <f t="shared" si="3"/>
        <v>0</v>
      </c>
      <c r="AZ20" s="11">
        <v>0</v>
      </c>
      <c r="BA20" s="9"/>
      <c r="BB20" s="11"/>
      <c r="BC20" s="280">
        <f t="shared" si="20"/>
        <v>10</v>
      </c>
      <c r="BD20" s="277">
        <f t="shared" si="21"/>
        <v>10</v>
      </c>
      <c r="BE20" s="278">
        <v>0</v>
      </c>
      <c r="BF20" s="278">
        <v>0</v>
      </c>
      <c r="BG20" s="279">
        <f t="shared" si="4"/>
        <v>0</v>
      </c>
      <c r="BH20" s="11">
        <v>0</v>
      </c>
      <c r="BI20" s="278"/>
      <c r="BJ20" s="11"/>
      <c r="BK20" s="280">
        <f t="shared" si="22"/>
        <v>10</v>
      </c>
      <c r="BL20" s="277">
        <f t="shared" si="23"/>
        <v>10</v>
      </c>
      <c r="BM20" s="278">
        <v>0</v>
      </c>
      <c r="BN20" s="278">
        <v>0</v>
      </c>
      <c r="BO20" s="279">
        <f t="shared" si="5"/>
        <v>0</v>
      </c>
      <c r="BP20" s="11">
        <v>0</v>
      </c>
      <c r="BQ20" s="278"/>
      <c r="BR20" s="11"/>
      <c r="BS20" s="280">
        <f t="shared" si="24"/>
        <v>10</v>
      </c>
      <c r="BT20" s="277">
        <f t="shared" si="25"/>
        <v>10</v>
      </c>
      <c r="BU20" s="278">
        <v>0</v>
      </c>
      <c r="BV20" s="278">
        <v>0</v>
      </c>
      <c r="BW20" s="279">
        <f t="shared" si="6"/>
        <v>0</v>
      </c>
      <c r="BX20" s="11">
        <v>0</v>
      </c>
      <c r="BY20" s="278"/>
      <c r="BZ20" s="11"/>
      <c r="CA20" s="280">
        <f t="shared" si="26"/>
        <v>10</v>
      </c>
      <c r="CB20" s="277">
        <f t="shared" si="27"/>
        <v>10</v>
      </c>
      <c r="CC20" s="278">
        <v>0</v>
      </c>
      <c r="CD20" s="278">
        <v>0</v>
      </c>
      <c r="CE20" s="279">
        <f t="shared" si="7"/>
        <v>0</v>
      </c>
      <c r="CF20" s="11">
        <v>0</v>
      </c>
      <c r="CG20" s="278"/>
      <c r="CH20" s="11"/>
      <c r="CI20" s="280">
        <f t="shared" si="28"/>
        <v>10</v>
      </c>
      <c r="CJ20" s="277">
        <f t="shared" si="29"/>
        <v>10</v>
      </c>
      <c r="CK20" s="278">
        <v>0</v>
      </c>
      <c r="CL20" s="278">
        <v>0</v>
      </c>
      <c r="CM20" s="279">
        <f t="shared" si="8"/>
        <v>0</v>
      </c>
      <c r="CN20" s="11">
        <v>0</v>
      </c>
      <c r="CO20" s="278"/>
      <c r="CP20" s="277"/>
      <c r="CQ20" s="280">
        <f t="shared" si="30"/>
        <v>10</v>
      </c>
      <c r="CR20" s="277">
        <f t="shared" si="31"/>
        <v>10</v>
      </c>
      <c r="CS20" s="278">
        <v>0</v>
      </c>
      <c r="CT20" s="278">
        <v>0</v>
      </c>
      <c r="CU20" s="279">
        <f t="shared" si="9"/>
        <v>0</v>
      </c>
      <c r="CV20" s="11">
        <v>0</v>
      </c>
      <c r="CW20" s="278"/>
      <c r="CX20" s="277"/>
      <c r="CY20" s="280">
        <f t="shared" si="32"/>
        <v>10</v>
      </c>
      <c r="CZ20" s="277">
        <f t="shared" si="33"/>
        <v>10</v>
      </c>
    </row>
    <row r="21" spans="1:104" ht="17.25" customHeight="1">
      <c r="A21" s="28" t="s">
        <v>598</v>
      </c>
      <c r="B21" s="382"/>
      <c r="C21" s="27"/>
      <c r="D21" s="28" t="str">
        <f>_xlfn.XLOOKUP(A21,'ABC-XYZ분석 (2)'!C:C,'ABC-XYZ분석 (2)'!I:I)</f>
        <v>사계절</v>
      </c>
      <c r="E21" s="28" t="str">
        <f>_xlfn.XLOOKUP(A21,'ABC-XYZ분석 (2)'!C:C,'ABC-XYZ분석 (2)'!AC:AC)</f>
        <v>A</v>
      </c>
      <c r="F21" s="3" t="str">
        <f>_xlfn.XLOOKUP(A21,'ABC-XYZ분석 (2)'!C:C,'ABC-XYZ분석 (2)'!AG:AG)</f>
        <v>Y</v>
      </c>
      <c r="G21" s="14">
        <f>SUMIF(재고!C:C,PSI_메인!A21,재고!I:I)</f>
        <v>47</v>
      </c>
      <c r="H21" s="277">
        <v>621</v>
      </c>
      <c r="I21" s="278">
        <v>0</v>
      </c>
      <c r="J21" s="278">
        <v>0</v>
      </c>
      <c r="K21" s="279">
        <v>0</v>
      </c>
      <c r="L21" s="11">
        <v>0</v>
      </c>
      <c r="M21" s="9">
        <f>SUMIFS(입항스케줄!J:J,입항스케줄!C:C,PSI_메인!A21,입항스케줄!U:U,"2601")</f>
        <v>0</v>
      </c>
      <c r="N21" s="11">
        <f>SUMIFS(입항스케줄!J:J,입항스케줄!C:C,PSI_메인!A21,입항스케줄!V:V,"2601")</f>
        <v>0</v>
      </c>
      <c r="O21" s="280">
        <f t="shared" si="10"/>
        <v>47</v>
      </c>
      <c r="P21" s="277">
        <f t="shared" si="11"/>
        <v>47</v>
      </c>
      <c r="Q21" s="278">
        <v>0</v>
      </c>
      <c r="R21" s="278">
        <v>0</v>
      </c>
      <c r="S21" s="10">
        <v>0</v>
      </c>
      <c r="T21" s="11">
        <v>0</v>
      </c>
      <c r="U21" s="9">
        <f>SUMIFS(입항스케줄!J:J,입항스케줄!C:C,PSI_메인!A21,입항스케줄!U:U,"2602")</f>
        <v>0</v>
      </c>
      <c r="V21" s="11">
        <f>SUMIFS(입항스케줄!J:J,입항스케줄!C:C,PSI_메인!A21,입항스케줄!V:V,"2602")</f>
        <v>0</v>
      </c>
      <c r="W21" s="280">
        <f t="shared" si="12"/>
        <v>47</v>
      </c>
      <c r="X21" s="277">
        <f t="shared" si="13"/>
        <v>47</v>
      </c>
      <c r="Y21" s="278">
        <v>0</v>
      </c>
      <c r="Z21" s="278">
        <v>0</v>
      </c>
      <c r="AA21" s="279">
        <f t="shared" si="0"/>
        <v>0</v>
      </c>
      <c r="AB21" s="11">
        <v>0</v>
      </c>
      <c r="AC21" s="9">
        <f>SUMIFS(입항스케줄!J:J,입항스케줄!C:C,PSI_메인!A21,입항스케줄!U:U,"2603")</f>
        <v>0</v>
      </c>
      <c r="AD21" s="11">
        <f>SUMIFS(입항스케줄!J:J,입항스케줄!C:C,PSI_메인!A21,입항스케줄!V:V,"2603")</f>
        <v>0</v>
      </c>
      <c r="AE21" s="280">
        <f t="shared" si="14"/>
        <v>47</v>
      </c>
      <c r="AF21" s="277">
        <f t="shared" si="15"/>
        <v>47</v>
      </c>
      <c r="AG21" s="278">
        <v>0</v>
      </c>
      <c r="AH21" s="278">
        <v>0</v>
      </c>
      <c r="AI21" s="279">
        <f t="shared" si="1"/>
        <v>0</v>
      </c>
      <c r="AJ21" s="11">
        <v>0</v>
      </c>
      <c r="AK21" s="9">
        <f>SUMIFS(입항스케줄!J:J,입항스케줄!C:C,PSI_메인!A21,입항스케줄!U:U,"2604")</f>
        <v>0</v>
      </c>
      <c r="AL21" s="11">
        <f>SUMIFS(입항스케줄!J:J,입항스케줄!C:C,PSI_메인!A21,입항스케줄!V:V,"2604")</f>
        <v>0</v>
      </c>
      <c r="AM21" s="280">
        <f t="shared" si="16"/>
        <v>47</v>
      </c>
      <c r="AN21" s="277">
        <f t="shared" si="17"/>
        <v>47</v>
      </c>
      <c r="AO21" s="278">
        <v>0</v>
      </c>
      <c r="AP21" s="278">
        <v>0</v>
      </c>
      <c r="AQ21" s="279">
        <f t="shared" si="2"/>
        <v>0</v>
      </c>
      <c r="AR21" s="11">
        <v>0</v>
      </c>
      <c r="AS21" s="9"/>
      <c r="AT21" s="277"/>
      <c r="AU21" s="280">
        <f t="shared" si="18"/>
        <v>47</v>
      </c>
      <c r="AV21" s="277">
        <f t="shared" si="19"/>
        <v>47</v>
      </c>
      <c r="AW21" s="278">
        <v>0</v>
      </c>
      <c r="AX21" s="278">
        <v>0</v>
      </c>
      <c r="AY21" s="279">
        <f t="shared" si="3"/>
        <v>0</v>
      </c>
      <c r="AZ21" s="11">
        <v>0</v>
      </c>
      <c r="BA21" s="9"/>
      <c r="BB21" s="11"/>
      <c r="BC21" s="280">
        <f t="shared" si="20"/>
        <v>47</v>
      </c>
      <c r="BD21" s="277">
        <f t="shared" si="21"/>
        <v>47</v>
      </c>
      <c r="BE21" s="278">
        <v>0</v>
      </c>
      <c r="BF21" s="278">
        <v>0</v>
      </c>
      <c r="BG21" s="279">
        <f t="shared" si="4"/>
        <v>0</v>
      </c>
      <c r="BH21" s="11">
        <v>0</v>
      </c>
      <c r="BI21" s="278"/>
      <c r="BJ21" s="11"/>
      <c r="BK21" s="280">
        <f t="shared" si="22"/>
        <v>47</v>
      </c>
      <c r="BL21" s="277">
        <f t="shared" si="23"/>
        <v>47</v>
      </c>
      <c r="BM21" s="278">
        <v>0</v>
      </c>
      <c r="BN21" s="278">
        <v>0</v>
      </c>
      <c r="BO21" s="279">
        <f t="shared" si="5"/>
        <v>0</v>
      </c>
      <c r="BP21" s="11">
        <v>0</v>
      </c>
      <c r="BQ21" s="278"/>
      <c r="BR21" s="11"/>
      <c r="BS21" s="280">
        <f t="shared" si="24"/>
        <v>47</v>
      </c>
      <c r="BT21" s="277">
        <f t="shared" si="25"/>
        <v>47</v>
      </c>
      <c r="BU21" s="278">
        <v>0</v>
      </c>
      <c r="BV21" s="278">
        <v>0</v>
      </c>
      <c r="BW21" s="279">
        <f t="shared" si="6"/>
        <v>0</v>
      </c>
      <c r="BX21" s="11">
        <v>0</v>
      </c>
      <c r="BY21" s="278"/>
      <c r="BZ21" s="11"/>
      <c r="CA21" s="280">
        <f t="shared" si="26"/>
        <v>47</v>
      </c>
      <c r="CB21" s="277">
        <f t="shared" si="27"/>
        <v>47</v>
      </c>
      <c r="CC21" s="278">
        <v>0</v>
      </c>
      <c r="CD21" s="278">
        <v>0</v>
      </c>
      <c r="CE21" s="279">
        <f t="shared" si="7"/>
        <v>0</v>
      </c>
      <c r="CF21" s="11">
        <v>0</v>
      </c>
      <c r="CG21" s="278"/>
      <c r="CH21" s="11"/>
      <c r="CI21" s="280">
        <f t="shared" si="28"/>
        <v>47</v>
      </c>
      <c r="CJ21" s="277">
        <f t="shared" si="29"/>
        <v>47</v>
      </c>
      <c r="CK21" s="278">
        <v>0</v>
      </c>
      <c r="CL21" s="278">
        <v>0</v>
      </c>
      <c r="CM21" s="279">
        <f t="shared" si="8"/>
        <v>0</v>
      </c>
      <c r="CN21" s="11">
        <v>0</v>
      </c>
      <c r="CO21" s="278"/>
      <c r="CP21" s="277"/>
      <c r="CQ21" s="280">
        <f t="shared" si="30"/>
        <v>47</v>
      </c>
      <c r="CR21" s="277">
        <f t="shared" si="31"/>
        <v>47</v>
      </c>
      <c r="CS21" s="278">
        <v>0</v>
      </c>
      <c r="CT21" s="278">
        <v>0</v>
      </c>
      <c r="CU21" s="279">
        <f t="shared" si="9"/>
        <v>0</v>
      </c>
      <c r="CV21" s="11">
        <v>0</v>
      </c>
      <c r="CW21" s="278"/>
      <c r="CX21" s="277"/>
      <c r="CY21" s="280">
        <f t="shared" si="32"/>
        <v>47</v>
      </c>
      <c r="CZ21" s="277">
        <f t="shared" si="33"/>
        <v>47</v>
      </c>
    </row>
    <row r="22" spans="1:104" ht="17.25" customHeight="1">
      <c r="A22" s="28" t="s">
        <v>599</v>
      </c>
      <c r="B22" s="382"/>
      <c r="C22" s="27"/>
      <c r="D22" s="28" t="str">
        <f>_xlfn.XLOOKUP(A22,'ABC-XYZ분석 (2)'!C:C,'ABC-XYZ분석 (2)'!I:I)</f>
        <v>사계절</v>
      </c>
      <c r="E22" s="28" t="str">
        <f>_xlfn.XLOOKUP(A22,'ABC-XYZ분석 (2)'!C:C,'ABC-XYZ분석 (2)'!AC:AC)</f>
        <v>A</v>
      </c>
      <c r="F22" s="3" t="str">
        <f>_xlfn.XLOOKUP(A22,'ABC-XYZ분석 (2)'!C:C,'ABC-XYZ분석 (2)'!AG:AG)</f>
        <v>X</v>
      </c>
      <c r="G22" s="14">
        <f>SUMIF(재고!C:C,PSI_메인!A22,재고!I:I)</f>
        <v>15</v>
      </c>
      <c r="H22" s="277">
        <v>1525</v>
      </c>
      <c r="I22" s="278">
        <v>0</v>
      </c>
      <c r="J22" s="278">
        <v>0</v>
      </c>
      <c r="K22" s="279">
        <v>325</v>
      </c>
      <c r="L22" s="11">
        <v>0</v>
      </c>
      <c r="M22" s="9">
        <f>SUMIFS(입항스케줄!J:J,입항스케줄!C:C,PSI_메인!A22,입항스케줄!U:U,"2601")</f>
        <v>0</v>
      </c>
      <c r="N22" s="11">
        <f>SUMIFS(입항스케줄!J:J,입항스케줄!C:C,PSI_메인!A22,입항스케줄!V:V,"2601")</f>
        <v>0</v>
      </c>
      <c r="O22" s="280">
        <f t="shared" si="10"/>
        <v>-310</v>
      </c>
      <c r="P22" s="277">
        <f t="shared" si="11"/>
        <v>15</v>
      </c>
      <c r="Q22" s="278">
        <v>0</v>
      </c>
      <c r="R22" s="278">
        <v>0</v>
      </c>
      <c r="S22" s="10">
        <v>800</v>
      </c>
      <c r="T22" s="11">
        <v>0</v>
      </c>
      <c r="U22" s="9">
        <f>SUMIFS(입항스케줄!J:J,입항스케줄!C:C,PSI_메인!A22,입항스케줄!U:U,"2602")</f>
        <v>0</v>
      </c>
      <c r="V22" s="11">
        <f>SUMIFS(입항스케줄!J:J,입항스케줄!C:C,PSI_메인!A22,입항스케줄!V:V,"2602")</f>
        <v>0</v>
      </c>
      <c r="W22" s="280">
        <f t="shared" si="12"/>
        <v>-785</v>
      </c>
      <c r="X22" s="277">
        <f t="shared" si="13"/>
        <v>15</v>
      </c>
      <c r="Y22" s="278">
        <v>0</v>
      </c>
      <c r="Z22" s="278">
        <v>0</v>
      </c>
      <c r="AA22" s="279">
        <f t="shared" si="0"/>
        <v>0</v>
      </c>
      <c r="AB22" s="11">
        <v>0</v>
      </c>
      <c r="AC22" s="9">
        <f>SUMIFS(입항스케줄!J:J,입항스케줄!C:C,PSI_메인!A22,입항스케줄!U:U,"2603")</f>
        <v>0</v>
      </c>
      <c r="AD22" s="11">
        <f>SUMIFS(입항스케줄!J:J,입항스케줄!C:C,PSI_메인!A22,입항스케줄!V:V,"2603")</f>
        <v>0</v>
      </c>
      <c r="AE22" s="280">
        <f t="shared" si="14"/>
        <v>15</v>
      </c>
      <c r="AF22" s="277">
        <f t="shared" si="15"/>
        <v>15</v>
      </c>
      <c r="AG22" s="278">
        <v>0</v>
      </c>
      <c r="AH22" s="278">
        <v>0</v>
      </c>
      <c r="AI22" s="279">
        <f t="shared" si="1"/>
        <v>0</v>
      </c>
      <c r="AJ22" s="11">
        <v>0</v>
      </c>
      <c r="AK22" s="9">
        <f>SUMIFS(입항스케줄!J:J,입항스케줄!C:C,PSI_메인!A22,입항스케줄!U:U,"2604")</f>
        <v>0</v>
      </c>
      <c r="AL22" s="11">
        <f>SUMIFS(입항스케줄!J:J,입항스케줄!C:C,PSI_메인!A22,입항스케줄!V:V,"2604")</f>
        <v>0</v>
      </c>
      <c r="AM22" s="280">
        <f t="shared" si="16"/>
        <v>15</v>
      </c>
      <c r="AN22" s="277">
        <f t="shared" si="17"/>
        <v>15</v>
      </c>
      <c r="AO22" s="278">
        <v>0</v>
      </c>
      <c r="AP22" s="278">
        <v>0</v>
      </c>
      <c r="AQ22" s="279">
        <f t="shared" si="2"/>
        <v>0</v>
      </c>
      <c r="AR22" s="11">
        <v>0</v>
      </c>
      <c r="AS22" s="9"/>
      <c r="AT22" s="277"/>
      <c r="AU22" s="280">
        <f t="shared" si="18"/>
        <v>15</v>
      </c>
      <c r="AV22" s="277">
        <f t="shared" si="19"/>
        <v>15</v>
      </c>
      <c r="AW22" s="278">
        <v>0</v>
      </c>
      <c r="AX22" s="278">
        <v>0</v>
      </c>
      <c r="AY22" s="279">
        <f t="shared" si="3"/>
        <v>0</v>
      </c>
      <c r="AZ22" s="11">
        <v>0</v>
      </c>
      <c r="BA22" s="9"/>
      <c r="BB22" s="11"/>
      <c r="BC22" s="280">
        <f t="shared" si="20"/>
        <v>15</v>
      </c>
      <c r="BD22" s="277">
        <f t="shared" si="21"/>
        <v>15</v>
      </c>
      <c r="BE22" s="278">
        <v>0</v>
      </c>
      <c r="BF22" s="278">
        <v>0</v>
      </c>
      <c r="BG22" s="279">
        <f t="shared" si="4"/>
        <v>0</v>
      </c>
      <c r="BH22" s="11">
        <v>0</v>
      </c>
      <c r="BI22" s="278"/>
      <c r="BJ22" s="11"/>
      <c r="BK22" s="280">
        <f t="shared" si="22"/>
        <v>15</v>
      </c>
      <c r="BL22" s="277">
        <f t="shared" si="23"/>
        <v>15</v>
      </c>
      <c r="BM22" s="278">
        <v>0</v>
      </c>
      <c r="BN22" s="278">
        <v>0</v>
      </c>
      <c r="BO22" s="279">
        <f t="shared" si="5"/>
        <v>0</v>
      </c>
      <c r="BP22" s="11">
        <v>0</v>
      </c>
      <c r="BQ22" s="278"/>
      <c r="BR22" s="11"/>
      <c r="BS22" s="280">
        <f t="shared" si="24"/>
        <v>15</v>
      </c>
      <c r="BT22" s="277">
        <f t="shared" si="25"/>
        <v>15</v>
      </c>
      <c r="BU22" s="278">
        <v>0</v>
      </c>
      <c r="BV22" s="278">
        <v>0</v>
      </c>
      <c r="BW22" s="279">
        <f t="shared" si="6"/>
        <v>0</v>
      </c>
      <c r="BX22" s="11">
        <v>0</v>
      </c>
      <c r="BY22" s="278"/>
      <c r="BZ22" s="11"/>
      <c r="CA22" s="280">
        <f t="shared" si="26"/>
        <v>15</v>
      </c>
      <c r="CB22" s="277">
        <f t="shared" si="27"/>
        <v>15</v>
      </c>
      <c r="CC22" s="278">
        <v>0</v>
      </c>
      <c r="CD22" s="278">
        <v>0</v>
      </c>
      <c r="CE22" s="279">
        <f t="shared" si="7"/>
        <v>0</v>
      </c>
      <c r="CF22" s="11">
        <v>0</v>
      </c>
      <c r="CG22" s="278"/>
      <c r="CH22" s="11"/>
      <c r="CI22" s="280">
        <f t="shared" si="28"/>
        <v>15</v>
      </c>
      <c r="CJ22" s="277">
        <f t="shared" si="29"/>
        <v>15</v>
      </c>
      <c r="CK22" s="278">
        <v>0</v>
      </c>
      <c r="CL22" s="278">
        <v>0</v>
      </c>
      <c r="CM22" s="279">
        <f t="shared" si="8"/>
        <v>0</v>
      </c>
      <c r="CN22" s="11">
        <v>0</v>
      </c>
      <c r="CO22" s="278"/>
      <c r="CP22" s="277"/>
      <c r="CQ22" s="280">
        <f t="shared" si="30"/>
        <v>15</v>
      </c>
      <c r="CR22" s="277">
        <f t="shared" si="31"/>
        <v>15</v>
      </c>
      <c r="CS22" s="278">
        <v>0</v>
      </c>
      <c r="CT22" s="278">
        <v>0</v>
      </c>
      <c r="CU22" s="279">
        <f t="shared" si="9"/>
        <v>0</v>
      </c>
      <c r="CV22" s="11">
        <v>0</v>
      </c>
      <c r="CW22" s="278"/>
      <c r="CX22" s="277"/>
      <c r="CY22" s="280">
        <f t="shared" si="32"/>
        <v>15</v>
      </c>
      <c r="CZ22" s="277">
        <f t="shared" si="33"/>
        <v>15</v>
      </c>
    </row>
    <row r="23" spans="1:104" ht="17.25" customHeight="1">
      <c r="A23" s="28" t="s">
        <v>600</v>
      </c>
      <c r="B23" s="382"/>
      <c r="C23" s="27"/>
      <c r="D23" s="28" t="str">
        <f>_xlfn.XLOOKUP(A23,'ABC-XYZ분석 (2)'!C:C,'ABC-XYZ분석 (2)'!I:I)</f>
        <v>사계절</v>
      </c>
      <c r="E23" s="28" t="str">
        <f>_xlfn.XLOOKUP(A23,'ABC-XYZ분석 (2)'!C:C,'ABC-XYZ분석 (2)'!AC:AC)</f>
        <v>A</v>
      </c>
      <c r="F23" s="3" t="str">
        <f>_xlfn.XLOOKUP(A23,'ABC-XYZ분석 (2)'!C:C,'ABC-XYZ분석 (2)'!AG:AG)</f>
        <v>Y</v>
      </c>
      <c r="G23" s="14">
        <f>SUMIF(재고!C:C,PSI_메인!A23,재고!I:I)</f>
        <v>3</v>
      </c>
      <c r="H23" s="277">
        <v>651</v>
      </c>
      <c r="I23" s="278">
        <v>0</v>
      </c>
      <c r="J23" s="278">
        <v>0</v>
      </c>
      <c r="K23" s="279">
        <v>375</v>
      </c>
      <c r="L23" s="11">
        <v>0</v>
      </c>
      <c r="M23" s="9">
        <f>SUMIFS(입항스케줄!J:J,입항스케줄!C:C,PSI_메인!A23,입항스케줄!U:U,"2601")</f>
        <v>0</v>
      </c>
      <c r="N23" s="11">
        <f>SUMIFS(입항스케줄!J:J,입항스케줄!C:C,PSI_메인!A23,입항스케줄!V:V,"2601")</f>
        <v>0</v>
      </c>
      <c r="O23" s="280">
        <f t="shared" si="10"/>
        <v>-372</v>
      </c>
      <c r="P23" s="277">
        <f t="shared" si="11"/>
        <v>3</v>
      </c>
      <c r="Q23" s="278">
        <v>0</v>
      </c>
      <c r="R23" s="278">
        <v>0</v>
      </c>
      <c r="S23" s="10">
        <v>150</v>
      </c>
      <c r="T23" s="11">
        <v>0</v>
      </c>
      <c r="U23" s="9">
        <f>SUMIFS(입항스케줄!J:J,입항스케줄!C:C,PSI_메인!A23,입항스케줄!U:U,"2602")</f>
        <v>0</v>
      </c>
      <c r="V23" s="11">
        <f>SUMIFS(입항스케줄!J:J,입항스케줄!C:C,PSI_메인!A23,입항스케줄!V:V,"2602")</f>
        <v>0</v>
      </c>
      <c r="W23" s="280">
        <f t="shared" si="12"/>
        <v>-147</v>
      </c>
      <c r="X23" s="277">
        <f t="shared" si="13"/>
        <v>3</v>
      </c>
      <c r="Y23" s="278">
        <v>0</v>
      </c>
      <c r="Z23" s="278">
        <v>0</v>
      </c>
      <c r="AA23" s="279">
        <f t="shared" si="0"/>
        <v>0</v>
      </c>
      <c r="AB23" s="11">
        <v>0</v>
      </c>
      <c r="AC23" s="9">
        <f>SUMIFS(입항스케줄!J:J,입항스케줄!C:C,PSI_메인!A23,입항스케줄!U:U,"2603")</f>
        <v>0</v>
      </c>
      <c r="AD23" s="11">
        <f>SUMIFS(입항스케줄!J:J,입항스케줄!C:C,PSI_메인!A23,입항스케줄!V:V,"2603")</f>
        <v>0</v>
      </c>
      <c r="AE23" s="280">
        <f t="shared" si="14"/>
        <v>3</v>
      </c>
      <c r="AF23" s="277">
        <f t="shared" si="15"/>
        <v>3</v>
      </c>
      <c r="AG23" s="278">
        <v>0</v>
      </c>
      <c r="AH23" s="278">
        <v>0</v>
      </c>
      <c r="AI23" s="279">
        <f t="shared" si="1"/>
        <v>0</v>
      </c>
      <c r="AJ23" s="11">
        <v>0</v>
      </c>
      <c r="AK23" s="9">
        <f>SUMIFS(입항스케줄!J:J,입항스케줄!C:C,PSI_메인!A23,입항스케줄!U:U,"2604")</f>
        <v>0</v>
      </c>
      <c r="AL23" s="11">
        <f>SUMIFS(입항스케줄!J:J,입항스케줄!C:C,PSI_메인!A23,입항스케줄!V:V,"2604")</f>
        <v>0</v>
      </c>
      <c r="AM23" s="280">
        <f t="shared" si="16"/>
        <v>3</v>
      </c>
      <c r="AN23" s="277">
        <f t="shared" si="17"/>
        <v>3</v>
      </c>
      <c r="AO23" s="278">
        <v>0</v>
      </c>
      <c r="AP23" s="278">
        <v>0</v>
      </c>
      <c r="AQ23" s="279">
        <f t="shared" si="2"/>
        <v>0</v>
      </c>
      <c r="AR23" s="11">
        <v>0</v>
      </c>
      <c r="AS23" s="9"/>
      <c r="AT23" s="277"/>
      <c r="AU23" s="280">
        <f t="shared" si="18"/>
        <v>3</v>
      </c>
      <c r="AV23" s="277">
        <f t="shared" si="19"/>
        <v>3</v>
      </c>
      <c r="AW23" s="278">
        <v>0</v>
      </c>
      <c r="AX23" s="278">
        <v>0</v>
      </c>
      <c r="AY23" s="279">
        <f t="shared" si="3"/>
        <v>0</v>
      </c>
      <c r="AZ23" s="11">
        <v>0</v>
      </c>
      <c r="BA23" s="9"/>
      <c r="BB23" s="11"/>
      <c r="BC23" s="280">
        <f t="shared" si="20"/>
        <v>3</v>
      </c>
      <c r="BD23" s="277">
        <f t="shared" si="21"/>
        <v>3</v>
      </c>
      <c r="BE23" s="278">
        <v>0</v>
      </c>
      <c r="BF23" s="278">
        <v>0</v>
      </c>
      <c r="BG23" s="279">
        <f t="shared" si="4"/>
        <v>0</v>
      </c>
      <c r="BH23" s="11">
        <v>0</v>
      </c>
      <c r="BI23" s="278"/>
      <c r="BJ23" s="11"/>
      <c r="BK23" s="280">
        <f t="shared" si="22"/>
        <v>3</v>
      </c>
      <c r="BL23" s="277">
        <f t="shared" si="23"/>
        <v>3</v>
      </c>
      <c r="BM23" s="278">
        <v>0</v>
      </c>
      <c r="BN23" s="278">
        <v>0</v>
      </c>
      <c r="BO23" s="279">
        <f t="shared" si="5"/>
        <v>0</v>
      </c>
      <c r="BP23" s="11">
        <v>0</v>
      </c>
      <c r="BQ23" s="278"/>
      <c r="BR23" s="11"/>
      <c r="BS23" s="280">
        <f t="shared" si="24"/>
        <v>3</v>
      </c>
      <c r="BT23" s="277">
        <f t="shared" si="25"/>
        <v>3</v>
      </c>
      <c r="BU23" s="278">
        <v>0</v>
      </c>
      <c r="BV23" s="278">
        <v>0</v>
      </c>
      <c r="BW23" s="279">
        <f t="shared" si="6"/>
        <v>0</v>
      </c>
      <c r="BX23" s="11">
        <v>0</v>
      </c>
      <c r="BY23" s="278"/>
      <c r="BZ23" s="11"/>
      <c r="CA23" s="280">
        <f t="shared" si="26"/>
        <v>3</v>
      </c>
      <c r="CB23" s="277">
        <f t="shared" si="27"/>
        <v>3</v>
      </c>
      <c r="CC23" s="278">
        <v>0</v>
      </c>
      <c r="CD23" s="278">
        <v>0</v>
      </c>
      <c r="CE23" s="279">
        <f t="shared" si="7"/>
        <v>0</v>
      </c>
      <c r="CF23" s="11">
        <v>0</v>
      </c>
      <c r="CG23" s="278"/>
      <c r="CH23" s="11"/>
      <c r="CI23" s="280">
        <f t="shared" si="28"/>
        <v>3</v>
      </c>
      <c r="CJ23" s="277">
        <f t="shared" si="29"/>
        <v>3</v>
      </c>
      <c r="CK23" s="278">
        <v>0</v>
      </c>
      <c r="CL23" s="278">
        <v>0</v>
      </c>
      <c r="CM23" s="279">
        <f t="shared" si="8"/>
        <v>0</v>
      </c>
      <c r="CN23" s="11">
        <v>0</v>
      </c>
      <c r="CO23" s="278"/>
      <c r="CP23" s="277"/>
      <c r="CQ23" s="280">
        <f t="shared" si="30"/>
        <v>3</v>
      </c>
      <c r="CR23" s="277">
        <f t="shared" si="31"/>
        <v>3</v>
      </c>
      <c r="CS23" s="278">
        <v>0</v>
      </c>
      <c r="CT23" s="278">
        <v>0</v>
      </c>
      <c r="CU23" s="279">
        <f t="shared" si="9"/>
        <v>0</v>
      </c>
      <c r="CV23" s="11">
        <v>0</v>
      </c>
      <c r="CW23" s="278"/>
      <c r="CX23" s="277"/>
      <c r="CY23" s="280">
        <f t="shared" si="32"/>
        <v>3</v>
      </c>
      <c r="CZ23" s="277">
        <f t="shared" si="33"/>
        <v>3</v>
      </c>
    </row>
    <row r="24" spans="1:104" ht="17.25" customHeight="1">
      <c r="A24" s="28" t="s">
        <v>601</v>
      </c>
      <c r="B24" s="382"/>
      <c r="C24" s="27"/>
      <c r="D24" s="28" t="str">
        <f>_xlfn.XLOOKUP(A24,'ABC-XYZ분석 (2)'!C:C,'ABC-XYZ분석 (2)'!I:I)</f>
        <v>사계절</v>
      </c>
      <c r="E24" s="28" t="str">
        <f>_xlfn.XLOOKUP(A24,'ABC-XYZ분석 (2)'!C:C,'ABC-XYZ분석 (2)'!AC:AC)</f>
        <v>A</v>
      </c>
      <c r="F24" s="3" t="str">
        <f>_xlfn.XLOOKUP(A24,'ABC-XYZ분석 (2)'!C:C,'ABC-XYZ분석 (2)'!AG:AG)</f>
        <v>Y</v>
      </c>
      <c r="G24" s="14">
        <f>SUMIF(재고!C:C,PSI_메인!A24,재고!I:I)</f>
        <v>6</v>
      </c>
      <c r="H24" s="277">
        <v>1535</v>
      </c>
      <c r="I24" s="278">
        <v>0</v>
      </c>
      <c r="J24" s="278">
        <v>0</v>
      </c>
      <c r="K24" s="279">
        <v>300</v>
      </c>
      <c r="L24" s="11">
        <v>0</v>
      </c>
      <c r="M24" s="9">
        <f>SUMIFS(입항스케줄!J:J,입항스케줄!C:C,PSI_메인!A24,입항스케줄!U:U,"2601")</f>
        <v>0</v>
      </c>
      <c r="N24" s="11">
        <f>SUMIFS(입항스케줄!J:J,입항스케줄!C:C,PSI_메인!A24,입항스케줄!V:V,"2601")</f>
        <v>0</v>
      </c>
      <c r="O24" s="280">
        <f t="shared" si="10"/>
        <v>-294</v>
      </c>
      <c r="P24" s="277">
        <f t="shared" si="11"/>
        <v>6</v>
      </c>
      <c r="Q24" s="278">
        <v>0</v>
      </c>
      <c r="R24" s="278">
        <v>0</v>
      </c>
      <c r="S24" s="10">
        <v>450</v>
      </c>
      <c r="T24" s="11">
        <v>0</v>
      </c>
      <c r="U24" s="9">
        <f>SUMIFS(입항스케줄!J:J,입항스케줄!C:C,PSI_메인!A24,입항스케줄!U:U,"2602")</f>
        <v>72</v>
      </c>
      <c r="V24" s="11">
        <f>SUMIFS(입항스케줄!J:J,입항스케줄!C:C,PSI_메인!A24,입항스케줄!V:V,"2602")</f>
        <v>72</v>
      </c>
      <c r="W24" s="280">
        <f t="shared" si="12"/>
        <v>-372</v>
      </c>
      <c r="X24" s="277">
        <f t="shared" si="13"/>
        <v>78</v>
      </c>
      <c r="Y24" s="278">
        <v>0</v>
      </c>
      <c r="Z24" s="278">
        <v>0</v>
      </c>
      <c r="AA24" s="279">
        <f t="shared" si="0"/>
        <v>0</v>
      </c>
      <c r="AB24" s="11">
        <v>0</v>
      </c>
      <c r="AC24" s="9">
        <f>SUMIFS(입항스케줄!J:J,입항스케줄!C:C,PSI_메인!A24,입항스케줄!U:U,"2603")</f>
        <v>0</v>
      </c>
      <c r="AD24" s="11">
        <f>SUMIFS(입항스케줄!J:J,입항스케줄!C:C,PSI_메인!A24,입항스케줄!V:V,"2603")</f>
        <v>0</v>
      </c>
      <c r="AE24" s="280">
        <f t="shared" si="14"/>
        <v>6</v>
      </c>
      <c r="AF24" s="277">
        <f t="shared" si="15"/>
        <v>6</v>
      </c>
      <c r="AG24" s="278">
        <v>0</v>
      </c>
      <c r="AH24" s="278">
        <v>0</v>
      </c>
      <c r="AI24" s="279">
        <f t="shared" si="1"/>
        <v>0</v>
      </c>
      <c r="AJ24" s="11">
        <v>0</v>
      </c>
      <c r="AK24" s="9">
        <f>SUMIFS(입항스케줄!J:J,입항스케줄!C:C,PSI_메인!A24,입항스케줄!U:U,"2604")</f>
        <v>0</v>
      </c>
      <c r="AL24" s="11">
        <f>SUMIFS(입항스케줄!J:J,입항스케줄!C:C,PSI_메인!A24,입항스케줄!V:V,"2604")</f>
        <v>0</v>
      </c>
      <c r="AM24" s="280">
        <f t="shared" si="16"/>
        <v>6</v>
      </c>
      <c r="AN24" s="277">
        <f t="shared" si="17"/>
        <v>6</v>
      </c>
      <c r="AO24" s="278">
        <v>0</v>
      </c>
      <c r="AP24" s="278">
        <v>0</v>
      </c>
      <c r="AQ24" s="279">
        <f t="shared" si="2"/>
        <v>0</v>
      </c>
      <c r="AR24" s="11">
        <v>0</v>
      </c>
      <c r="AS24" s="9"/>
      <c r="AT24" s="277"/>
      <c r="AU24" s="280">
        <f t="shared" si="18"/>
        <v>6</v>
      </c>
      <c r="AV24" s="277">
        <f t="shared" si="19"/>
        <v>6</v>
      </c>
      <c r="AW24" s="278">
        <v>0</v>
      </c>
      <c r="AX24" s="278">
        <v>0</v>
      </c>
      <c r="AY24" s="279">
        <f t="shared" si="3"/>
        <v>0</v>
      </c>
      <c r="AZ24" s="11">
        <v>0</v>
      </c>
      <c r="BA24" s="9"/>
      <c r="BB24" s="11"/>
      <c r="BC24" s="280">
        <f t="shared" si="20"/>
        <v>6</v>
      </c>
      <c r="BD24" s="277">
        <f t="shared" si="21"/>
        <v>6</v>
      </c>
      <c r="BE24" s="278">
        <v>0</v>
      </c>
      <c r="BF24" s="278">
        <v>0</v>
      </c>
      <c r="BG24" s="279">
        <f t="shared" si="4"/>
        <v>0</v>
      </c>
      <c r="BH24" s="11">
        <v>0</v>
      </c>
      <c r="BI24" s="278"/>
      <c r="BJ24" s="11"/>
      <c r="BK24" s="280">
        <f t="shared" si="22"/>
        <v>6</v>
      </c>
      <c r="BL24" s="277">
        <f t="shared" si="23"/>
        <v>6</v>
      </c>
      <c r="BM24" s="278">
        <v>0</v>
      </c>
      <c r="BN24" s="278">
        <v>0</v>
      </c>
      <c r="BO24" s="279">
        <f t="shared" si="5"/>
        <v>0</v>
      </c>
      <c r="BP24" s="11">
        <v>0</v>
      </c>
      <c r="BQ24" s="278"/>
      <c r="BR24" s="11"/>
      <c r="BS24" s="280">
        <f t="shared" si="24"/>
        <v>6</v>
      </c>
      <c r="BT24" s="277">
        <f t="shared" si="25"/>
        <v>6</v>
      </c>
      <c r="BU24" s="278">
        <v>0</v>
      </c>
      <c r="BV24" s="278">
        <v>0</v>
      </c>
      <c r="BW24" s="279">
        <f t="shared" si="6"/>
        <v>0</v>
      </c>
      <c r="BX24" s="11">
        <v>0</v>
      </c>
      <c r="BY24" s="278"/>
      <c r="BZ24" s="11"/>
      <c r="CA24" s="280">
        <f t="shared" si="26"/>
        <v>6</v>
      </c>
      <c r="CB24" s="277">
        <f t="shared" si="27"/>
        <v>6</v>
      </c>
      <c r="CC24" s="278">
        <v>0</v>
      </c>
      <c r="CD24" s="278">
        <v>0</v>
      </c>
      <c r="CE24" s="279">
        <f t="shared" si="7"/>
        <v>0</v>
      </c>
      <c r="CF24" s="11">
        <v>0</v>
      </c>
      <c r="CG24" s="278"/>
      <c r="CH24" s="11"/>
      <c r="CI24" s="280">
        <f t="shared" si="28"/>
        <v>6</v>
      </c>
      <c r="CJ24" s="277">
        <f t="shared" si="29"/>
        <v>6</v>
      </c>
      <c r="CK24" s="278">
        <v>0</v>
      </c>
      <c r="CL24" s="278">
        <v>0</v>
      </c>
      <c r="CM24" s="279">
        <f t="shared" si="8"/>
        <v>0</v>
      </c>
      <c r="CN24" s="11">
        <v>0</v>
      </c>
      <c r="CO24" s="278"/>
      <c r="CP24" s="277"/>
      <c r="CQ24" s="280">
        <f t="shared" si="30"/>
        <v>6</v>
      </c>
      <c r="CR24" s="277">
        <f t="shared" si="31"/>
        <v>6</v>
      </c>
      <c r="CS24" s="278">
        <v>0</v>
      </c>
      <c r="CT24" s="278">
        <v>0</v>
      </c>
      <c r="CU24" s="279">
        <f t="shared" si="9"/>
        <v>0</v>
      </c>
      <c r="CV24" s="11">
        <v>0</v>
      </c>
      <c r="CW24" s="278"/>
      <c r="CX24" s="277"/>
      <c r="CY24" s="280">
        <f t="shared" si="32"/>
        <v>6</v>
      </c>
      <c r="CZ24" s="277">
        <f t="shared" si="33"/>
        <v>6</v>
      </c>
    </row>
    <row r="25" spans="1:104" ht="17.25" customHeight="1">
      <c r="A25" s="28" t="s">
        <v>602</v>
      </c>
      <c r="B25" s="382"/>
      <c r="C25" s="27"/>
      <c r="D25" s="28" t="str">
        <f>_xlfn.XLOOKUP(A25,'ABC-XYZ분석 (2)'!C:C,'ABC-XYZ분석 (2)'!I:I)</f>
        <v>여름</v>
      </c>
      <c r="E25" s="28" t="str">
        <f>_xlfn.XLOOKUP(A25,'ABC-XYZ분석 (2)'!C:C,'ABC-XYZ분석 (2)'!AC:AC)</f>
        <v>A</v>
      </c>
      <c r="F25" s="3" t="str">
        <f>_xlfn.XLOOKUP(A25,'ABC-XYZ분석 (2)'!C:C,'ABC-XYZ분석 (2)'!AG:AG)</f>
        <v>Z</v>
      </c>
      <c r="G25" s="14">
        <f>SUMIF(재고!C:C,PSI_메인!A25,재고!I:I)</f>
        <v>12</v>
      </c>
      <c r="H25" s="277">
        <v>326</v>
      </c>
      <c r="I25" s="278">
        <v>0</v>
      </c>
      <c r="J25" s="278">
        <v>0</v>
      </c>
      <c r="K25" s="279">
        <v>300</v>
      </c>
      <c r="L25" s="11">
        <v>0</v>
      </c>
      <c r="M25" s="9">
        <f>SUMIFS(입항스케줄!J:J,입항스케줄!C:C,PSI_메인!A25,입항스케줄!U:U,"2601")</f>
        <v>0</v>
      </c>
      <c r="N25" s="11">
        <f>SUMIFS(입항스케줄!J:J,입항스케줄!C:C,PSI_메인!A25,입항스케줄!V:V,"2601")</f>
        <v>0</v>
      </c>
      <c r="O25" s="280">
        <f t="shared" si="10"/>
        <v>-288</v>
      </c>
      <c r="P25" s="277">
        <f t="shared" si="11"/>
        <v>12</v>
      </c>
      <c r="Q25" s="278">
        <v>0</v>
      </c>
      <c r="R25" s="278">
        <v>0</v>
      </c>
      <c r="S25" s="10">
        <v>0</v>
      </c>
      <c r="T25" s="11">
        <v>0</v>
      </c>
      <c r="U25" s="9">
        <f>SUMIFS(입항스케줄!J:J,입항스케줄!C:C,PSI_메인!A25,입항스케줄!U:U,"2602")</f>
        <v>0</v>
      </c>
      <c r="V25" s="11">
        <f>SUMIFS(입항스케줄!J:J,입항스케줄!C:C,PSI_메인!A25,입항스케줄!V:V,"2602")</f>
        <v>0</v>
      </c>
      <c r="W25" s="280">
        <f t="shared" si="12"/>
        <v>12</v>
      </c>
      <c r="X25" s="277">
        <f t="shared" si="13"/>
        <v>12</v>
      </c>
      <c r="Y25" s="278">
        <v>0</v>
      </c>
      <c r="Z25" s="278">
        <v>0</v>
      </c>
      <c r="AA25" s="279">
        <f t="shared" si="0"/>
        <v>0</v>
      </c>
      <c r="AB25" s="11">
        <v>0</v>
      </c>
      <c r="AC25" s="9">
        <f>SUMIFS(입항스케줄!J:J,입항스케줄!C:C,PSI_메인!A25,입항스케줄!U:U,"2603")</f>
        <v>0</v>
      </c>
      <c r="AD25" s="11">
        <f>SUMIFS(입항스케줄!J:J,입항스케줄!C:C,PSI_메인!A25,입항스케줄!V:V,"2603")</f>
        <v>0</v>
      </c>
      <c r="AE25" s="280">
        <f t="shared" si="14"/>
        <v>12</v>
      </c>
      <c r="AF25" s="277">
        <f t="shared" si="15"/>
        <v>12</v>
      </c>
      <c r="AG25" s="278">
        <v>0</v>
      </c>
      <c r="AH25" s="278">
        <v>0</v>
      </c>
      <c r="AI25" s="279">
        <f t="shared" si="1"/>
        <v>0</v>
      </c>
      <c r="AJ25" s="11">
        <v>0</v>
      </c>
      <c r="AK25" s="9">
        <f>SUMIFS(입항스케줄!J:J,입항스케줄!C:C,PSI_메인!A25,입항스케줄!U:U,"2604")</f>
        <v>0</v>
      </c>
      <c r="AL25" s="11">
        <f>SUMIFS(입항스케줄!J:J,입항스케줄!C:C,PSI_메인!A25,입항스케줄!V:V,"2604")</f>
        <v>0</v>
      </c>
      <c r="AM25" s="280">
        <f t="shared" si="16"/>
        <v>12</v>
      </c>
      <c r="AN25" s="277">
        <f t="shared" si="17"/>
        <v>12</v>
      </c>
      <c r="AO25" s="278">
        <v>0</v>
      </c>
      <c r="AP25" s="278">
        <v>0</v>
      </c>
      <c r="AQ25" s="279">
        <f t="shared" si="2"/>
        <v>0</v>
      </c>
      <c r="AR25" s="11">
        <v>0</v>
      </c>
      <c r="AS25" s="9"/>
      <c r="AT25" s="277"/>
      <c r="AU25" s="280">
        <f t="shared" si="18"/>
        <v>12</v>
      </c>
      <c r="AV25" s="277">
        <f t="shared" si="19"/>
        <v>12</v>
      </c>
      <c r="AW25" s="278">
        <v>0</v>
      </c>
      <c r="AX25" s="278">
        <v>0</v>
      </c>
      <c r="AY25" s="279">
        <f t="shared" si="3"/>
        <v>0</v>
      </c>
      <c r="AZ25" s="11">
        <v>0</v>
      </c>
      <c r="BA25" s="9"/>
      <c r="BB25" s="11"/>
      <c r="BC25" s="280">
        <f t="shared" si="20"/>
        <v>12</v>
      </c>
      <c r="BD25" s="277">
        <f t="shared" si="21"/>
        <v>12</v>
      </c>
      <c r="BE25" s="278">
        <v>0</v>
      </c>
      <c r="BF25" s="278">
        <v>0</v>
      </c>
      <c r="BG25" s="279">
        <f t="shared" si="4"/>
        <v>0</v>
      </c>
      <c r="BH25" s="11">
        <v>0</v>
      </c>
      <c r="BI25" s="278"/>
      <c r="BJ25" s="11"/>
      <c r="BK25" s="280">
        <f t="shared" si="22"/>
        <v>12</v>
      </c>
      <c r="BL25" s="277">
        <f t="shared" si="23"/>
        <v>12</v>
      </c>
      <c r="BM25" s="278">
        <v>0</v>
      </c>
      <c r="BN25" s="278">
        <v>0</v>
      </c>
      <c r="BO25" s="279">
        <f t="shared" si="5"/>
        <v>0</v>
      </c>
      <c r="BP25" s="11">
        <v>0</v>
      </c>
      <c r="BQ25" s="278"/>
      <c r="BR25" s="11"/>
      <c r="BS25" s="280">
        <f t="shared" si="24"/>
        <v>12</v>
      </c>
      <c r="BT25" s="277">
        <f t="shared" si="25"/>
        <v>12</v>
      </c>
      <c r="BU25" s="278">
        <v>0</v>
      </c>
      <c r="BV25" s="278">
        <v>0</v>
      </c>
      <c r="BW25" s="279">
        <f t="shared" si="6"/>
        <v>0</v>
      </c>
      <c r="BX25" s="11">
        <v>0</v>
      </c>
      <c r="BY25" s="278"/>
      <c r="BZ25" s="11"/>
      <c r="CA25" s="280">
        <f t="shared" si="26"/>
        <v>12</v>
      </c>
      <c r="CB25" s="277">
        <f t="shared" si="27"/>
        <v>12</v>
      </c>
      <c r="CC25" s="278">
        <v>0</v>
      </c>
      <c r="CD25" s="278">
        <v>0</v>
      </c>
      <c r="CE25" s="279">
        <f t="shared" si="7"/>
        <v>0</v>
      </c>
      <c r="CF25" s="11">
        <v>0</v>
      </c>
      <c r="CG25" s="278"/>
      <c r="CH25" s="11"/>
      <c r="CI25" s="280">
        <f t="shared" si="28"/>
        <v>12</v>
      </c>
      <c r="CJ25" s="277">
        <f t="shared" si="29"/>
        <v>12</v>
      </c>
      <c r="CK25" s="278">
        <v>0</v>
      </c>
      <c r="CL25" s="278">
        <v>0</v>
      </c>
      <c r="CM25" s="279">
        <f t="shared" si="8"/>
        <v>0</v>
      </c>
      <c r="CN25" s="11">
        <v>0</v>
      </c>
      <c r="CO25" s="278"/>
      <c r="CP25" s="277"/>
      <c r="CQ25" s="280">
        <f t="shared" si="30"/>
        <v>12</v>
      </c>
      <c r="CR25" s="277">
        <f t="shared" si="31"/>
        <v>12</v>
      </c>
      <c r="CS25" s="278">
        <v>0</v>
      </c>
      <c r="CT25" s="278">
        <v>0</v>
      </c>
      <c r="CU25" s="279">
        <f t="shared" si="9"/>
        <v>0</v>
      </c>
      <c r="CV25" s="11">
        <v>0</v>
      </c>
      <c r="CW25" s="278"/>
      <c r="CX25" s="277"/>
      <c r="CY25" s="280">
        <f t="shared" si="32"/>
        <v>12</v>
      </c>
      <c r="CZ25" s="277">
        <f t="shared" si="33"/>
        <v>12</v>
      </c>
    </row>
    <row r="26" spans="1:104" ht="17.25" customHeight="1">
      <c r="A26" s="28" t="s">
        <v>603</v>
      </c>
      <c r="B26" s="382"/>
      <c r="C26" s="27"/>
      <c r="D26" s="28" t="str">
        <f>_xlfn.XLOOKUP(A26,'ABC-XYZ분석 (2)'!C:C,'ABC-XYZ분석 (2)'!I:I)</f>
        <v>사계절</v>
      </c>
      <c r="E26" s="28" t="str">
        <f>_xlfn.XLOOKUP(A26,'ABC-XYZ분석 (2)'!C:C,'ABC-XYZ분석 (2)'!AC:AC)</f>
        <v>A</v>
      </c>
      <c r="F26" s="3" t="str">
        <f>_xlfn.XLOOKUP(A26,'ABC-XYZ분석 (2)'!C:C,'ABC-XYZ분석 (2)'!AG:AG)</f>
        <v>X</v>
      </c>
      <c r="G26" s="14">
        <f>SUMIF(재고!C:C,PSI_메인!A26,재고!I:I)</f>
        <v>17</v>
      </c>
      <c r="H26" s="277">
        <v>849</v>
      </c>
      <c r="I26" s="278">
        <v>0</v>
      </c>
      <c r="J26" s="278">
        <v>0</v>
      </c>
      <c r="K26" s="279">
        <v>375</v>
      </c>
      <c r="L26" s="11">
        <v>0</v>
      </c>
      <c r="M26" s="9">
        <f>SUMIFS(입항스케줄!J:J,입항스케줄!C:C,PSI_메인!A26,입항스케줄!U:U,"2601")</f>
        <v>136</v>
      </c>
      <c r="N26" s="11">
        <f>SUMIFS(입항스케줄!J:J,입항스케줄!C:C,PSI_메인!A26,입항스케줄!V:V,"2601")</f>
        <v>136</v>
      </c>
      <c r="O26" s="280">
        <f t="shared" si="10"/>
        <v>-222</v>
      </c>
      <c r="P26" s="277">
        <f t="shared" si="11"/>
        <v>153</v>
      </c>
      <c r="Q26" s="278">
        <v>0</v>
      </c>
      <c r="R26" s="278">
        <v>0</v>
      </c>
      <c r="S26" s="10">
        <v>300</v>
      </c>
      <c r="T26" s="11">
        <v>0</v>
      </c>
      <c r="U26" s="9">
        <f>SUMIFS(입항스케줄!J:J,입항스케줄!C:C,PSI_메인!A26,입항스케줄!U:U,"2602")</f>
        <v>0</v>
      </c>
      <c r="V26" s="11">
        <f>SUMIFS(입항스케줄!J:J,입항스케줄!C:C,PSI_메인!A26,입항스케줄!V:V,"2602")</f>
        <v>0</v>
      </c>
      <c r="W26" s="280">
        <f t="shared" si="12"/>
        <v>-283</v>
      </c>
      <c r="X26" s="277">
        <f t="shared" si="13"/>
        <v>17</v>
      </c>
      <c r="Y26" s="278">
        <v>0</v>
      </c>
      <c r="Z26" s="278">
        <v>0</v>
      </c>
      <c r="AA26" s="279">
        <f t="shared" si="0"/>
        <v>0</v>
      </c>
      <c r="AB26" s="11">
        <v>0</v>
      </c>
      <c r="AC26" s="9">
        <f>SUMIFS(입항스케줄!J:J,입항스케줄!C:C,PSI_메인!A26,입항스케줄!U:U,"2603")</f>
        <v>0</v>
      </c>
      <c r="AD26" s="11">
        <f>SUMIFS(입항스케줄!J:J,입항스케줄!C:C,PSI_메인!A26,입항스케줄!V:V,"2603")</f>
        <v>0</v>
      </c>
      <c r="AE26" s="280">
        <f t="shared" si="14"/>
        <v>17</v>
      </c>
      <c r="AF26" s="277">
        <f t="shared" si="15"/>
        <v>17</v>
      </c>
      <c r="AG26" s="278">
        <v>0</v>
      </c>
      <c r="AH26" s="278">
        <v>0</v>
      </c>
      <c r="AI26" s="279">
        <f t="shared" si="1"/>
        <v>0</v>
      </c>
      <c r="AJ26" s="11">
        <v>0</v>
      </c>
      <c r="AK26" s="9">
        <f>SUMIFS(입항스케줄!J:J,입항스케줄!C:C,PSI_메인!A26,입항스케줄!U:U,"2604")</f>
        <v>0</v>
      </c>
      <c r="AL26" s="11">
        <f>SUMIFS(입항스케줄!J:J,입항스케줄!C:C,PSI_메인!A26,입항스케줄!V:V,"2604")</f>
        <v>0</v>
      </c>
      <c r="AM26" s="280">
        <f t="shared" si="16"/>
        <v>17</v>
      </c>
      <c r="AN26" s="277">
        <f t="shared" si="17"/>
        <v>17</v>
      </c>
      <c r="AO26" s="278">
        <v>0</v>
      </c>
      <c r="AP26" s="278">
        <v>0</v>
      </c>
      <c r="AQ26" s="279">
        <f t="shared" si="2"/>
        <v>0</v>
      </c>
      <c r="AR26" s="11">
        <v>0</v>
      </c>
      <c r="AS26" s="9"/>
      <c r="AT26" s="277"/>
      <c r="AU26" s="280">
        <f t="shared" si="18"/>
        <v>17</v>
      </c>
      <c r="AV26" s="277">
        <f t="shared" si="19"/>
        <v>17</v>
      </c>
      <c r="AW26" s="278">
        <v>0</v>
      </c>
      <c r="AX26" s="278">
        <v>0</v>
      </c>
      <c r="AY26" s="279">
        <f t="shared" si="3"/>
        <v>0</v>
      </c>
      <c r="AZ26" s="11">
        <v>0</v>
      </c>
      <c r="BA26" s="9"/>
      <c r="BB26" s="11"/>
      <c r="BC26" s="280">
        <f t="shared" si="20"/>
        <v>17</v>
      </c>
      <c r="BD26" s="277">
        <f t="shared" si="21"/>
        <v>17</v>
      </c>
      <c r="BE26" s="278">
        <v>0</v>
      </c>
      <c r="BF26" s="278">
        <v>0</v>
      </c>
      <c r="BG26" s="279">
        <f t="shared" si="4"/>
        <v>0</v>
      </c>
      <c r="BH26" s="11">
        <v>0</v>
      </c>
      <c r="BI26" s="278"/>
      <c r="BJ26" s="11"/>
      <c r="BK26" s="280">
        <f t="shared" si="22"/>
        <v>17</v>
      </c>
      <c r="BL26" s="277">
        <f t="shared" si="23"/>
        <v>17</v>
      </c>
      <c r="BM26" s="278">
        <v>0</v>
      </c>
      <c r="BN26" s="278">
        <v>0</v>
      </c>
      <c r="BO26" s="279">
        <f t="shared" si="5"/>
        <v>0</v>
      </c>
      <c r="BP26" s="11">
        <v>0</v>
      </c>
      <c r="BQ26" s="278"/>
      <c r="BR26" s="11"/>
      <c r="BS26" s="280">
        <f t="shared" si="24"/>
        <v>17</v>
      </c>
      <c r="BT26" s="277">
        <f t="shared" si="25"/>
        <v>17</v>
      </c>
      <c r="BU26" s="278">
        <v>0</v>
      </c>
      <c r="BV26" s="278">
        <v>0</v>
      </c>
      <c r="BW26" s="279">
        <f t="shared" si="6"/>
        <v>0</v>
      </c>
      <c r="BX26" s="11">
        <v>0</v>
      </c>
      <c r="BY26" s="278"/>
      <c r="BZ26" s="11"/>
      <c r="CA26" s="280">
        <f t="shared" si="26"/>
        <v>17</v>
      </c>
      <c r="CB26" s="277">
        <f t="shared" si="27"/>
        <v>17</v>
      </c>
      <c r="CC26" s="278">
        <v>0</v>
      </c>
      <c r="CD26" s="278">
        <v>0</v>
      </c>
      <c r="CE26" s="279">
        <f t="shared" si="7"/>
        <v>0</v>
      </c>
      <c r="CF26" s="11">
        <v>0</v>
      </c>
      <c r="CG26" s="278"/>
      <c r="CH26" s="11"/>
      <c r="CI26" s="280">
        <f t="shared" si="28"/>
        <v>17</v>
      </c>
      <c r="CJ26" s="277">
        <f t="shared" si="29"/>
        <v>17</v>
      </c>
      <c r="CK26" s="278">
        <v>0</v>
      </c>
      <c r="CL26" s="278">
        <v>0</v>
      </c>
      <c r="CM26" s="279">
        <f t="shared" si="8"/>
        <v>0</v>
      </c>
      <c r="CN26" s="11">
        <v>0</v>
      </c>
      <c r="CO26" s="278"/>
      <c r="CP26" s="277"/>
      <c r="CQ26" s="280">
        <f t="shared" si="30"/>
        <v>17</v>
      </c>
      <c r="CR26" s="277">
        <f t="shared" si="31"/>
        <v>17</v>
      </c>
      <c r="CS26" s="278">
        <v>0</v>
      </c>
      <c r="CT26" s="278">
        <v>0</v>
      </c>
      <c r="CU26" s="279">
        <f t="shared" si="9"/>
        <v>0</v>
      </c>
      <c r="CV26" s="11">
        <v>0</v>
      </c>
      <c r="CW26" s="278"/>
      <c r="CX26" s="277"/>
      <c r="CY26" s="280">
        <f t="shared" si="32"/>
        <v>17</v>
      </c>
      <c r="CZ26" s="277">
        <f t="shared" si="33"/>
        <v>17</v>
      </c>
    </row>
    <row r="27" spans="1:104" ht="17.25" customHeight="1">
      <c r="A27" s="28" t="s">
        <v>604</v>
      </c>
      <c r="B27" s="382"/>
      <c r="C27" s="27"/>
      <c r="D27" s="28" t="str">
        <f>_xlfn.XLOOKUP(A27,'ABC-XYZ분석 (2)'!C:C,'ABC-XYZ분석 (2)'!I:I)</f>
        <v>여름</v>
      </c>
      <c r="E27" s="28" t="str">
        <f>_xlfn.XLOOKUP(A27,'ABC-XYZ분석 (2)'!C:C,'ABC-XYZ분석 (2)'!AC:AC)</f>
        <v>A</v>
      </c>
      <c r="F27" s="3" t="str">
        <f>_xlfn.XLOOKUP(A27,'ABC-XYZ분석 (2)'!C:C,'ABC-XYZ분석 (2)'!AG:AG)</f>
        <v>Y</v>
      </c>
      <c r="G27" s="14">
        <f>SUMIF(재고!C:C,PSI_메인!A27,재고!I:I)</f>
        <v>58</v>
      </c>
      <c r="H27" s="277">
        <v>426</v>
      </c>
      <c r="I27" s="278">
        <v>0</v>
      </c>
      <c r="J27" s="278">
        <v>0</v>
      </c>
      <c r="K27" s="279">
        <v>200</v>
      </c>
      <c r="L27" s="11">
        <v>0</v>
      </c>
      <c r="M27" s="9">
        <f>SUMIFS(입항스케줄!J:J,입항스케줄!C:C,PSI_메인!A27,입항스케줄!U:U,"2601")</f>
        <v>0</v>
      </c>
      <c r="N27" s="11">
        <f>SUMIFS(입항스케줄!J:J,입항스케줄!C:C,PSI_메인!A27,입항스케줄!V:V,"2601")</f>
        <v>0</v>
      </c>
      <c r="O27" s="280">
        <f t="shared" si="10"/>
        <v>-142</v>
      </c>
      <c r="P27" s="277">
        <f t="shared" si="11"/>
        <v>58</v>
      </c>
      <c r="Q27" s="278">
        <v>0</v>
      </c>
      <c r="R27" s="278">
        <v>0</v>
      </c>
      <c r="S27" s="10">
        <v>0</v>
      </c>
      <c r="T27" s="11">
        <v>0</v>
      </c>
      <c r="U27" s="9">
        <f>SUMIFS(입항스케줄!J:J,입항스케줄!C:C,PSI_메인!A27,입항스케줄!U:U,"2602")</f>
        <v>0</v>
      </c>
      <c r="V27" s="11">
        <f>SUMIFS(입항스케줄!J:J,입항스케줄!C:C,PSI_메인!A27,입항스케줄!V:V,"2602")</f>
        <v>0</v>
      </c>
      <c r="W27" s="280">
        <f t="shared" si="12"/>
        <v>58</v>
      </c>
      <c r="X27" s="277">
        <f t="shared" si="13"/>
        <v>58</v>
      </c>
      <c r="Y27" s="278">
        <v>0</v>
      </c>
      <c r="Z27" s="278">
        <v>0</v>
      </c>
      <c r="AA27" s="279">
        <f t="shared" si="0"/>
        <v>0</v>
      </c>
      <c r="AB27" s="11">
        <v>0</v>
      </c>
      <c r="AC27" s="9">
        <f>SUMIFS(입항스케줄!J:J,입항스케줄!C:C,PSI_메인!A27,입항스케줄!U:U,"2603")</f>
        <v>0</v>
      </c>
      <c r="AD27" s="11">
        <f>SUMIFS(입항스케줄!J:J,입항스케줄!C:C,PSI_메인!A27,입항스케줄!V:V,"2603")</f>
        <v>0</v>
      </c>
      <c r="AE27" s="280">
        <f t="shared" si="14"/>
        <v>58</v>
      </c>
      <c r="AF27" s="277">
        <f t="shared" si="15"/>
        <v>58</v>
      </c>
      <c r="AG27" s="278">
        <v>0</v>
      </c>
      <c r="AH27" s="278">
        <v>0</v>
      </c>
      <c r="AI27" s="279">
        <f t="shared" si="1"/>
        <v>0</v>
      </c>
      <c r="AJ27" s="11">
        <v>0</v>
      </c>
      <c r="AK27" s="9">
        <f>SUMIFS(입항스케줄!J:J,입항스케줄!C:C,PSI_메인!A27,입항스케줄!U:U,"2604")</f>
        <v>0</v>
      </c>
      <c r="AL27" s="11">
        <f>SUMIFS(입항스케줄!J:J,입항스케줄!C:C,PSI_메인!A27,입항스케줄!V:V,"2604")</f>
        <v>0</v>
      </c>
      <c r="AM27" s="280">
        <f t="shared" si="16"/>
        <v>58</v>
      </c>
      <c r="AN27" s="277">
        <f t="shared" si="17"/>
        <v>58</v>
      </c>
      <c r="AO27" s="278">
        <v>0</v>
      </c>
      <c r="AP27" s="278">
        <v>0</v>
      </c>
      <c r="AQ27" s="279">
        <f t="shared" si="2"/>
        <v>0</v>
      </c>
      <c r="AR27" s="11">
        <v>0</v>
      </c>
      <c r="AS27" s="9"/>
      <c r="AT27" s="277"/>
      <c r="AU27" s="280">
        <f t="shared" si="18"/>
        <v>58</v>
      </c>
      <c r="AV27" s="277">
        <f t="shared" si="19"/>
        <v>58</v>
      </c>
      <c r="AW27" s="278">
        <v>0</v>
      </c>
      <c r="AX27" s="278">
        <v>0</v>
      </c>
      <c r="AY27" s="279">
        <f t="shared" si="3"/>
        <v>0</v>
      </c>
      <c r="AZ27" s="11">
        <v>0</v>
      </c>
      <c r="BA27" s="9"/>
      <c r="BB27" s="11"/>
      <c r="BC27" s="280">
        <f t="shared" si="20"/>
        <v>58</v>
      </c>
      <c r="BD27" s="277">
        <f t="shared" si="21"/>
        <v>58</v>
      </c>
      <c r="BE27" s="278">
        <v>0</v>
      </c>
      <c r="BF27" s="278">
        <v>0</v>
      </c>
      <c r="BG27" s="279">
        <f t="shared" si="4"/>
        <v>0</v>
      </c>
      <c r="BH27" s="11">
        <v>0</v>
      </c>
      <c r="BI27" s="278"/>
      <c r="BJ27" s="11"/>
      <c r="BK27" s="280">
        <f t="shared" si="22"/>
        <v>58</v>
      </c>
      <c r="BL27" s="277">
        <f t="shared" si="23"/>
        <v>58</v>
      </c>
      <c r="BM27" s="278">
        <v>0</v>
      </c>
      <c r="BN27" s="278">
        <v>0</v>
      </c>
      <c r="BO27" s="279">
        <f t="shared" si="5"/>
        <v>0</v>
      </c>
      <c r="BP27" s="11">
        <v>0</v>
      </c>
      <c r="BQ27" s="278"/>
      <c r="BR27" s="11"/>
      <c r="BS27" s="280">
        <f t="shared" si="24"/>
        <v>58</v>
      </c>
      <c r="BT27" s="277">
        <f t="shared" si="25"/>
        <v>58</v>
      </c>
      <c r="BU27" s="278">
        <v>0</v>
      </c>
      <c r="BV27" s="278">
        <v>0</v>
      </c>
      <c r="BW27" s="279">
        <f t="shared" si="6"/>
        <v>0</v>
      </c>
      <c r="BX27" s="11">
        <v>0</v>
      </c>
      <c r="BY27" s="278"/>
      <c r="BZ27" s="11"/>
      <c r="CA27" s="280">
        <f t="shared" si="26"/>
        <v>58</v>
      </c>
      <c r="CB27" s="277">
        <f t="shared" si="27"/>
        <v>58</v>
      </c>
      <c r="CC27" s="278">
        <v>0</v>
      </c>
      <c r="CD27" s="278">
        <v>0</v>
      </c>
      <c r="CE27" s="279">
        <f t="shared" si="7"/>
        <v>0</v>
      </c>
      <c r="CF27" s="11">
        <v>0</v>
      </c>
      <c r="CG27" s="278"/>
      <c r="CH27" s="11"/>
      <c r="CI27" s="280">
        <f t="shared" si="28"/>
        <v>58</v>
      </c>
      <c r="CJ27" s="277">
        <f t="shared" si="29"/>
        <v>58</v>
      </c>
      <c r="CK27" s="278">
        <v>0</v>
      </c>
      <c r="CL27" s="278">
        <v>0</v>
      </c>
      <c r="CM27" s="279">
        <f t="shared" si="8"/>
        <v>0</v>
      </c>
      <c r="CN27" s="11">
        <v>0</v>
      </c>
      <c r="CO27" s="278"/>
      <c r="CP27" s="277"/>
      <c r="CQ27" s="280">
        <f t="shared" si="30"/>
        <v>58</v>
      </c>
      <c r="CR27" s="277">
        <f t="shared" si="31"/>
        <v>58</v>
      </c>
      <c r="CS27" s="278">
        <v>0</v>
      </c>
      <c r="CT27" s="278">
        <v>0</v>
      </c>
      <c r="CU27" s="279">
        <f t="shared" si="9"/>
        <v>0</v>
      </c>
      <c r="CV27" s="11">
        <v>0</v>
      </c>
      <c r="CW27" s="278"/>
      <c r="CX27" s="277"/>
      <c r="CY27" s="280">
        <f t="shared" si="32"/>
        <v>58</v>
      </c>
      <c r="CZ27" s="277">
        <f t="shared" si="33"/>
        <v>58</v>
      </c>
    </row>
    <row r="28" spans="1:104" ht="17.25" customHeight="1">
      <c r="A28" s="28" t="s">
        <v>605</v>
      </c>
      <c r="B28" s="382"/>
      <c r="C28" s="27"/>
      <c r="D28" s="28" t="str">
        <f>_xlfn.XLOOKUP(A28,'ABC-XYZ분석 (2)'!C:C,'ABC-XYZ분석 (2)'!I:I)</f>
        <v>사계절</v>
      </c>
      <c r="E28" s="28" t="str">
        <f>_xlfn.XLOOKUP(A28,'ABC-XYZ분석 (2)'!C:C,'ABC-XYZ분석 (2)'!AC:AC)</f>
        <v>A</v>
      </c>
      <c r="F28" s="3" t="str">
        <f>_xlfn.XLOOKUP(A28,'ABC-XYZ분석 (2)'!C:C,'ABC-XYZ분석 (2)'!AG:AG)</f>
        <v>Y</v>
      </c>
      <c r="G28" s="14">
        <f>SUMIF(재고!C:C,PSI_메인!A28,재고!I:I)</f>
        <v>3</v>
      </c>
      <c r="H28" s="277">
        <v>1199</v>
      </c>
      <c r="I28" s="278">
        <v>0</v>
      </c>
      <c r="J28" s="278">
        <v>0</v>
      </c>
      <c r="K28" s="279">
        <v>250</v>
      </c>
      <c r="L28" s="11">
        <v>0</v>
      </c>
      <c r="M28" s="9">
        <f>SUMIFS(입항스케줄!J:J,입항스케줄!C:C,PSI_메인!A28,입항스케줄!U:U,"2601")</f>
        <v>0</v>
      </c>
      <c r="N28" s="11">
        <f>SUMIFS(입항스케줄!J:J,입항스케줄!C:C,PSI_메인!A28,입항스케줄!V:V,"2601")</f>
        <v>0</v>
      </c>
      <c r="O28" s="280">
        <f t="shared" si="10"/>
        <v>-247</v>
      </c>
      <c r="P28" s="277">
        <f t="shared" si="11"/>
        <v>3</v>
      </c>
      <c r="Q28" s="278">
        <v>0</v>
      </c>
      <c r="R28" s="278">
        <v>0</v>
      </c>
      <c r="S28" s="10">
        <v>600</v>
      </c>
      <c r="T28" s="11">
        <v>0</v>
      </c>
      <c r="U28" s="9">
        <f>SUMIFS(입항스케줄!J:J,입항스케줄!C:C,PSI_메인!A28,입항스케줄!U:U,"2602")</f>
        <v>0</v>
      </c>
      <c r="V28" s="11">
        <f>SUMIFS(입항스케줄!J:J,입항스케줄!C:C,PSI_메인!A28,입항스케줄!V:V,"2602")</f>
        <v>0</v>
      </c>
      <c r="W28" s="280">
        <f t="shared" si="12"/>
        <v>-597</v>
      </c>
      <c r="X28" s="277">
        <f t="shared" si="13"/>
        <v>3</v>
      </c>
      <c r="Y28" s="278">
        <v>0</v>
      </c>
      <c r="Z28" s="278">
        <v>0</v>
      </c>
      <c r="AA28" s="279">
        <f t="shared" si="0"/>
        <v>0</v>
      </c>
      <c r="AB28" s="11">
        <v>0</v>
      </c>
      <c r="AC28" s="9">
        <f>SUMIFS(입항스케줄!J:J,입항스케줄!C:C,PSI_메인!A28,입항스케줄!U:U,"2603")</f>
        <v>0</v>
      </c>
      <c r="AD28" s="11">
        <f>SUMIFS(입항스케줄!J:J,입항스케줄!C:C,PSI_메인!A28,입항스케줄!V:V,"2603")</f>
        <v>0</v>
      </c>
      <c r="AE28" s="280">
        <f t="shared" si="14"/>
        <v>3</v>
      </c>
      <c r="AF28" s="277">
        <f t="shared" si="15"/>
        <v>3</v>
      </c>
      <c r="AG28" s="278">
        <v>0</v>
      </c>
      <c r="AH28" s="278">
        <v>0</v>
      </c>
      <c r="AI28" s="279">
        <f t="shared" si="1"/>
        <v>0</v>
      </c>
      <c r="AJ28" s="11">
        <v>0</v>
      </c>
      <c r="AK28" s="9">
        <f>SUMIFS(입항스케줄!J:J,입항스케줄!C:C,PSI_메인!A28,입항스케줄!U:U,"2604")</f>
        <v>0</v>
      </c>
      <c r="AL28" s="11">
        <f>SUMIFS(입항스케줄!J:J,입항스케줄!C:C,PSI_메인!A28,입항스케줄!V:V,"2604")</f>
        <v>0</v>
      </c>
      <c r="AM28" s="280">
        <f t="shared" si="16"/>
        <v>3</v>
      </c>
      <c r="AN28" s="277">
        <f t="shared" si="17"/>
        <v>3</v>
      </c>
      <c r="AO28" s="278">
        <v>0</v>
      </c>
      <c r="AP28" s="278">
        <v>0</v>
      </c>
      <c r="AQ28" s="279">
        <f t="shared" si="2"/>
        <v>0</v>
      </c>
      <c r="AR28" s="11">
        <v>0</v>
      </c>
      <c r="AS28" s="9"/>
      <c r="AT28" s="277"/>
      <c r="AU28" s="280">
        <f t="shared" si="18"/>
        <v>3</v>
      </c>
      <c r="AV28" s="277">
        <f t="shared" si="19"/>
        <v>3</v>
      </c>
      <c r="AW28" s="278">
        <v>0</v>
      </c>
      <c r="AX28" s="278">
        <v>0</v>
      </c>
      <c r="AY28" s="279">
        <f t="shared" si="3"/>
        <v>0</v>
      </c>
      <c r="AZ28" s="11">
        <v>0</v>
      </c>
      <c r="BA28" s="9"/>
      <c r="BB28" s="11"/>
      <c r="BC28" s="280">
        <f t="shared" si="20"/>
        <v>3</v>
      </c>
      <c r="BD28" s="277">
        <f t="shared" si="21"/>
        <v>3</v>
      </c>
      <c r="BE28" s="278">
        <v>0</v>
      </c>
      <c r="BF28" s="278">
        <v>0</v>
      </c>
      <c r="BG28" s="279">
        <f t="shared" si="4"/>
        <v>0</v>
      </c>
      <c r="BH28" s="11">
        <v>0</v>
      </c>
      <c r="BI28" s="278"/>
      <c r="BJ28" s="11"/>
      <c r="BK28" s="280">
        <f t="shared" si="22"/>
        <v>3</v>
      </c>
      <c r="BL28" s="277">
        <f t="shared" si="23"/>
        <v>3</v>
      </c>
      <c r="BM28" s="278">
        <v>0</v>
      </c>
      <c r="BN28" s="278">
        <v>0</v>
      </c>
      <c r="BO28" s="279">
        <f t="shared" si="5"/>
        <v>0</v>
      </c>
      <c r="BP28" s="11">
        <v>0</v>
      </c>
      <c r="BQ28" s="278"/>
      <c r="BR28" s="11"/>
      <c r="BS28" s="280">
        <f t="shared" si="24"/>
        <v>3</v>
      </c>
      <c r="BT28" s="277">
        <f t="shared" si="25"/>
        <v>3</v>
      </c>
      <c r="BU28" s="278">
        <v>0</v>
      </c>
      <c r="BV28" s="278">
        <v>0</v>
      </c>
      <c r="BW28" s="279">
        <f t="shared" si="6"/>
        <v>0</v>
      </c>
      <c r="BX28" s="11">
        <v>0</v>
      </c>
      <c r="BY28" s="278"/>
      <c r="BZ28" s="11"/>
      <c r="CA28" s="280">
        <f t="shared" si="26"/>
        <v>3</v>
      </c>
      <c r="CB28" s="277">
        <f t="shared" si="27"/>
        <v>3</v>
      </c>
      <c r="CC28" s="278">
        <v>0</v>
      </c>
      <c r="CD28" s="278">
        <v>0</v>
      </c>
      <c r="CE28" s="279">
        <f t="shared" si="7"/>
        <v>0</v>
      </c>
      <c r="CF28" s="11">
        <v>0</v>
      </c>
      <c r="CG28" s="278"/>
      <c r="CH28" s="11"/>
      <c r="CI28" s="280">
        <f t="shared" si="28"/>
        <v>3</v>
      </c>
      <c r="CJ28" s="277">
        <f t="shared" si="29"/>
        <v>3</v>
      </c>
      <c r="CK28" s="278">
        <v>0</v>
      </c>
      <c r="CL28" s="278">
        <v>0</v>
      </c>
      <c r="CM28" s="279">
        <f t="shared" si="8"/>
        <v>0</v>
      </c>
      <c r="CN28" s="11">
        <v>0</v>
      </c>
      <c r="CO28" s="278"/>
      <c r="CP28" s="277"/>
      <c r="CQ28" s="280">
        <f t="shared" si="30"/>
        <v>3</v>
      </c>
      <c r="CR28" s="277">
        <f t="shared" si="31"/>
        <v>3</v>
      </c>
      <c r="CS28" s="278">
        <v>0</v>
      </c>
      <c r="CT28" s="278">
        <v>0</v>
      </c>
      <c r="CU28" s="279">
        <f t="shared" si="9"/>
        <v>0</v>
      </c>
      <c r="CV28" s="11">
        <v>0</v>
      </c>
      <c r="CW28" s="278"/>
      <c r="CX28" s="277"/>
      <c r="CY28" s="280">
        <f t="shared" si="32"/>
        <v>3</v>
      </c>
      <c r="CZ28" s="277">
        <f t="shared" si="33"/>
        <v>3</v>
      </c>
    </row>
    <row r="29" spans="1:104" ht="17.25" customHeight="1">
      <c r="A29" s="28" t="s">
        <v>606</v>
      </c>
      <c r="B29" s="382"/>
      <c r="C29" s="27"/>
      <c r="D29" s="28" t="str">
        <f>_xlfn.XLOOKUP(A29,'ABC-XYZ분석 (2)'!C:C,'ABC-XYZ분석 (2)'!I:I)</f>
        <v>사계절</v>
      </c>
      <c r="E29" s="28" t="str">
        <f>_xlfn.XLOOKUP(A29,'ABC-XYZ분석 (2)'!C:C,'ABC-XYZ분석 (2)'!AC:AC)</f>
        <v>A</v>
      </c>
      <c r="F29" s="3" t="str">
        <f>_xlfn.XLOOKUP(A29,'ABC-XYZ분석 (2)'!C:C,'ABC-XYZ분석 (2)'!AG:AG)</f>
        <v>Y</v>
      </c>
      <c r="G29" s="14">
        <f>SUMIF(재고!C:C,PSI_메인!A29,재고!I:I)</f>
        <v>4</v>
      </c>
      <c r="H29" s="277">
        <v>544</v>
      </c>
      <c r="I29" s="278">
        <v>0</v>
      </c>
      <c r="J29" s="278">
        <v>0</v>
      </c>
      <c r="K29" s="279">
        <v>412.5</v>
      </c>
      <c r="L29" s="11">
        <v>0</v>
      </c>
      <c r="M29" s="9">
        <f>SUMIFS(입항스케줄!J:J,입항스케줄!C:C,PSI_메인!A29,입항스케줄!U:U,"2601")</f>
        <v>0</v>
      </c>
      <c r="N29" s="11">
        <f>SUMIFS(입항스케줄!J:J,입항스케줄!C:C,PSI_메인!A29,입항스케줄!V:V,"2601")</f>
        <v>0</v>
      </c>
      <c r="O29" s="280">
        <f t="shared" si="10"/>
        <v>-408.5</v>
      </c>
      <c r="P29" s="277">
        <f t="shared" si="11"/>
        <v>4</v>
      </c>
      <c r="Q29" s="278">
        <v>0</v>
      </c>
      <c r="R29" s="278">
        <v>0</v>
      </c>
      <c r="S29" s="10">
        <v>300</v>
      </c>
      <c r="T29" s="11">
        <v>0</v>
      </c>
      <c r="U29" s="9">
        <f>SUMIFS(입항스케줄!J:J,입항스케줄!C:C,PSI_메인!A29,입항스케줄!U:U,"2602")</f>
        <v>0</v>
      </c>
      <c r="V29" s="11">
        <f>SUMIFS(입항스케줄!J:J,입항스케줄!C:C,PSI_메인!A29,입항스케줄!V:V,"2602")</f>
        <v>0</v>
      </c>
      <c r="W29" s="280">
        <f t="shared" si="12"/>
        <v>-296</v>
      </c>
      <c r="X29" s="277">
        <f t="shared" si="13"/>
        <v>4</v>
      </c>
      <c r="Y29" s="278">
        <v>0</v>
      </c>
      <c r="Z29" s="278">
        <v>0</v>
      </c>
      <c r="AA29" s="279">
        <f t="shared" si="0"/>
        <v>0</v>
      </c>
      <c r="AB29" s="11">
        <v>0</v>
      </c>
      <c r="AC29" s="9">
        <f>SUMIFS(입항스케줄!J:J,입항스케줄!C:C,PSI_메인!A29,입항스케줄!U:U,"2603")</f>
        <v>0</v>
      </c>
      <c r="AD29" s="11">
        <f>SUMIFS(입항스케줄!J:J,입항스케줄!C:C,PSI_메인!A29,입항스케줄!V:V,"2603")</f>
        <v>0</v>
      </c>
      <c r="AE29" s="280">
        <f t="shared" si="14"/>
        <v>4</v>
      </c>
      <c r="AF29" s="277">
        <f t="shared" si="15"/>
        <v>4</v>
      </c>
      <c r="AG29" s="278">
        <v>0</v>
      </c>
      <c r="AH29" s="278">
        <v>0</v>
      </c>
      <c r="AI29" s="279">
        <f t="shared" si="1"/>
        <v>0</v>
      </c>
      <c r="AJ29" s="11">
        <v>0</v>
      </c>
      <c r="AK29" s="9">
        <f>SUMIFS(입항스케줄!J:J,입항스케줄!C:C,PSI_메인!A29,입항스케줄!U:U,"2604")</f>
        <v>0</v>
      </c>
      <c r="AL29" s="11">
        <f>SUMIFS(입항스케줄!J:J,입항스케줄!C:C,PSI_메인!A29,입항스케줄!V:V,"2604")</f>
        <v>0</v>
      </c>
      <c r="AM29" s="280">
        <f t="shared" si="16"/>
        <v>4</v>
      </c>
      <c r="AN29" s="277">
        <f t="shared" si="17"/>
        <v>4</v>
      </c>
      <c r="AO29" s="278">
        <v>0</v>
      </c>
      <c r="AP29" s="278">
        <v>0</v>
      </c>
      <c r="AQ29" s="279">
        <f t="shared" si="2"/>
        <v>0</v>
      </c>
      <c r="AR29" s="11">
        <v>0</v>
      </c>
      <c r="AS29" s="9"/>
      <c r="AT29" s="277"/>
      <c r="AU29" s="280">
        <f t="shared" si="18"/>
        <v>4</v>
      </c>
      <c r="AV29" s="277">
        <f t="shared" si="19"/>
        <v>4</v>
      </c>
      <c r="AW29" s="278">
        <v>0</v>
      </c>
      <c r="AX29" s="278">
        <v>0</v>
      </c>
      <c r="AY29" s="279">
        <f t="shared" si="3"/>
        <v>0</v>
      </c>
      <c r="AZ29" s="11">
        <v>0</v>
      </c>
      <c r="BA29" s="9"/>
      <c r="BB29" s="11"/>
      <c r="BC29" s="280">
        <f t="shared" si="20"/>
        <v>4</v>
      </c>
      <c r="BD29" s="277">
        <f t="shared" si="21"/>
        <v>4</v>
      </c>
      <c r="BE29" s="278">
        <v>0</v>
      </c>
      <c r="BF29" s="278">
        <v>0</v>
      </c>
      <c r="BG29" s="279">
        <f t="shared" si="4"/>
        <v>0</v>
      </c>
      <c r="BH29" s="11">
        <v>0</v>
      </c>
      <c r="BI29" s="278"/>
      <c r="BJ29" s="11"/>
      <c r="BK29" s="280">
        <f t="shared" si="22"/>
        <v>4</v>
      </c>
      <c r="BL29" s="277">
        <f t="shared" si="23"/>
        <v>4</v>
      </c>
      <c r="BM29" s="278">
        <v>0</v>
      </c>
      <c r="BN29" s="278">
        <v>0</v>
      </c>
      <c r="BO29" s="279">
        <f t="shared" si="5"/>
        <v>0</v>
      </c>
      <c r="BP29" s="11">
        <v>0</v>
      </c>
      <c r="BQ29" s="278"/>
      <c r="BR29" s="11"/>
      <c r="BS29" s="280">
        <f t="shared" si="24"/>
        <v>4</v>
      </c>
      <c r="BT29" s="277">
        <f t="shared" si="25"/>
        <v>4</v>
      </c>
      <c r="BU29" s="278">
        <v>0</v>
      </c>
      <c r="BV29" s="278">
        <v>0</v>
      </c>
      <c r="BW29" s="279">
        <f t="shared" si="6"/>
        <v>0</v>
      </c>
      <c r="BX29" s="11">
        <v>0</v>
      </c>
      <c r="BY29" s="278"/>
      <c r="BZ29" s="11"/>
      <c r="CA29" s="280">
        <f t="shared" si="26"/>
        <v>4</v>
      </c>
      <c r="CB29" s="277">
        <f t="shared" si="27"/>
        <v>4</v>
      </c>
      <c r="CC29" s="278">
        <v>0</v>
      </c>
      <c r="CD29" s="278">
        <v>0</v>
      </c>
      <c r="CE29" s="279">
        <f t="shared" si="7"/>
        <v>0</v>
      </c>
      <c r="CF29" s="11">
        <v>0</v>
      </c>
      <c r="CG29" s="278"/>
      <c r="CH29" s="11"/>
      <c r="CI29" s="280">
        <f t="shared" si="28"/>
        <v>4</v>
      </c>
      <c r="CJ29" s="277">
        <f t="shared" si="29"/>
        <v>4</v>
      </c>
      <c r="CK29" s="278">
        <v>0</v>
      </c>
      <c r="CL29" s="278">
        <v>0</v>
      </c>
      <c r="CM29" s="279">
        <f t="shared" si="8"/>
        <v>0</v>
      </c>
      <c r="CN29" s="11">
        <v>0</v>
      </c>
      <c r="CO29" s="278"/>
      <c r="CP29" s="277"/>
      <c r="CQ29" s="280">
        <f t="shared" si="30"/>
        <v>4</v>
      </c>
      <c r="CR29" s="277">
        <f t="shared" si="31"/>
        <v>4</v>
      </c>
      <c r="CS29" s="278">
        <v>0</v>
      </c>
      <c r="CT29" s="278">
        <v>0</v>
      </c>
      <c r="CU29" s="279">
        <f t="shared" si="9"/>
        <v>0</v>
      </c>
      <c r="CV29" s="11">
        <v>0</v>
      </c>
      <c r="CW29" s="278"/>
      <c r="CX29" s="277"/>
      <c r="CY29" s="280">
        <f t="shared" si="32"/>
        <v>4</v>
      </c>
      <c r="CZ29" s="277">
        <f t="shared" si="33"/>
        <v>4</v>
      </c>
    </row>
    <row r="30" spans="1:104" ht="17.25" customHeight="1">
      <c r="A30" s="28" t="s">
        <v>607</v>
      </c>
      <c r="B30" s="382"/>
      <c r="C30" s="27"/>
      <c r="D30" s="28" t="str">
        <f>_xlfn.XLOOKUP(A30,'ABC-XYZ분석 (2)'!C:C,'ABC-XYZ분석 (2)'!I:I)</f>
        <v>여름</v>
      </c>
      <c r="E30" s="28" t="str">
        <f>_xlfn.XLOOKUP(A30,'ABC-XYZ분석 (2)'!C:C,'ABC-XYZ분석 (2)'!AC:AC)</f>
        <v>A</v>
      </c>
      <c r="F30" s="3" t="str">
        <f>_xlfn.XLOOKUP(A30,'ABC-XYZ분석 (2)'!C:C,'ABC-XYZ분석 (2)'!AG:AG)</f>
        <v>Z</v>
      </c>
      <c r="G30" s="14">
        <f>SUMIF(재고!C:C,PSI_메인!A30,재고!I:I)</f>
        <v>5</v>
      </c>
      <c r="H30" s="277">
        <v>436</v>
      </c>
      <c r="I30" s="278">
        <v>0</v>
      </c>
      <c r="J30" s="278">
        <v>0</v>
      </c>
      <c r="K30" s="279">
        <v>150</v>
      </c>
      <c r="L30" s="11">
        <v>0</v>
      </c>
      <c r="M30" s="9">
        <f>SUMIFS(입항스케줄!J:J,입항스케줄!C:C,PSI_메인!A30,입항스케줄!U:U,"2601")</f>
        <v>0</v>
      </c>
      <c r="N30" s="11">
        <f>SUMIFS(입항스케줄!J:J,입항스케줄!C:C,PSI_메인!A30,입항스케줄!V:V,"2601")</f>
        <v>0</v>
      </c>
      <c r="O30" s="280">
        <f t="shared" si="10"/>
        <v>-145</v>
      </c>
      <c r="P30" s="277">
        <f t="shared" si="11"/>
        <v>5</v>
      </c>
      <c r="Q30" s="278">
        <v>0</v>
      </c>
      <c r="R30" s="278">
        <v>0</v>
      </c>
      <c r="S30" s="10">
        <v>150</v>
      </c>
      <c r="T30" s="11">
        <v>0</v>
      </c>
      <c r="U30" s="9">
        <f>SUMIFS(입항스케줄!J:J,입항스케줄!C:C,PSI_메인!A30,입항스케줄!U:U,"2602")</f>
        <v>0</v>
      </c>
      <c r="V30" s="11">
        <f>SUMIFS(입항스케줄!J:J,입항스케줄!C:C,PSI_메인!A30,입항스케줄!V:V,"2602")</f>
        <v>0</v>
      </c>
      <c r="W30" s="280">
        <f t="shared" si="12"/>
        <v>-145</v>
      </c>
      <c r="X30" s="277">
        <f t="shared" si="13"/>
        <v>5</v>
      </c>
      <c r="Y30" s="278">
        <v>0</v>
      </c>
      <c r="Z30" s="278">
        <v>0</v>
      </c>
      <c r="AA30" s="279">
        <f t="shared" si="0"/>
        <v>0</v>
      </c>
      <c r="AB30" s="11">
        <v>0</v>
      </c>
      <c r="AC30" s="9">
        <f>SUMIFS(입항스케줄!J:J,입항스케줄!C:C,PSI_메인!A30,입항스케줄!U:U,"2603")</f>
        <v>0</v>
      </c>
      <c r="AD30" s="11">
        <f>SUMIFS(입항스케줄!J:J,입항스케줄!C:C,PSI_메인!A30,입항스케줄!V:V,"2603")</f>
        <v>0</v>
      </c>
      <c r="AE30" s="280">
        <f t="shared" si="14"/>
        <v>5</v>
      </c>
      <c r="AF30" s="277">
        <f t="shared" si="15"/>
        <v>5</v>
      </c>
      <c r="AG30" s="278">
        <v>0</v>
      </c>
      <c r="AH30" s="278">
        <v>0</v>
      </c>
      <c r="AI30" s="279">
        <f t="shared" si="1"/>
        <v>0</v>
      </c>
      <c r="AJ30" s="11">
        <v>0</v>
      </c>
      <c r="AK30" s="9">
        <f>SUMIFS(입항스케줄!J:J,입항스케줄!C:C,PSI_메인!A30,입항스케줄!U:U,"2604")</f>
        <v>0</v>
      </c>
      <c r="AL30" s="11">
        <f>SUMIFS(입항스케줄!J:J,입항스케줄!C:C,PSI_메인!A30,입항스케줄!V:V,"2604")</f>
        <v>0</v>
      </c>
      <c r="AM30" s="280">
        <f t="shared" si="16"/>
        <v>5</v>
      </c>
      <c r="AN30" s="277">
        <f t="shared" si="17"/>
        <v>5</v>
      </c>
      <c r="AO30" s="278">
        <v>0</v>
      </c>
      <c r="AP30" s="278">
        <v>0</v>
      </c>
      <c r="AQ30" s="279">
        <f t="shared" si="2"/>
        <v>0</v>
      </c>
      <c r="AR30" s="11">
        <v>0</v>
      </c>
      <c r="AS30" s="9"/>
      <c r="AT30" s="277"/>
      <c r="AU30" s="280">
        <f t="shared" si="18"/>
        <v>5</v>
      </c>
      <c r="AV30" s="277">
        <f t="shared" si="19"/>
        <v>5</v>
      </c>
      <c r="AW30" s="278">
        <v>0</v>
      </c>
      <c r="AX30" s="278">
        <v>0</v>
      </c>
      <c r="AY30" s="279">
        <f t="shared" si="3"/>
        <v>0</v>
      </c>
      <c r="AZ30" s="11">
        <v>0</v>
      </c>
      <c r="BA30" s="9"/>
      <c r="BB30" s="11"/>
      <c r="BC30" s="280">
        <f t="shared" si="20"/>
        <v>5</v>
      </c>
      <c r="BD30" s="277">
        <f t="shared" si="21"/>
        <v>5</v>
      </c>
      <c r="BE30" s="278">
        <v>0</v>
      </c>
      <c r="BF30" s="278">
        <v>0</v>
      </c>
      <c r="BG30" s="279">
        <f t="shared" si="4"/>
        <v>0</v>
      </c>
      <c r="BH30" s="11">
        <v>0</v>
      </c>
      <c r="BI30" s="278"/>
      <c r="BJ30" s="11"/>
      <c r="BK30" s="280">
        <f t="shared" si="22"/>
        <v>5</v>
      </c>
      <c r="BL30" s="277">
        <f t="shared" si="23"/>
        <v>5</v>
      </c>
      <c r="BM30" s="278">
        <v>0</v>
      </c>
      <c r="BN30" s="278">
        <v>0</v>
      </c>
      <c r="BO30" s="279">
        <f t="shared" si="5"/>
        <v>0</v>
      </c>
      <c r="BP30" s="11">
        <v>0</v>
      </c>
      <c r="BQ30" s="278"/>
      <c r="BR30" s="11"/>
      <c r="BS30" s="280">
        <f t="shared" si="24"/>
        <v>5</v>
      </c>
      <c r="BT30" s="277">
        <f t="shared" si="25"/>
        <v>5</v>
      </c>
      <c r="BU30" s="278">
        <v>0</v>
      </c>
      <c r="BV30" s="278">
        <v>0</v>
      </c>
      <c r="BW30" s="279">
        <f t="shared" si="6"/>
        <v>0</v>
      </c>
      <c r="BX30" s="11">
        <v>0</v>
      </c>
      <c r="BY30" s="278"/>
      <c r="BZ30" s="11"/>
      <c r="CA30" s="280">
        <f t="shared" si="26"/>
        <v>5</v>
      </c>
      <c r="CB30" s="277">
        <f t="shared" si="27"/>
        <v>5</v>
      </c>
      <c r="CC30" s="278">
        <v>0</v>
      </c>
      <c r="CD30" s="278">
        <v>0</v>
      </c>
      <c r="CE30" s="279">
        <f t="shared" si="7"/>
        <v>0</v>
      </c>
      <c r="CF30" s="11">
        <v>0</v>
      </c>
      <c r="CG30" s="278"/>
      <c r="CH30" s="11"/>
      <c r="CI30" s="280">
        <f t="shared" si="28"/>
        <v>5</v>
      </c>
      <c r="CJ30" s="277">
        <f t="shared" si="29"/>
        <v>5</v>
      </c>
      <c r="CK30" s="278">
        <v>0</v>
      </c>
      <c r="CL30" s="278">
        <v>0</v>
      </c>
      <c r="CM30" s="279">
        <f t="shared" si="8"/>
        <v>0</v>
      </c>
      <c r="CN30" s="11">
        <v>0</v>
      </c>
      <c r="CO30" s="278"/>
      <c r="CP30" s="277"/>
      <c r="CQ30" s="280">
        <f t="shared" si="30"/>
        <v>5</v>
      </c>
      <c r="CR30" s="277">
        <f t="shared" si="31"/>
        <v>5</v>
      </c>
      <c r="CS30" s="278">
        <v>0</v>
      </c>
      <c r="CT30" s="278">
        <v>0</v>
      </c>
      <c r="CU30" s="279">
        <f t="shared" si="9"/>
        <v>0</v>
      </c>
      <c r="CV30" s="11">
        <v>0</v>
      </c>
      <c r="CW30" s="278"/>
      <c r="CX30" s="277"/>
      <c r="CY30" s="280">
        <f t="shared" si="32"/>
        <v>5</v>
      </c>
      <c r="CZ30" s="277">
        <f t="shared" si="33"/>
        <v>5</v>
      </c>
    </row>
    <row r="31" spans="1:104" ht="17.25" customHeight="1">
      <c r="A31" s="28" t="s">
        <v>608</v>
      </c>
      <c r="B31" s="382"/>
      <c r="C31" s="27"/>
      <c r="D31" s="28" t="str">
        <f>_xlfn.XLOOKUP(A31,'ABC-XYZ분석 (2)'!C:C,'ABC-XYZ분석 (2)'!I:I)</f>
        <v>사계절</v>
      </c>
      <c r="E31" s="28" t="str">
        <f>_xlfn.XLOOKUP(A31,'ABC-XYZ분석 (2)'!C:C,'ABC-XYZ분석 (2)'!AC:AC)</f>
        <v>A</v>
      </c>
      <c r="F31" s="3" t="str">
        <f>_xlfn.XLOOKUP(A31,'ABC-XYZ분석 (2)'!C:C,'ABC-XYZ분석 (2)'!AG:AG)</f>
        <v>Y</v>
      </c>
      <c r="G31" s="14">
        <f>SUMIF(재고!C:C,PSI_메인!A31,재고!I:I)</f>
        <v>15</v>
      </c>
      <c r="H31" s="277">
        <v>1351</v>
      </c>
      <c r="I31" s="278">
        <v>0</v>
      </c>
      <c r="J31" s="278">
        <v>0</v>
      </c>
      <c r="K31" s="279">
        <v>0</v>
      </c>
      <c r="L31" s="11">
        <v>0</v>
      </c>
      <c r="M31" s="9">
        <f>SUMIFS(입항스케줄!J:J,입항스케줄!C:C,PSI_메인!A31,입항스케줄!U:U,"2601")</f>
        <v>0</v>
      </c>
      <c r="N31" s="11">
        <f>SUMIFS(입항스케줄!J:J,입항스케줄!C:C,PSI_메인!A31,입항스케줄!V:V,"2601")</f>
        <v>0</v>
      </c>
      <c r="O31" s="280">
        <f t="shared" si="10"/>
        <v>15</v>
      </c>
      <c r="P31" s="277">
        <f t="shared" si="11"/>
        <v>15</v>
      </c>
      <c r="Q31" s="278">
        <v>0</v>
      </c>
      <c r="R31" s="278">
        <v>0</v>
      </c>
      <c r="S31" s="10">
        <v>0</v>
      </c>
      <c r="T31" s="11">
        <v>0</v>
      </c>
      <c r="U31" s="9">
        <f>SUMIFS(입항스케줄!J:J,입항스케줄!C:C,PSI_메인!A31,입항스케줄!U:U,"2602")</f>
        <v>0</v>
      </c>
      <c r="V31" s="11">
        <f>SUMIFS(입항스케줄!J:J,입항스케줄!C:C,PSI_메인!A31,입항스케줄!V:V,"2602")</f>
        <v>0</v>
      </c>
      <c r="W31" s="280">
        <f t="shared" si="12"/>
        <v>15</v>
      </c>
      <c r="X31" s="277">
        <f t="shared" si="13"/>
        <v>15</v>
      </c>
      <c r="Y31" s="278">
        <v>0</v>
      </c>
      <c r="Z31" s="278">
        <v>0</v>
      </c>
      <c r="AA31" s="279">
        <f t="shared" si="0"/>
        <v>0</v>
      </c>
      <c r="AB31" s="11">
        <v>0</v>
      </c>
      <c r="AC31" s="9">
        <f>SUMIFS(입항스케줄!J:J,입항스케줄!C:C,PSI_메인!A31,입항스케줄!U:U,"2603")</f>
        <v>0</v>
      </c>
      <c r="AD31" s="11">
        <f>SUMIFS(입항스케줄!J:J,입항스케줄!C:C,PSI_메인!A31,입항스케줄!V:V,"2603")</f>
        <v>0</v>
      </c>
      <c r="AE31" s="280">
        <f t="shared" si="14"/>
        <v>15</v>
      </c>
      <c r="AF31" s="277">
        <f t="shared" si="15"/>
        <v>15</v>
      </c>
      <c r="AG31" s="278">
        <v>0</v>
      </c>
      <c r="AH31" s="278">
        <v>0</v>
      </c>
      <c r="AI31" s="279">
        <f t="shared" si="1"/>
        <v>0</v>
      </c>
      <c r="AJ31" s="11">
        <v>0</v>
      </c>
      <c r="AK31" s="9">
        <f>SUMIFS(입항스케줄!J:J,입항스케줄!C:C,PSI_메인!A31,입항스케줄!U:U,"2604")</f>
        <v>0</v>
      </c>
      <c r="AL31" s="11">
        <f>SUMIFS(입항스케줄!J:J,입항스케줄!C:C,PSI_메인!A31,입항스케줄!V:V,"2604")</f>
        <v>0</v>
      </c>
      <c r="AM31" s="280">
        <f t="shared" si="16"/>
        <v>15</v>
      </c>
      <c r="AN31" s="277">
        <f t="shared" si="17"/>
        <v>15</v>
      </c>
      <c r="AO31" s="278">
        <v>0</v>
      </c>
      <c r="AP31" s="278">
        <v>0</v>
      </c>
      <c r="AQ31" s="279">
        <f t="shared" si="2"/>
        <v>0</v>
      </c>
      <c r="AR31" s="11">
        <v>0</v>
      </c>
      <c r="AS31" s="9"/>
      <c r="AT31" s="277"/>
      <c r="AU31" s="280">
        <f t="shared" si="18"/>
        <v>15</v>
      </c>
      <c r="AV31" s="277">
        <f t="shared" si="19"/>
        <v>15</v>
      </c>
      <c r="AW31" s="278">
        <v>0</v>
      </c>
      <c r="AX31" s="278">
        <v>0</v>
      </c>
      <c r="AY31" s="279">
        <f t="shared" si="3"/>
        <v>0</v>
      </c>
      <c r="AZ31" s="11">
        <v>0</v>
      </c>
      <c r="BA31" s="9"/>
      <c r="BB31" s="11"/>
      <c r="BC31" s="280">
        <f t="shared" si="20"/>
        <v>15</v>
      </c>
      <c r="BD31" s="277">
        <f t="shared" si="21"/>
        <v>15</v>
      </c>
      <c r="BE31" s="278">
        <v>0</v>
      </c>
      <c r="BF31" s="278">
        <v>0</v>
      </c>
      <c r="BG31" s="279">
        <f t="shared" si="4"/>
        <v>0</v>
      </c>
      <c r="BH31" s="11">
        <v>0</v>
      </c>
      <c r="BI31" s="278"/>
      <c r="BJ31" s="11"/>
      <c r="BK31" s="280">
        <f t="shared" si="22"/>
        <v>15</v>
      </c>
      <c r="BL31" s="277">
        <f t="shared" si="23"/>
        <v>15</v>
      </c>
      <c r="BM31" s="278">
        <v>0</v>
      </c>
      <c r="BN31" s="278">
        <v>0</v>
      </c>
      <c r="BO31" s="279">
        <f t="shared" si="5"/>
        <v>0</v>
      </c>
      <c r="BP31" s="11">
        <v>0</v>
      </c>
      <c r="BQ31" s="278"/>
      <c r="BR31" s="11"/>
      <c r="BS31" s="280">
        <f t="shared" si="24"/>
        <v>15</v>
      </c>
      <c r="BT31" s="277">
        <f t="shared" si="25"/>
        <v>15</v>
      </c>
      <c r="BU31" s="278">
        <v>0</v>
      </c>
      <c r="BV31" s="278">
        <v>0</v>
      </c>
      <c r="BW31" s="279">
        <f t="shared" si="6"/>
        <v>0</v>
      </c>
      <c r="BX31" s="11">
        <v>0</v>
      </c>
      <c r="BY31" s="278"/>
      <c r="BZ31" s="11"/>
      <c r="CA31" s="280">
        <f t="shared" si="26"/>
        <v>15</v>
      </c>
      <c r="CB31" s="277">
        <f t="shared" si="27"/>
        <v>15</v>
      </c>
      <c r="CC31" s="278">
        <v>0</v>
      </c>
      <c r="CD31" s="278">
        <v>0</v>
      </c>
      <c r="CE31" s="279">
        <f t="shared" si="7"/>
        <v>0</v>
      </c>
      <c r="CF31" s="11">
        <v>0</v>
      </c>
      <c r="CG31" s="278"/>
      <c r="CH31" s="11"/>
      <c r="CI31" s="280">
        <f t="shared" si="28"/>
        <v>15</v>
      </c>
      <c r="CJ31" s="277">
        <f t="shared" si="29"/>
        <v>15</v>
      </c>
      <c r="CK31" s="278">
        <v>0</v>
      </c>
      <c r="CL31" s="278">
        <v>0</v>
      </c>
      <c r="CM31" s="279">
        <f t="shared" si="8"/>
        <v>0</v>
      </c>
      <c r="CN31" s="11">
        <v>0</v>
      </c>
      <c r="CO31" s="278"/>
      <c r="CP31" s="277"/>
      <c r="CQ31" s="280">
        <f t="shared" si="30"/>
        <v>15</v>
      </c>
      <c r="CR31" s="277">
        <f t="shared" si="31"/>
        <v>15</v>
      </c>
      <c r="CS31" s="278">
        <v>0</v>
      </c>
      <c r="CT31" s="278">
        <v>0</v>
      </c>
      <c r="CU31" s="279">
        <f t="shared" si="9"/>
        <v>0</v>
      </c>
      <c r="CV31" s="11">
        <v>0</v>
      </c>
      <c r="CW31" s="278"/>
      <c r="CX31" s="277"/>
      <c r="CY31" s="280">
        <f t="shared" si="32"/>
        <v>15</v>
      </c>
      <c r="CZ31" s="277">
        <f t="shared" si="33"/>
        <v>15</v>
      </c>
    </row>
    <row r="32" spans="1:104" ht="17.25" customHeight="1">
      <c r="A32" s="28" t="s">
        <v>609</v>
      </c>
      <c r="B32" s="382"/>
      <c r="C32" s="27"/>
      <c r="D32" s="28" t="str">
        <f>_xlfn.XLOOKUP(A32,'ABC-XYZ분석 (2)'!C:C,'ABC-XYZ분석 (2)'!I:I)</f>
        <v>여름</v>
      </c>
      <c r="E32" s="28" t="str">
        <f>_xlfn.XLOOKUP(A32,'ABC-XYZ분석 (2)'!C:C,'ABC-XYZ분석 (2)'!AC:AC)</f>
        <v>A</v>
      </c>
      <c r="F32" s="3" t="str">
        <f>_xlfn.XLOOKUP(A32,'ABC-XYZ분석 (2)'!C:C,'ABC-XYZ분석 (2)'!AG:AG)</f>
        <v>Z</v>
      </c>
      <c r="G32" s="14">
        <f>SUMIF(재고!C:C,PSI_메인!A32,재고!I:I)</f>
        <v>11</v>
      </c>
      <c r="H32" s="277">
        <v>1021</v>
      </c>
      <c r="I32" s="278">
        <v>0</v>
      </c>
      <c r="J32" s="278">
        <v>0</v>
      </c>
      <c r="K32" s="279">
        <v>500</v>
      </c>
      <c r="L32" s="11">
        <v>0</v>
      </c>
      <c r="M32" s="9">
        <f>SUMIFS(입항스케줄!J:J,입항스케줄!C:C,PSI_메인!A32,입항스케줄!U:U,"2601")</f>
        <v>0</v>
      </c>
      <c r="N32" s="11">
        <f>SUMIFS(입항스케줄!J:J,입항스케줄!C:C,PSI_메인!A32,입항스케줄!V:V,"2601")</f>
        <v>0</v>
      </c>
      <c r="O32" s="280">
        <f t="shared" si="10"/>
        <v>-489</v>
      </c>
      <c r="P32" s="277">
        <f t="shared" si="11"/>
        <v>11</v>
      </c>
      <c r="Q32" s="278">
        <v>0</v>
      </c>
      <c r="R32" s="278">
        <v>0</v>
      </c>
      <c r="S32" s="10">
        <v>2000</v>
      </c>
      <c r="T32" s="11">
        <v>0</v>
      </c>
      <c r="U32" s="9">
        <f>SUMIFS(입항스케줄!J:J,입항스케줄!C:C,PSI_메인!A32,입항스케줄!U:U,"2602")</f>
        <v>0</v>
      </c>
      <c r="V32" s="11">
        <f>SUMIFS(입항스케줄!J:J,입항스케줄!C:C,PSI_메인!A32,입항스케줄!V:V,"2602")</f>
        <v>0</v>
      </c>
      <c r="W32" s="280">
        <f t="shared" si="12"/>
        <v>-1989</v>
      </c>
      <c r="X32" s="277">
        <f t="shared" si="13"/>
        <v>11</v>
      </c>
      <c r="Y32" s="278">
        <v>0</v>
      </c>
      <c r="Z32" s="278">
        <v>0</v>
      </c>
      <c r="AA32" s="279">
        <f t="shared" si="0"/>
        <v>0</v>
      </c>
      <c r="AB32" s="11">
        <v>0</v>
      </c>
      <c r="AC32" s="9">
        <f>SUMIFS(입항스케줄!J:J,입항스케줄!C:C,PSI_메인!A32,입항스케줄!U:U,"2603")</f>
        <v>0</v>
      </c>
      <c r="AD32" s="11">
        <f>SUMIFS(입항스케줄!J:J,입항스케줄!C:C,PSI_메인!A32,입항스케줄!V:V,"2603")</f>
        <v>0</v>
      </c>
      <c r="AE32" s="280">
        <f t="shared" si="14"/>
        <v>11</v>
      </c>
      <c r="AF32" s="277">
        <f t="shared" si="15"/>
        <v>11</v>
      </c>
      <c r="AG32" s="278">
        <v>0</v>
      </c>
      <c r="AH32" s="278">
        <v>0</v>
      </c>
      <c r="AI32" s="279">
        <f t="shared" si="1"/>
        <v>0</v>
      </c>
      <c r="AJ32" s="11">
        <v>0</v>
      </c>
      <c r="AK32" s="9">
        <f>SUMIFS(입항스케줄!J:J,입항스케줄!C:C,PSI_메인!A32,입항스케줄!U:U,"2604")</f>
        <v>0</v>
      </c>
      <c r="AL32" s="11">
        <f>SUMIFS(입항스케줄!J:J,입항스케줄!C:C,PSI_메인!A32,입항스케줄!V:V,"2604")</f>
        <v>0</v>
      </c>
      <c r="AM32" s="280">
        <f t="shared" si="16"/>
        <v>11</v>
      </c>
      <c r="AN32" s="277">
        <f t="shared" si="17"/>
        <v>11</v>
      </c>
      <c r="AO32" s="278">
        <v>0</v>
      </c>
      <c r="AP32" s="278">
        <v>0</v>
      </c>
      <c r="AQ32" s="279">
        <f t="shared" si="2"/>
        <v>0</v>
      </c>
      <c r="AR32" s="11">
        <v>0</v>
      </c>
      <c r="AS32" s="9"/>
      <c r="AT32" s="277"/>
      <c r="AU32" s="280">
        <f t="shared" si="18"/>
        <v>11</v>
      </c>
      <c r="AV32" s="277">
        <f t="shared" si="19"/>
        <v>11</v>
      </c>
      <c r="AW32" s="278">
        <v>0</v>
      </c>
      <c r="AX32" s="278">
        <v>0</v>
      </c>
      <c r="AY32" s="279">
        <f t="shared" si="3"/>
        <v>0</v>
      </c>
      <c r="AZ32" s="11">
        <v>0</v>
      </c>
      <c r="BA32" s="9"/>
      <c r="BB32" s="11"/>
      <c r="BC32" s="280">
        <f t="shared" si="20"/>
        <v>11</v>
      </c>
      <c r="BD32" s="277">
        <f t="shared" si="21"/>
        <v>11</v>
      </c>
      <c r="BE32" s="278">
        <v>0</v>
      </c>
      <c r="BF32" s="278">
        <v>0</v>
      </c>
      <c r="BG32" s="279">
        <f t="shared" si="4"/>
        <v>0</v>
      </c>
      <c r="BH32" s="11">
        <v>0</v>
      </c>
      <c r="BI32" s="278"/>
      <c r="BJ32" s="11"/>
      <c r="BK32" s="280">
        <f t="shared" si="22"/>
        <v>11</v>
      </c>
      <c r="BL32" s="277">
        <f t="shared" si="23"/>
        <v>11</v>
      </c>
      <c r="BM32" s="278">
        <v>0</v>
      </c>
      <c r="BN32" s="278">
        <v>0</v>
      </c>
      <c r="BO32" s="279">
        <f t="shared" si="5"/>
        <v>0</v>
      </c>
      <c r="BP32" s="11">
        <v>0</v>
      </c>
      <c r="BQ32" s="278"/>
      <c r="BR32" s="11"/>
      <c r="BS32" s="280">
        <f t="shared" si="24"/>
        <v>11</v>
      </c>
      <c r="BT32" s="277">
        <f t="shared" si="25"/>
        <v>11</v>
      </c>
      <c r="BU32" s="278">
        <v>0</v>
      </c>
      <c r="BV32" s="278">
        <v>0</v>
      </c>
      <c r="BW32" s="279">
        <f t="shared" si="6"/>
        <v>0</v>
      </c>
      <c r="BX32" s="11">
        <v>0</v>
      </c>
      <c r="BY32" s="278"/>
      <c r="BZ32" s="11"/>
      <c r="CA32" s="280">
        <f t="shared" si="26"/>
        <v>11</v>
      </c>
      <c r="CB32" s="277">
        <f t="shared" si="27"/>
        <v>11</v>
      </c>
      <c r="CC32" s="278">
        <v>0</v>
      </c>
      <c r="CD32" s="278">
        <v>0</v>
      </c>
      <c r="CE32" s="279">
        <f t="shared" si="7"/>
        <v>0</v>
      </c>
      <c r="CF32" s="11">
        <v>0</v>
      </c>
      <c r="CG32" s="278"/>
      <c r="CH32" s="11"/>
      <c r="CI32" s="280">
        <f t="shared" si="28"/>
        <v>11</v>
      </c>
      <c r="CJ32" s="277">
        <f t="shared" si="29"/>
        <v>11</v>
      </c>
      <c r="CK32" s="278">
        <v>0</v>
      </c>
      <c r="CL32" s="278">
        <v>0</v>
      </c>
      <c r="CM32" s="279">
        <f t="shared" si="8"/>
        <v>0</v>
      </c>
      <c r="CN32" s="11">
        <v>0</v>
      </c>
      <c r="CO32" s="278"/>
      <c r="CP32" s="277"/>
      <c r="CQ32" s="280">
        <f t="shared" si="30"/>
        <v>11</v>
      </c>
      <c r="CR32" s="277">
        <f t="shared" si="31"/>
        <v>11</v>
      </c>
      <c r="CS32" s="278">
        <v>0</v>
      </c>
      <c r="CT32" s="278">
        <v>0</v>
      </c>
      <c r="CU32" s="279">
        <f t="shared" si="9"/>
        <v>0</v>
      </c>
      <c r="CV32" s="11">
        <v>0</v>
      </c>
      <c r="CW32" s="278"/>
      <c r="CX32" s="277"/>
      <c r="CY32" s="280">
        <f t="shared" si="32"/>
        <v>11</v>
      </c>
      <c r="CZ32" s="277">
        <f t="shared" si="33"/>
        <v>11</v>
      </c>
    </row>
    <row r="33" spans="1:104" ht="17.25" customHeight="1">
      <c r="A33" s="28" t="s">
        <v>610</v>
      </c>
      <c r="B33" s="382"/>
      <c r="C33" s="27"/>
      <c r="D33" s="28" t="str">
        <f>_xlfn.XLOOKUP(A33,'ABC-XYZ분석 (2)'!C:C,'ABC-XYZ분석 (2)'!I:I)</f>
        <v>사계절</v>
      </c>
      <c r="E33" s="28" t="str">
        <f>_xlfn.XLOOKUP(A33,'ABC-XYZ분석 (2)'!C:C,'ABC-XYZ분석 (2)'!AC:AC)</f>
        <v>A</v>
      </c>
      <c r="F33" s="3" t="str">
        <f>_xlfn.XLOOKUP(A33,'ABC-XYZ분석 (2)'!C:C,'ABC-XYZ분석 (2)'!AG:AG)</f>
        <v>X</v>
      </c>
      <c r="G33" s="14">
        <f>SUMIF(재고!C:C,PSI_메인!A33,재고!I:I)</f>
        <v>17</v>
      </c>
      <c r="H33" s="277">
        <v>850</v>
      </c>
      <c r="I33" s="278">
        <v>0</v>
      </c>
      <c r="J33" s="278">
        <v>0</v>
      </c>
      <c r="K33" s="279">
        <v>275</v>
      </c>
      <c r="L33" s="11">
        <v>0</v>
      </c>
      <c r="M33" s="9">
        <f>SUMIFS(입항스케줄!J:J,입항스케줄!C:C,PSI_메인!A33,입항스케줄!U:U,"2601")</f>
        <v>0</v>
      </c>
      <c r="N33" s="11">
        <f>SUMIFS(입항스케줄!J:J,입항스케줄!C:C,PSI_메인!A33,입항스케줄!V:V,"2601")</f>
        <v>0</v>
      </c>
      <c r="O33" s="280">
        <f t="shared" si="10"/>
        <v>-258</v>
      </c>
      <c r="P33" s="277">
        <f t="shared" si="11"/>
        <v>17</v>
      </c>
      <c r="Q33" s="278">
        <v>0</v>
      </c>
      <c r="R33" s="278">
        <v>0</v>
      </c>
      <c r="S33" s="10">
        <v>350</v>
      </c>
      <c r="T33" s="11">
        <v>0</v>
      </c>
      <c r="U33" s="9">
        <f>SUMIFS(입항스케줄!J:J,입항스케줄!C:C,PSI_메인!A33,입항스케줄!U:U,"2602")</f>
        <v>0</v>
      </c>
      <c r="V33" s="11">
        <f>SUMIFS(입항스케줄!J:J,입항스케줄!C:C,PSI_메인!A33,입항스케줄!V:V,"2602")</f>
        <v>0</v>
      </c>
      <c r="W33" s="280">
        <f t="shared" si="12"/>
        <v>-333</v>
      </c>
      <c r="X33" s="277">
        <f t="shared" si="13"/>
        <v>17</v>
      </c>
      <c r="Y33" s="278">
        <v>0</v>
      </c>
      <c r="Z33" s="278">
        <v>0</v>
      </c>
      <c r="AA33" s="279">
        <f t="shared" si="0"/>
        <v>0</v>
      </c>
      <c r="AB33" s="11">
        <v>0</v>
      </c>
      <c r="AC33" s="9">
        <f>SUMIFS(입항스케줄!J:J,입항스케줄!C:C,PSI_메인!A33,입항스케줄!U:U,"2603")</f>
        <v>0</v>
      </c>
      <c r="AD33" s="11">
        <f>SUMIFS(입항스케줄!J:J,입항스케줄!C:C,PSI_메인!A33,입항스케줄!V:V,"2603")</f>
        <v>0</v>
      </c>
      <c r="AE33" s="280">
        <f t="shared" si="14"/>
        <v>17</v>
      </c>
      <c r="AF33" s="277">
        <f t="shared" si="15"/>
        <v>17</v>
      </c>
      <c r="AG33" s="278">
        <v>0</v>
      </c>
      <c r="AH33" s="278">
        <v>0</v>
      </c>
      <c r="AI33" s="279">
        <f t="shared" si="1"/>
        <v>0</v>
      </c>
      <c r="AJ33" s="11">
        <v>0</v>
      </c>
      <c r="AK33" s="9">
        <f>SUMIFS(입항스케줄!J:J,입항스케줄!C:C,PSI_메인!A33,입항스케줄!U:U,"2604")</f>
        <v>0</v>
      </c>
      <c r="AL33" s="11">
        <f>SUMIFS(입항스케줄!J:J,입항스케줄!C:C,PSI_메인!A33,입항스케줄!V:V,"2604")</f>
        <v>0</v>
      </c>
      <c r="AM33" s="280">
        <f t="shared" si="16"/>
        <v>17</v>
      </c>
      <c r="AN33" s="277">
        <f t="shared" si="17"/>
        <v>17</v>
      </c>
      <c r="AO33" s="278">
        <v>0</v>
      </c>
      <c r="AP33" s="278">
        <v>0</v>
      </c>
      <c r="AQ33" s="279">
        <f t="shared" si="2"/>
        <v>0</v>
      </c>
      <c r="AR33" s="11">
        <v>0</v>
      </c>
      <c r="AS33" s="9"/>
      <c r="AT33" s="277"/>
      <c r="AU33" s="280">
        <f t="shared" si="18"/>
        <v>17</v>
      </c>
      <c r="AV33" s="277">
        <f t="shared" si="19"/>
        <v>17</v>
      </c>
      <c r="AW33" s="278">
        <v>0</v>
      </c>
      <c r="AX33" s="278">
        <v>0</v>
      </c>
      <c r="AY33" s="279">
        <f t="shared" si="3"/>
        <v>0</v>
      </c>
      <c r="AZ33" s="11">
        <v>0</v>
      </c>
      <c r="BA33" s="9"/>
      <c r="BB33" s="11"/>
      <c r="BC33" s="280">
        <f t="shared" si="20"/>
        <v>17</v>
      </c>
      <c r="BD33" s="277">
        <f t="shared" si="21"/>
        <v>17</v>
      </c>
      <c r="BE33" s="278">
        <v>0</v>
      </c>
      <c r="BF33" s="278">
        <v>0</v>
      </c>
      <c r="BG33" s="279">
        <f t="shared" si="4"/>
        <v>0</v>
      </c>
      <c r="BH33" s="11">
        <v>0</v>
      </c>
      <c r="BI33" s="278"/>
      <c r="BJ33" s="11"/>
      <c r="BK33" s="280">
        <f t="shared" si="22"/>
        <v>17</v>
      </c>
      <c r="BL33" s="277">
        <f t="shared" si="23"/>
        <v>17</v>
      </c>
      <c r="BM33" s="278">
        <v>0</v>
      </c>
      <c r="BN33" s="278">
        <v>0</v>
      </c>
      <c r="BO33" s="279">
        <f t="shared" si="5"/>
        <v>0</v>
      </c>
      <c r="BP33" s="11">
        <v>0</v>
      </c>
      <c r="BQ33" s="278"/>
      <c r="BR33" s="11"/>
      <c r="BS33" s="280">
        <f t="shared" si="24"/>
        <v>17</v>
      </c>
      <c r="BT33" s="277">
        <f t="shared" si="25"/>
        <v>17</v>
      </c>
      <c r="BU33" s="278">
        <v>0</v>
      </c>
      <c r="BV33" s="278">
        <v>0</v>
      </c>
      <c r="BW33" s="279">
        <f t="shared" si="6"/>
        <v>0</v>
      </c>
      <c r="BX33" s="11">
        <v>0</v>
      </c>
      <c r="BY33" s="278"/>
      <c r="BZ33" s="11"/>
      <c r="CA33" s="280">
        <f t="shared" si="26"/>
        <v>17</v>
      </c>
      <c r="CB33" s="277">
        <f t="shared" si="27"/>
        <v>17</v>
      </c>
      <c r="CC33" s="278">
        <v>0</v>
      </c>
      <c r="CD33" s="278">
        <v>0</v>
      </c>
      <c r="CE33" s="279">
        <f t="shared" si="7"/>
        <v>0</v>
      </c>
      <c r="CF33" s="11">
        <v>0</v>
      </c>
      <c r="CG33" s="278"/>
      <c r="CH33" s="11"/>
      <c r="CI33" s="280">
        <f t="shared" si="28"/>
        <v>17</v>
      </c>
      <c r="CJ33" s="277">
        <f t="shared" si="29"/>
        <v>17</v>
      </c>
      <c r="CK33" s="278">
        <v>0</v>
      </c>
      <c r="CL33" s="278">
        <v>0</v>
      </c>
      <c r="CM33" s="279">
        <f t="shared" si="8"/>
        <v>0</v>
      </c>
      <c r="CN33" s="11">
        <v>0</v>
      </c>
      <c r="CO33" s="278"/>
      <c r="CP33" s="277"/>
      <c r="CQ33" s="280">
        <f t="shared" si="30"/>
        <v>17</v>
      </c>
      <c r="CR33" s="277">
        <f t="shared" si="31"/>
        <v>17</v>
      </c>
      <c r="CS33" s="278">
        <v>0</v>
      </c>
      <c r="CT33" s="278">
        <v>0</v>
      </c>
      <c r="CU33" s="279">
        <f t="shared" si="9"/>
        <v>0</v>
      </c>
      <c r="CV33" s="11">
        <v>0</v>
      </c>
      <c r="CW33" s="278"/>
      <c r="CX33" s="277"/>
      <c r="CY33" s="280">
        <f t="shared" si="32"/>
        <v>17</v>
      </c>
      <c r="CZ33" s="277">
        <f t="shared" si="33"/>
        <v>17</v>
      </c>
    </row>
    <row r="34" spans="1:104" ht="17.25" customHeight="1">
      <c r="A34" s="28" t="s">
        <v>611</v>
      </c>
      <c r="B34" s="382"/>
      <c r="C34" s="27"/>
      <c r="D34" s="28" t="str">
        <f>_xlfn.XLOOKUP(A34,'ABC-XYZ분석 (2)'!C:C,'ABC-XYZ분석 (2)'!I:I)</f>
        <v>여름</v>
      </c>
      <c r="E34" s="28" t="str">
        <f>_xlfn.XLOOKUP(A34,'ABC-XYZ분석 (2)'!C:C,'ABC-XYZ분석 (2)'!AC:AC)</f>
        <v>A</v>
      </c>
      <c r="F34" s="3" t="str">
        <f>_xlfn.XLOOKUP(A34,'ABC-XYZ분석 (2)'!C:C,'ABC-XYZ분석 (2)'!AG:AG)</f>
        <v>Y</v>
      </c>
      <c r="G34" s="14">
        <f>SUMIF(재고!C:C,PSI_메인!A34,재고!I:I)</f>
        <v>0</v>
      </c>
      <c r="H34" s="277">
        <v>790</v>
      </c>
      <c r="I34" s="278">
        <v>0</v>
      </c>
      <c r="J34" s="278">
        <v>0</v>
      </c>
      <c r="K34" s="279">
        <v>375</v>
      </c>
      <c r="L34" s="11">
        <v>0</v>
      </c>
      <c r="M34" s="9">
        <f>SUMIFS(입항스케줄!J:J,입항스케줄!C:C,PSI_메인!A34,입항스케줄!U:U,"2601")</f>
        <v>0</v>
      </c>
      <c r="N34" s="11">
        <f>SUMIFS(입항스케줄!J:J,입항스케줄!C:C,PSI_메인!A34,입항스케줄!V:V,"2601")</f>
        <v>0</v>
      </c>
      <c r="O34" s="280">
        <f t="shared" si="10"/>
        <v>-375</v>
      </c>
      <c r="P34" s="277">
        <f t="shared" si="11"/>
        <v>0</v>
      </c>
      <c r="Q34" s="278">
        <v>0</v>
      </c>
      <c r="R34" s="278">
        <v>0</v>
      </c>
      <c r="S34" s="10">
        <v>300</v>
      </c>
      <c r="T34" s="11">
        <v>0</v>
      </c>
      <c r="U34" s="9">
        <f>SUMIFS(입항스케줄!J:J,입항스케줄!C:C,PSI_메인!A34,입항스케줄!U:U,"2602")</f>
        <v>0</v>
      </c>
      <c r="V34" s="11">
        <f>SUMIFS(입항스케줄!J:J,입항스케줄!C:C,PSI_메인!A34,입항스케줄!V:V,"2602")</f>
        <v>0</v>
      </c>
      <c r="W34" s="280">
        <f t="shared" si="12"/>
        <v>-300</v>
      </c>
      <c r="X34" s="277">
        <f t="shared" si="13"/>
        <v>0</v>
      </c>
      <c r="Y34" s="278">
        <v>0</v>
      </c>
      <c r="Z34" s="278">
        <v>0</v>
      </c>
      <c r="AA34" s="279">
        <f t="shared" si="0"/>
        <v>0</v>
      </c>
      <c r="AB34" s="11">
        <v>0</v>
      </c>
      <c r="AC34" s="9">
        <f>SUMIFS(입항스케줄!J:J,입항스케줄!C:C,PSI_메인!A34,입항스케줄!U:U,"2603")</f>
        <v>0</v>
      </c>
      <c r="AD34" s="11">
        <f>SUMIFS(입항스케줄!J:J,입항스케줄!C:C,PSI_메인!A34,입항스케줄!V:V,"2603")</f>
        <v>0</v>
      </c>
      <c r="AE34" s="280">
        <f t="shared" si="14"/>
        <v>0</v>
      </c>
      <c r="AF34" s="277">
        <f t="shared" si="15"/>
        <v>0</v>
      </c>
      <c r="AG34" s="278">
        <v>0</v>
      </c>
      <c r="AH34" s="278">
        <v>0</v>
      </c>
      <c r="AI34" s="279">
        <f t="shared" si="1"/>
        <v>0</v>
      </c>
      <c r="AJ34" s="11">
        <v>0</v>
      </c>
      <c r="AK34" s="9">
        <f>SUMIFS(입항스케줄!J:J,입항스케줄!C:C,PSI_메인!A34,입항스케줄!U:U,"2604")</f>
        <v>0</v>
      </c>
      <c r="AL34" s="11">
        <f>SUMIFS(입항스케줄!J:J,입항스케줄!C:C,PSI_메인!A34,입항스케줄!V:V,"2604")</f>
        <v>0</v>
      </c>
      <c r="AM34" s="280">
        <f t="shared" si="16"/>
        <v>0</v>
      </c>
      <c r="AN34" s="277">
        <f t="shared" si="17"/>
        <v>0</v>
      </c>
      <c r="AO34" s="278">
        <v>0</v>
      </c>
      <c r="AP34" s="278">
        <v>0</v>
      </c>
      <c r="AQ34" s="279">
        <f t="shared" si="2"/>
        <v>0</v>
      </c>
      <c r="AR34" s="11">
        <v>0</v>
      </c>
      <c r="AS34" s="9"/>
      <c r="AT34" s="277"/>
      <c r="AU34" s="280">
        <f t="shared" si="18"/>
        <v>0</v>
      </c>
      <c r="AV34" s="277">
        <f t="shared" si="19"/>
        <v>0</v>
      </c>
      <c r="AW34" s="278">
        <v>0</v>
      </c>
      <c r="AX34" s="278">
        <v>0</v>
      </c>
      <c r="AY34" s="279">
        <f t="shared" si="3"/>
        <v>0</v>
      </c>
      <c r="AZ34" s="11">
        <v>0</v>
      </c>
      <c r="BA34" s="9"/>
      <c r="BB34" s="11"/>
      <c r="BC34" s="280">
        <f t="shared" si="20"/>
        <v>0</v>
      </c>
      <c r="BD34" s="277">
        <f t="shared" si="21"/>
        <v>0</v>
      </c>
      <c r="BE34" s="278">
        <v>0</v>
      </c>
      <c r="BF34" s="278">
        <v>0</v>
      </c>
      <c r="BG34" s="279">
        <f t="shared" si="4"/>
        <v>0</v>
      </c>
      <c r="BH34" s="11">
        <v>0</v>
      </c>
      <c r="BI34" s="278"/>
      <c r="BJ34" s="11"/>
      <c r="BK34" s="280">
        <f t="shared" si="22"/>
        <v>0</v>
      </c>
      <c r="BL34" s="277">
        <f t="shared" si="23"/>
        <v>0</v>
      </c>
      <c r="BM34" s="278">
        <v>0</v>
      </c>
      <c r="BN34" s="278">
        <v>0</v>
      </c>
      <c r="BO34" s="279">
        <f t="shared" si="5"/>
        <v>0</v>
      </c>
      <c r="BP34" s="11">
        <v>0</v>
      </c>
      <c r="BQ34" s="278"/>
      <c r="BR34" s="11"/>
      <c r="BS34" s="280">
        <f t="shared" si="24"/>
        <v>0</v>
      </c>
      <c r="BT34" s="277">
        <f t="shared" si="25"/>
        <v>0</v>
      </c>
      <c r="BU34" s="278">
        <v>0</v>
      </c>
      <c r="BV34" s="278">
        <v>0</v>
      </c>
      <c r="BW34" s="279">
        <f t="shared" si="6"/>
        <v>0</v>
      </c>
      <c r="BX34" s="11">
        <v>0</v>
      </c>
      <c r="BY34" s="278"/>
      <c r="BZ34" s="11"/>
      <c r="CA34" s="280">
        <f t="shared" si="26"/>
        <v>0</v>
      </c>
      <c r="CB34" s="277">
        <f t="shared" si="27"/>
        <v>0</v>
      </c>
      <c r="CC34" s="278">
        <v>0</v>
      </c>
      <c r="CD34" s="278">
        <v>0</v>
      </c>
      <c r="CE34" s="279">
        <f t="shared" si="7"/>
        <v>0</v>
      </c>
      <c r="CF34" s="11">
        <v>0</v>
      </c>
      <c r="CG34" s="278"/>
      <c r="CH34" s="11"/>
      <c r="CI34" s="280">
        <f t="shared" si="28"/>
        <v>0</v>
      </c>
      <c r="CJ34" s="277">
        <f t="shared" si="29"/>
        <v>0</v>
      </c>
      <c r="CK34" s="278">
        <v>0</v>
      </c>
      <c r="CL34" s="278">
        <v>0</v>
      </c>
      <c r="CM34" s="279">
        <f t="shared" si="8"/>
        <v>0</v>
      </c>
      <c r="CN34" s="11">
        <v>0</v>
      </c>
      <c r="CO34" s="278"/>
      <c r="CP34" s="277"/>
      <c r="CQ34" s="280">
        <f t="shared" si="30"/>
        <v>0</v>
      </c>
      <c r="CR34" s="277">
        <f t="shared" si="31"/>
        <v>0</v>
      </c>
      <c r="CS34" s="278">
        <v>0</v>
      </c>
      <c r="CT34" s="278">
        <v>0</v>
      </c>
      <c r="CU34" s="279">
        <f t="shared" si="9"/>
        <v>0</v>
      </c>
      <c r="CV34" s="11">
        <v>0</v>
      </c>
      <c r="CW34" s="278"/>
      <c r="CX34" s="277"/>
      <c r="CY34" s="280">
        <f t="shared" si="32"/>
        <v>0</v>
      </c>
      <c r="CZ34" s="277">
        <f t="shared" si="33"/>
        <v>0</v>
      </c>
    </row>
    <row r="35" spans="1:104" ht="17.25" customHeight="1">
      <c r="A35" s="28" t="s">
        <v>612</v>
      </c>
      <c r="B35" s="382"/>
      <c r="C35" s="27"/>
      <c r="D35" s="28" t="str">
        <f>_xlfn.XLOOKUP(A35,'ABC-XYZ분석 (2)'!C:C,'ABC-XYZ분석 (2)'!I:I)</f>
        <v>여름</v>
      </c>
      <c r="E35" s="28" t="str">
        <f>_xlfn.XLOOKUP(A35,'ABC-XYZ분석 (2)'!C:C,'ABC-XYZ분석 (2)'!AC:AC)</f>
        <v>A</v>
      </c>
      <c r="F35" s="3" t="str">
        <f>_xlfn.XLOOKUP(A35,'ABC-XYZ분석 (2)'!C:C,'ABC-XYZ분석 (2)'!AG:AG)</f>
        <v>Z</v>
      </c>
      <c r="G35" s="14">
        <f>SUMIF(재고!C:C,PSI_메인!A35,재고!I:I)</f>
        <v>0</v>
      </c>
      <c r="H35" s="277">
        <v>412</v>
      </c>
      <c r="I35" s="278">
        <v>0</v>
      </c>
      <c r="J35" s="278">
        <v>0</v>
      </c>
      <c r="K35" s="279">
        <v>150</v>
      </c>
      <c r="L35" s="11">
        <v>0</v>
      </c>
      <c r="M35" s="9">
        <f>SUMIFS(입항스케줄!J:J,입항스케줄!C:C,PSI_메인!A35,입항스케줄!U:U,"2601")</f>
        <v>0</v>
      </c>
      <c r="N35" s="11">
        <f>SUMIFS(입항스케줄!J:J,입항스케줄!C:C,PSI_메인!A35,입항스케줄!V:V,"2601")</f>
        <v>0</v>
      </c>
      <c r="O35" s="280">
        <f t="shared" si="10"/>
        <v>-150</v>
      </c>
      <c r="P35" s="277">
        <f t="shared" si="11"/>
        <v>0</v>
      </c>
      <c r="Q35" s="278">
        <v>0</v>
      </c>
      <c r="R35" s="278">
        <v>0</v>
      </c>
      <c r="S35" s="10">
        <v>150</v>
      </c>
      <c r="T35" s="11">
        <v>0</v>
      </c>
      <c r="U35" s="9">
        <f>SUMIFS(입항스케줄!J:J,입항스케줄!C:C,PSI_메인!A35,입항스케줄!U:U,"2602")</f>
        <v>0</v>
      </c>
      <c r="V35" s="11">
        <f>SUMIFS(입항스케줄!J:J,입항스케줄!C:C,PSI_메인!A35,입항스케줄!V:V,"2602")</f>
        <v>0</v>
      </c>
      <c r="W35" s="280">
        <f t="shared" si="12"/>
        <v>-150</v>
      </c>
      <c r="X35" s="277">
        <f t="shared" si="13"/>
        <v>0</v>
      </c>
      <c r="Y35" s="278">
        <v>0</v>
      </c>
      <c r="Z35" s="278">
        <v>0</v>
      </c>
      <c r="AA35" s="279">
        <f t="shared" si="0"/>
        <v>0</v>
      </c>
      <c r="AB35" s="11">
        <v>0</v>
      </c>
      <c r="AC35" s="9">
        <f>SUMIFS(입항스케줄!J:J,입항스케줄!C:C,PSI_메인!A35,입항스케줄!U:U,"2603")</f>
        <v>360</v>
      </c>
      <c r="AD35" s="11">
        <f>SUMIFS(입항스케줄!J:J,입항스케줄!C:C,PSI_메인!A35,입항스케줄!V:V,"2603")</f>
        <v>360</v>
      </c>
      <c r="AE35" s="280">
        <f t="shared" si="14"/>
        <v>360</v>
      </c>
      <c r="AF35" s="277">
        <f t="shared" si="15"/>
        <v>360</v>
      </c>
      <c r="AG35" s="278">
        <v>0</v>
      </c>
      <c r="AH35" s="278">
        <v>0</v>
      </c>
      <c r="AI35" s="279">
        <f t="shared" si="1"/>
        <v>0</v>
      </c>
      <c r="AJ35" s="11">
        <v>0</v>
      </c>
      <c r="AK35" s="9">
        <f>SUMIFS(입항스케줄!J:J,입항스케줄!C:C,PSI_메인!A35,입항스케줄!U:U,"2604")</f>
        <v>0</v>
      </c>
      <c r="AL35" s="11">
        <f>SUMIFS(입항스케줄!J:J,입항스케줄!C:C,PSI_메인!A35,입항스케줄!V:V,"2604")</f>
        <v>0</v>
      </c>
      <c r="AM35" s="280">
        <f t="shared" si="16"/>
        <v>0</v>
      </c>
      <c r="AN35" s="277">
        <f t="shared" si="17"/>
        <v>0</v>
      </c>
      <c r="AO35" s="278">
        <v>0</v>
      </c>
      <c r="AP35" s="278">
        <v>0</v>
      </c>
      <c r="AQ35" s="279">
        <f t="shared" si="2"/>
        <v>0</v>
      </c>
      <c r="AR35" s="11">
        <v>0</v>
      </c>
      <c r="AS35" s="9"/>
      <c r="AT35" s="277"/>
      <c r="AU35" s="280">
        <f t="shared" si="18"/>
        <v>0</v>
      </c>
      <c r="AV35" s="277">
        <f t="shared" si="19"/>
        <v>0</v>
      </c>
      <c r="AW35" s="278">
        <v>0</v>
      </c>
      <c r="AX35" s="278">
        <v>0</v>
      </c>
      <c r="AY35" s="279">
        <f t="shared" si="3"/>
        <v>0</v>
      </c>
      <c r="AZ35" s="11">
        <v>0</v>
      </c>
      <c r="BA35" s="9"/>
      <c r="BB35" s="11"/>
      <c r="BC35" s="280">
        <f t="shared" si="20"/>
        <v>0</v>
      </c>
      <c r="BD35" s="277">
        <f t="shared" si="21"/>
        <v>0</v>
      </c>
      <c r="BE35" s="278">
        <v>0</v>
      </c>
      <c r="BF35" s="278">
        <v>0</v>
      </c>
      <c r="BG35" s="279">
        <f t="shared" si="4"/>
        <v>0</v>
      </c>
      <c r="BH35" s="11">
        <v>0</v>
      </c>
      <c r="BI35" s="278"/>
      <c r="BJ35" s="11"/>
      <c r="BK35" s="280">
        <f t="shared" si="22"/>
        <v>0</v>
      </c>
      <c r="BL35" s="277">
        <f t="shared" si="23"/>
        <v>0</v>
      </c>
      <c r="BM35" s="278">
        <v>0</v>
      </c>
      <c r="BN35" s="278">
        <v>0</v>
      </c>
      <c r="BO35" s="279">
        <f t="shared" si="5"/>
        <v>0</v>
      </c>
      <c r="BP35" s="11">
        <v>0</v>
      </c>
      <c r="BQ35" s="278"/>
      <c r="BR35" s="11"/>
      <c r="BS35" s="280">
        <f t="shared" si="24"/>
        <v>0</v>
      </c>
      <c r="BT35" s="277">
        <f t="shared" si="25"/>
        <v>0</v>
      </c>
      <c r="BU35" s="278">
        <v>0</v>
      </c>
      <c r="BV35" s="278">
        <v>0</v>
      </c>
      <c r="BW35" s="279">
        <f t="shared" si="6"/>
        <v>0</v>
      </c>
      <c r="BX35" s="11">
        <v>0</v>
      </c>
      <c r="BY35" s="278"/>
      <c r="BZ35" s="11"/>
      <c r="CA35" s="280">
        <f t="shared" si="26"/>
        <v>0</v>
      </c>
      <c r="CB35" s="277">
        <f t="shared" si="27"/>
        <v>0</v>
      </c>
      <c r="CC35" s="278">
        <v>0</v>
      </c>
      <c r="CD35" s="278">
        <v>0</v>
      </c>
      <c r="CE35" s="279">
        <f t="shared" si="7"/>
        <v>0</v>
      </c>
      <c r="CF35" s="11">
        <v>0</v>
      </c>
      <c r="CG35" s="278"/>
      <c r="CH35" s="11"/>
      <c r="CI35" s="280">
        <f t="shared" si="28"/>
        <v>0</v>
      </c>
      <c r="CJ35" s="277">
        <f t="shared" si="29"/>
        <v>0</v>
      </c>
      <c r="CK35" s="278">
        <v>0</v>
      </c>
      <c r="CL35" s="278">
        <v>0</v>
      </c>
      <c r="CM35" s="279">
        <f t="shared" si="8"/>
        <v>0</v>
      </c>
      <c r="CN35" s="11">
        <v>0</v>
      </c>
      <c r="CO35" s="278"/>
      <c r="CP35" s="277"/>
      <c r="CQ35" s="280">
        <f t="shared" si="30"/>
        <v>0</v>
      </c>
      <c r="CR35" s="277">
        <f t="shared" si="31"/>
        <v>0</v>
      </c>
      <c r="CS35" s="278">
        <v>0</v>
      </c>
      <c r="CT35" s="278">
        <v>0</v>
      </c>
      <c r="CU35" s="279">
        <f t="shared" si="9"/>
        <v>0</v>
      </c>
      <c r="CV35" s="11">
        <v>0</v>
      </c>
      <c r="CW35" s="278"/>
      <c r="CX35" s="277"/>
      <c r="CY35" s="280">
        <f t="shared" si="32"/>
        <v>0</v>
      </c>
      <c r="CZ35" s="277">
        <f t="shared" si="33"/>
        <v>0</v>
      </c>
    </row>
    <row r="36" spans="1:104" ht="17.25" customHeight="1">
      <c r="A36" s="28" t="s">
        <v>613</v>
      </c>
      <c r="B36" s="382"/>
      <c r="C36" s="27"/>
      <c r="D36" s="28" t="str">
        <f>_xlfn.XLOOKUP(A36,'ABC-XYZ분석 (2)'!C:C,'ABC-XYZ분석 (2)'!I:I)</f>
        <v>겨울</v>
      </c>
      <c r="E36" s="28" t="str">
        <f>_xlfn.XLOOKUP(A36,'ABC-XYZ분석 (2)'!C:C,'ABC-XYZ분석 (2)'!AC:AC)</f>
        <v>A</v>
      </c>
      <c r="F36" s="3" t="str">
        <f ca="1">_xlfn.XLOOKUP(A36,'ABC-XYZ분석 (2)'!C:C,'ABC-XYZ분석 (2)'!AG:AG)</f>
        <v>X</v>
      </c>
      <c r="G36" s="14">
        <f>SUMIF(재고!C:C,PSI_메인!A36,재고!I:I)</f>
        <v>0</v>
      </c>
      <c r="H36" s="277">
        <v>443</v>
      </c>
      <c r="I36" s="278">
        <v>0</v>
      </c>
      <c r="J36" s="278">
        <v>0</v>
      </c>
      <c r="K36" s="279">
        <v>450</v>
      </c>
      <c r="L36" s="11">
        <v>0</v>
      </c>
      <c r="M36" s="9">
        <f>SUMIFS(입항스케줄!J:J,입항스케줄!C:C,PSI_메인!A36,입항스케줄!U:U,"2601")</f>
        <v>0</v>
      </c>
      <c r="N36" s="11">
        <f>SUMIFS(입항스케줄!J:J,입항스케줄!C:C,PSI_메인!A36,입항스케줄!V:V,"2601")</f>
        <v>0</v>
      </c>
      <c r="O36" s="280">
        <f t="shared" si="10"/>
        <v>-450</v>
      </c>
      <c r="P36" s="277">
        <f t="shared" si="11"/>
        <v>0</v>
      </c>
      <c r="Q36" s="278">
        <v>0</v>
      </c>
      <c r="R36" s="278">
        <v>0</v>
      </c>
      <c r="S36" s="10">
        <v>300</v>
      </c>
      <c r="T36" s="11">
        <v>0</v>
      </c>
      <c r="U36" s="9">
        <f>SUMIFS(입항스케줄!J:J,입항스케줄!C:C,PSI_메인!A36,입항스케줄!U:U,"2602")</f>
        <v>0</v>
      </c>
      <c r="V36" s="11">
        <f>SUMIFS(입항스케줄!J:J,입항스케줄!C:C,PSI_메인!A36,입항스케줄!V:V,"2602")</f>
        <v>0</v>
      </c>
      <c r="W36" s="280">
        <f t="shared" si="12"/>
        <v>-300</v>
      </c>
      <c r="X36" s="277">
        <f t="shared" si="13"/>
        <v>0</v>
      </c>
      <c r="Y36" s="278">
        <v>0</v>
      </c>
      <c r="Z36" s="278">
        <v>0</v>
      </c>
      <c r="AA36" s="279">
        <f t="shared" si="0"/>
        <v>0</v>
      </c>
      <c r="AB36" s="11">
        <v>0</v>
      </c>
      <c r="AC36" s="9">
        <f>SUMIFS(입항스케줄!J:J,입항스케줄!C:C,PSI_메인!A36,입항스케줄!U:U,"2603")</f>
        <v>0</v>
      </c>
      <c r="AD36" s="11">
        <f>SUMIFS(입항스케줄!J:J,입항스케줄!C:C,PSI_메인!A36,입항스케줄!V:V,"2603")</f>
        <v>0</v>
      </c>
      <c r="AE36" s="280">
        <f t="shared" si="14"/>
        <v>0</v>
      </c>
      <c r="AF36" s="277">
        <f t="shared" si="15"/>
        <v>0</v>
      </c>
      <c r="AG36" s="278">
        <v>0</v>
      </c>
      <c r="AH36" s="278">
        <v>0</v>
      </c>
      <c r="AI36" s="279">
        <f t="shared" si="1"/>
        <v>0</v>
      </c>
      <c r="AJ36" s="11">
        <v>0</v>
      </c>
      <c r="AK36" s="9">
        <f>SUMIFS(입항스케줄!J:J,입항스케줄!C:C,PSI_메인!A36,입항스케줄!U:U,"2604")</f>
        <v>0</v>
      </c>
      <c r="AL36" s="11">
        <f>SUMIFS(입항스케줄!J:J,입항스케줄!C:C,PSI_메인!A36,입항스케줄!V:V,"2604")</f>
        <v>0</v>
      </c>
      <c r="AM36" s="280">
        <f t="shared" si="16"/>
        <v>0</v>
      </c>
      <c r="AN36" s="277">
        <f t="shared" si="17"/>
        <v>0</v>
      </c>
      <c r="AO36" s="278">
        <v>0</v>
      </c>
      <c r="AP36" s="278">
        <v>0</v>
      </c>
      <c r="AQ36" s="279">
        <f t="shared" si="2"/>
        <v>0</v>
      </c>
      <c r="AR36" s="11">
        <v>0</v>
      </c>
      <c r="AS36" s="9"/>
      <c r="AT36" s="277"/>
      <c r="AU36" s="280">
        <f t="shared" si="18"/>
        <v>0</v>
      </c>
      <c r="AV36" s="277">
        <f t="shared" si="19"/>
        <v>0</v>
      </c>
      <c r="AW36" s="278">
        <v>0</v>
      </c>
      <c r="AX36" s="278">
        <v>0</v>
      </c>
      <c r="AY36" s="279">
        <f t="shared" si="3"/>
        <v>0</v>
      </c>
      <c r="AZ36" s="11">
        <v>0</v>
      </c>
      <c r="BA36" s="9"/>
      <c r="BB36" s="11"/>
      <c r="BC36" s="280">
        <f t="shared" si="20"/>
        <v>0</v>
      </c>
      <c r="BD36" s="277">
        <f t="shared" si="21"/>
        <v>0</v>
      </c>
      <c r="BE36" s="278">
        <v>0</v>
      </c>
      <c r="BF36" s="278">
        <v>0</v>
      </c>
      <c r="BG36" s="279">
        <f t="shared" si="4"/>
        <v>0</v>
      </c>
      <c r="BH36" s="11">
        <v>0</v>
      </c>
      <c r="BI36" s="278"/>
      <c r="BJ36" s="11"/>
      <c r="BK36" s="280">
        <f t="shared" si="22"/>
        <v>0</v>
      </c>
      <c r="BL36" s="277">
        <f t="shared" si="23"/>
        <v>0</v>
      </c>
      <c r="BM36" s="278">
        <v>0</v>
      </c>
      <c r="BN36" s="278">
        <v>0</v>
      </c>
      <c r="BO36" s="279">
        <f t="shared" si="5"/>
        <v>0</v>
      </c>
      <c r="BP36" s="11">
        <v>0</v>
      </c>
      <c r="BQ36" s="278"/>
      <c r="BR36" s="11"/>
      <c r="BS36" s="280">
        <f t="shared" si="24"/>
        <v>0</v>
      </c>
      <c r="BT36" s="277">
        <f t="shared" si="25"/>
        <v>0</v>
      </c>
      <c r="BU36" s="278">
        <v>0</v>
      </c>
      <c r="BV36" s="278">
        <v>0</v>
      </c>
      <c r="BW36" s="279">
        <f t="shared" si="6"/>
        <v>0</v>
      </c>
      <c r="BX36" s="11">
        <v>0</v>
      </c>
      <c r="BY36" s="278"/>
      <c r="BZ36" s="11"/>
      <c r="CA36" s="280">
        <f t="shared" si="26"/>
        <v>0</v>
      </c>
      <c r="CB36" s="277">
        <f t="shared" si="27"/>
        <v>0</v>
      </c>
      <c r="CC36" s="278">
        <v>0</v>
      </c>
      <c r="CD36" s="278">
        <v>0</v>
      </c>
      <c r="CE36" s="279">
        <f t="shared" si="7"/>
        <v>0</v>
      </c>
      <c r="CF36" s="11">
        <v>0</v>
      </c>
      <c r="CG36" s="278"/>
      <c r="CH36" s="11"/>
      <c r="CI36" s="280">
        <f t="shared" si="28"/>
        <v>0</v>
      </c>
      <c r="CJ36" s="277">
        <f t="shared" si="29"/>
        <v>0</v>
      </c>
      <c r="CK36" s="278">
        <v>0</v>
      </c>
      <c r="CL36" s="278">
        <v>0</v>
      </c>
      <c r="CM36" s="279">
        <f t="shared" si="8"/>
        <v>0</v>
      </c>
      <c r="CN36" s="11">
        <v>0</v>
      </c>
      <c r="CO36" s="278"/>
      <c r="CP36" s="277"/>
      <c r="CQ36" s="280">
        <f t="shared" si="30"/>
        <v>0</v>
      </c>
      <c r="CR36" s="277">
        <f t="shared" si="31"/>
        <v>0</v>
      </c>
      <c r="CS36" s="278">
        <v>0</v>
      </c>
      <c r="CT36" s="278">
        <v>0</v>
      </c>
      <c r="CU36" s="279">
        <f t="shared" si="9"/>
        <v>0</v>
      </c>
      <c r="CV36" s="11">
        <v>0</v>
      </c>
      <c r="CW36" s="278"/>
      <c r="CX36" s="277"/>
      <c r="CY36" s="280">
        <f t="shared" si="32"/>
        <v>0</v>
      </c>
      <c r="CZ36" s="277">
        <f t="shared" si="33"/>
        <v>0</v>
      </c>
    </row>
    <row r="37" spans="1:104" ht="17.25" customHeight="1">
      <c r="A37" s="28" t="s">
        <v>614</v>
      </c>
      <c r="B37" s="382"/>
      <c r="C37" s="27"/>
      <c r="D37" s="28" t="str">
        <f>_xlfn.XLOOKUP(A37,'ABC-XYZ분석 (2)'!C:C,'ABC-XYZ분석 (2)'!I:I)</f>
        <v>여름</v>
      </c>
      <c r="E37" s="28" t="str">
        <f>_xlfn.XLOOKUP(A37,'ABC-XYZ분석 (2)'!C:C,'ABC-XYZ분석 (2)'!AC:AC)</f>
        <v>A</v>
      </c>
      <c r="F37" s="3" t="str">
        <f>_xlfn.XLOOKUP(A37,'ABC-XYZ분석 (2)'!C:C,'ABC-XYZ분석 (2)'!AG:AG)</f>
        <v>Y</v>
      </c>
      <c r="G37" s="14">
        <f>SUMIF(재고!C:C,PSI_메인!A37,재고!I:I)</f>
        <v>0</v>
      </c>
      <c r="H37" s="277">
        <v>524</v>
      </c>
      <c r="I37" s="278">
        <v>0</v>
      </c>
      <c r="J37" s="278">
        <v>0</v>
      </c>
      <c r="K37" s="279">
        <v>100</v>
      </c>
      <c r="L37" s="11">
        <v>0</v>
      </c>
      <c r="M37" s="9">
        <f>SUMIFS(입항스케줄!J:J,입항스케줄!C:C,PSI_메인!A37,입항스케줄!U:U,"2601")</f>
        <v>0</v>
      </c>
      <c r="N37" s="11">
        <f>SUMIFS(입항스케줄!J:J,입항스케줄!C:C,PSI_메인!A37,입항스케줄!V:V,"2601")</f>
        <v>0</v>
      </c>
      <c r="O37" s="280">
        <f t="shared" si="10"/>
        <v>-100</v>
      </c>
      <c r="P37" s="277">
        <f t="shared" si="11"/>
        <v>0</v>
      </c>
      <c r="Q37" s="278">
        <v>0</v>
      </c>
      <c r="R37" s="278">
        <v>0</v>
      </c>
      <c r="S37" s="10">
        <v>0</v>
      </c>
      <c r="T37" s="11">
        <v>0</v>
      </c>
      <c r="U37" s="9">
        <f>SUMIFS(입항스케줄!J:J,입항스케줄!C:C,PSI_메인!A37,입항스케줄!U:U,"2602")</f>
        <v>0</v>
      </c>
      <c r="V37" s="11">
        <f>SUMIFS(입항스케줄!J:J,입항스케줄!C:C,PSI_메인!A37,입항스케줄!V:V,"2602")</f>
        <v>0</v>
      </c>
      <c r="W37" s="280">
        <f t="shared" si="12"/>
        <v>0</v>
      </c>
      <c r="X37" s="277">
        <f t="shared" si="13"/>
        <v>0</v>
      </c>
      <c r="Y37" s="278">
        <v>0</v>
      </c>
      <c r="Z37" s="278">
        <v>0</v>
      </c>
      <c r="AA37" s="279">
        <f t="shared" si="0"/>
        <v>0</v>
      </c>
      <c r="AB37" s="11">
        <v>0</v>
      </c>
      <c r="AC37" s="9">
        <f>SUMIFS(입항스케줄!J:J,입항스케줄!C:C,PSI_메인!A37,입항스케줄!U:U,"2603")</f>
        <v>0</v>
      </c>
      <c r="AD37" s="11">
        <f>SUMIFS(입항스케줄!J:J,입항스케줄!C:C,PSI_메인!A37,입항스케줄!V:V,"2603")</f>
        <v>0</v>
      </c>
      <c r="AE37" s="280">
        <f t="shared" si="14"/>
        <v>0</v>
      </c>
      <c r="AF37" s="277">
        <f t="shared" si="15"/>
        <v>0</v>
      </c>
      <c r="AG37" s="278">
        <v>0</v>
      </c>
      <c r="AH37" s="278">
        <v>0</v>
      </c>
      <c r="AI37" s="279">
        <f t="shared" si="1"/>
        <v>0</v>
      </c>
      <c r="AJ37" s="11">
        <v>0</v>
      </c>
      <c r="AK37" s="9">
        <f>SUMIFS(입항스케줄!J:J,입항스케줄!C:C,PSI_메인!A37,입항스케줄!U:U,"2604")</f>
        <v>0</v>
      </c>
      <c r="AL37" s="11">
        <f>SUMIFS(입항스케줄!J:J,입항스케줄!C:C,PSI_메인!A37,입항스케줄!V:V,"2604")</f>
        <v>0</v>
      </c>
      <c r="AM37" s="280">
        <f t="shared" si="16"/>
        <v>0</v>
      </c>
      <c r="AN37" s="277">
        <f t="shared" si="17"/>
        <v>0</v>
      </c>
      <c r="AO37" s="278">
        <v>0</v>
      </c>
      <c r="AP37" s="278">
        <v>0</v>
      </c>
      <c r="AQ37" s="279">
        <f t="shared" si="2"/>
        <v>0</v>
      </c>
      <c r="AR37" s="11">
        <v>0</v>
      </c>
      <c r="AS37" s="9"/>
      <c r="AT37" s="277"/>
      <c r="AU37" s="280">
        <f t="shared" si="18"/>
        <v>0</v>
      </c>
      <c r="AV37" s="277">
        <f t="shared" si="19"/>
        <v>0</v>
      </c>
      <c r="AW37" s="278">
        <v>0</v>
      </c>
      <c r="AX37" s="278">
        <v>0</v>
      </c>
      <c r="AY37" s="279">
        <f t="shared" si="3"/>
        <v>0</v>
      </c>
      <c r="AZ37" s="11">
        <v>0</v>
      </c>
      <c r="BA37" s="9"/>
      <c r="BB37" s="11"/>
      <c r="BC37" s="280">
        <f t="shared" si="20"/>
        <v>0</v>
      </c>
      <c r="BD37" s="277">
        <f t="shared" si="21"/>
        <v>0</v>
      </c>
      <c r="BE37" s="278">
        <v>0</v>
      </c>
      <c r="BF37" s="278">
        <v>0</v>
      </c>
      <c r="BG37" s="279">
        <f t="shared" si="4"/>
        <v>0</v>
      </c>
      <c r="BH37" s="11">
        <v>0</v>
      </c>
      <c r="BI37" s="278"/>
      <c r="BJ37" s="11"/>
      <c r="BK37" s="280">
        <f t="shared" si="22"/>
        <v>0</v>
      </c>
      <c r="BL37" s="277">
        <f t="shared" si="23"/>
        <v>0</v>
      </c>
      <c r="BM37" s="278">
        <v>0</v>
      </c>
      <c r="BN37" s="278">
        <v>0</v>
      </c>
      <c r="BO37" s="279">
        <f t="shared" si="5"/>
        <v>0</v>
      </c>
      <c r="BP37" s="11">
        <v>0</v>
      </c>
      <c r="BQ37" s="278"/>
      <c r="BR37" s="11"/>
      <c r="BS37" s="280">
        <f t="shared" si="24"/>
        <v>0</v>
      </c>
      <c r="BT37" s="277">
        <f t="shared" si="25"/>
        <v>0</v>
      </c>
      <c r="BU37" s="278">
        <v>0</v>
      </c>
      <c r="BV37" s="278">
        <v>0</v>
      </c>
      <c r="BW37" s="279">
        <f t="shared" si="6"/>
        <v>0</v>
      </c>
      <c r="BX37" s="11">
        <v>0</v>
      </c>
      <c r="BY37" s="278"/>
      <c r="BZ37" s="11"/>
      <c r="CA37" s="280">
        <f t="shared" si="26"/>
        <v>0</v>
      </c>
      <c r="CB37" s="277">
        <f t="shared" si="27"/>
        <v>0</v>
      </c>
      <c r="CC37" s="278">
        <v>0</v>
      </c>
      <c r="CD37" s="278">
        <v>0</v>
      </c>
      <c r="CE37" s="279">
        <f t="shared" si="7"/>
        <v>0</v>
      </c>
      <c r="CF37" s="11">
        <v>0</v>
      </c>
      <c r="CG37" s="278"/>
      <c r="CH37" s="11"/>
      <c r="CI37" s="280">
        <f t="shared" si="28"/>
        <v>0</v>
      </c>
      <c r="CJ37" s="277">
        <f t="shared" si="29"/>
        <v>0</v>
      </c>
      <c r="CK37" s="278">
        <v>0</v>
      </c>
      <c r="CL37" s="278">
        <v>0</v>
      </c>
      <c r="CM37" s="279">
        <f t="shared" si="8"/>
        <v>0</v>
      </c>
      <c r="CN37" s="11">
        <v>0</v>
      </c>
      <c r="CO37" s="278"/>
      <c r="CP37" s="277"/>
      <c r="CQ37" s="280">
        <f t="shared" si="30"/>
        <v>0</v>
      </c>
      <c r="CR37" s="277">
        <f t="shared" si="31"/>
        <v>0</v>
      </c>
      <c r="CS37" s="278">
        <v>0</v>
      </c>
      <c r="CT37" s="278">
        <v>0</v>
      </c>
      <c r="CU37" s="279">
        <f t="shared" si="9"/>
        <v>0</v>
      </c>
      <c r="CV37" s="11">
        <v>0</v>
      </c>
      <c r="CW37" s="278"/>
      <c r="CX37" s="277"/>
      <c r="CY37" s="280">
        <f t="shared" si="32"/>
        <v>0</v>
      </c>
      <c r="CZ37" s="277">
        <f t="shared" si="33"/>
        <v>0</v>
      </c>
    </row>
    <row r="38" spans="1:104" ht="17.25" customHeight="1">
      <c r="A38" s="28" t="s">
        <v>615</v>
      </c>
      <c r="B38" s="382"/>
      <c r="C38" s="27"/>
      <c r="D38" s="28" t="str">
        <f>_xlfn.XLOOKUP(A38,'ABC-XYZ분석 (2)'!C:C,'ABC-XYZ분석 (2)'!I:I)</f>
        <v>사계절</v>
      </c>
      <c r="E38" s="28" t="str">
        <f>_xlfn.XLOOKUP(A38,'ABC-XYZ분석 (2)'!C:C,'ABC-XYZ분석 (2)'!AC:AC)</f>
        <v>A</v>
      </c>
      <c r="F38" s="3" t="str">
        <f>_xlfn.XLOOKUP(A38,'ABC-XYZ분석 (2)'!C:C,'ABC-XYZ분석 (2)'!AG:AG)</f>
        <v>X</v>
      </c>
      <c r="G38" s="14">
        <f>SUMIF(재고!C:C,PSI_메인!A38,재고!I:I)</f>
        <v>0</v>
      </c>
      <c r="H38" s="277">
        <v>928</v>
      </c>
      <c r="I38" s="278">
        <v>0</v>
      </c>
      <c r="J38" s="278">
        <v>0</v>
      </c>
      <c r="K38" s="279">
        <v>200</v>
      </c>
      <c r="L38" s="11">
        <v>0</v>
      </c>
      <c r="M38" s="9">
        <f>SUMIFS(입항스케줄!J:J,입항스케줄!C:C,PSI_메인!A38,입항스케줄!U:U,"2601")</f>
        <v>0</v>
      </c>
      <c r="N38" s="11">
        <f>SUMIFS(입항스케줄!J:J,입항스케줄!C:C,PSI_메인!A38,입항스케줄!V:V,"2601")</f>
        <v>0</v>
      </c>
      <c r="O38" s="280">
        <f t="shared" si="10"/>
        <v>-200</v>
      </c>
      <c r="P38" s="277">
        <f t="shared" si="11"/>
        <v>0</v>
      </c>
      <c r="Q38" s="278">
        <v>0</v>
      </c>
      <c r="R38" s="278">
        <v>0</v>
      </c>
      <c r="S38" s="10">
        <v>200</v>
      </c>
      <c r="T38" s="11">
        <v>0</v>
      </c>
      <c r="U38" s="9">
        <f>SUMIFS(입항스케줄!J:J,입항스케줄!C:C,PSI_메인!A38,입항스케줄!U:U,"2602")</f>
        <v>0</v>
      </c>
      <c r="V38" s="11">
        <f>SUMIFS(입항스케줄!J:J,입항스케줄!C:C,PSI_메인!A38,입항스케줄!V:V,"2602")</f>
        <v>0</v>
      </c>
      <c r="W38" s="280">
        <f t="shared" si="12"/>
        <v>-200</v>
      </c>
      <c r="X38" s="277">
        <f t="shared" si="13"/>
        <v>0</v>
      </c>
      <c r="Y38" s="278">
        <v>0</v>
      </c>
      <c r="Z38" s="278">
        <v>0</v>
      </c>
      <c r="AA38" s="279">
        <f t="shared" si="0"/>
        <v>0</v>
      </c>
      <c r="AB38" s="11">
        <v>0</v>
      </c>
      <c r="AC38" s="9">
        <f>SUMIFS(입항스케줄!J:J,입항스케줄!C:C,PSI_메인!A38,입항스케줄!U:U,"2603")</f>
        <v>0</v>
      </c>
      <c r="AD38" s="11">
        <f>SUMIFS(입항스케줄!J:J,입항스케줄!C:C,PSI_메인!A38,입항스케줄!V:V,"2603")</f>
        <v>0</v>
      </c>
      <c r="AE38" s="280">
        <f t="shared" si="14"/>
        <v>0</v>
      </c>
      <c r="AF38" s="277">
        <f t="shared" si="15"/>
        <v>0</v>
      </c>
      <c r="AG38" s="278">
        <v>0</v>
      </c>
      <c r="AH38" s="278">
        <v>0</v>
      </c>
      <c r="AI38" s="279">
        <f t="shared" si="1"/>
        <v>0</v>
      </c>
      <c r="AJ38" s="11">
        <v>0</v>
      </c>
      <c r="AK38" s="9">
        <f>SUMIFS(입항스케줄!J:J,입항스케줄!C:C,PSI_메인!A38,입항스케줄!U:U,"2604")</f>
        <v>0</v>
      </c>
      <c r="AL38" s="11">
        <f>SUMIFS(입항스케줄!J:J,입항스케줄!C:C,PSI_메인!A38,입항스케줄!V:V,"2604")</f>
        <v>0</v>
      </c>
      <c r="AM38" s="280">
        <f t="shared" si="16"/>
        <v>0</v>
      </c>
      <c r="AN38" s="277">
        <f t="shared" si="17"/>
        <v>0</v>
      </c>
      <c r="AO38" s="278">
        <v>0</v>
      </c>
      <c r="AP38" s="278">
        <v>0</v>
      </c>
      <c r="AQ38" s="279">
        <f t="shared" si="2"/>
        <v>0</v>
      </c>
      <c r="AR38" s="11">
        <v>0</v>
      </c>
      <c r="AS38" s="9"/>
      <c r="AT38" s="277"/>
      <c r="AU38" s="280">
        <f t="shared" si="18"/>
        <v>0</v>
      </c>
      <c r="AV38" s="277">
        <f t="shared" si="19"/>
        <v>0</v>
      </c>
      <c r="AW38" s="278">
        <v>0</v>
      </c>
      <c r="AX38" s="278">
        <v>0</v>
      </c>
      <c r="AY38" s="279">
        <f t="shared" si="3"/>
        <v>0</v>
      </c>
      <c r="AZ38" s="11">
        <v>0</v>
      </c>
      <c r="BA38" s="9"/>
      <c r="BB38" s="11"/>
      <c r="BC38" s="280">
        <f t="shared" si="20"/>
        <v>0</v>
      </c>
      <c r="BD38" s="277">
        <f t="shared" si="21"/>
        <v>0</v>
      </c>
      <c r="BE38" s="278">
        <v>0</v>
      </c>
      <c r="BF38" s="278">
        <v>0</v>
      </c>
      <c r="BG38" s="279">
        <f t="shared" si="4"/>
        <v>0</v>
      </c>
      <c r="BH38" s="11">
        <v>0</v>
      </c>
      <c r="BI38" s="278"/>
      <c r="BJ38" s="11"/>
      <c r="BK38" s="280">
        <f t="shared" si="22"/>
        <v>0</v>
      </c>
      <c r="BL38" s="277">
        <f t="shared" si="23"/>
        <v>0</v>
      </c>
      <c r="BM38" s="278">
        <v>0</v>
      </c>
      <c r="BN38" s="278">
        <v>0</v>
      </c>
      <c r="BO38" s="279">
        <f t="shared" si="5"/>
        <v>0</v>
      </c>
      <c r="BP38" s="11">
        <v>0</v>
      </c>
      <c r="BQ38" s="278"/>
      <c r="BR38" s="11"/>
      <c r="BS38" s="280">
        <f t="shared" si="24"/>
        <v>0</v>
      </c>
      <c r="BT38" s="277">
        <f t="shared" si="25"/>
        <v>0</v>
      </c>
      <c r="BU38" s="278">
        <v>0</v>
      </c>
      <c r="BV38" s="278">
        <v>0</v>
      </c>
      <c r="BW38" s="279">
        <f t="shared" si="6"/>
        <v>0</v>
      </c>
      <c r="BX38" s="11">
        <v>0</v>
      </c>
      <c r="BY38" s="278"/>
      <c r="BZ38" s="11"/>
      <c r="CA38" s="280">
        <f t="shared" si="26"/>
        <v>0</v>
      </c>
      <c r="CB38" s="277">
        <f t="shared" si="27"/>
        <v>0</v>
      </c>
      <c r="CC38" s="278">
        <v>0</v>
      </c>
      <c r="CD38" s="278">
        <v>0</v>
      </c>
      <c r="CE38" s="279">
        <f t="shared" si="7"/>
        <v>0</v>
      </c>
      <c r="CF38" s="11">
        <v>0</v>
      </c>
      <c r="CG38" s="278"/>
      <c r="CH38" s="11"/>
      <c r="CI38" s="280">
        <f t="shared" si="28"/>
        <v>0</v>
      </c>
      <c r="CJ38" s="277">
        <f t="shared" si="29"/>
        <v>0</v>
      </c>
      <c r="CK38" s="278">
        <v>0</v>
      </c>
      <c r="CL38" s="278">
        <v>0</v>
      </c>
      <c r="CM38" s="279">
        <f t="shared" si="8"/>
        <v>0</v>
      </c>
      <c r="CN38" s="11">
        <v>0</v>
      </c>
      <c r="CO38" s="278"/>
      <c r="CP38" s="277"/>
      <c r="CQ38" s="280">
        <f t="shared" si="30"/>
        <v>0</v>
      </c>
      <c r="CR38" s="277">
        <f t="shared" si="31"/>
        <v>0</v>
      </c>
      <c r="CS38" s="278">
        <v>0</v>
      </c>
      <c r="CT38" s="278">
        <v>0</v>
      </c>
      <c r="CU38" s="279">
        <f t="shared" si="9"/>
        <v>0</v>
      </c>
      <c r="CV38" s="11">
        <v>0</v>
      </c>
      <c r="CW38" s="278"/>
      <c r="CX38" s="277"/>
      <c r="CY38" s="280">
        <f t="shared" si="32"/>
        <v>0</v>
      </c>
      <c r="CZ38" s="277">
        <f t="shared" si="33"/>
        <v>0</v>
      </c>
    </row>
    <row r="39" spans="1:104" ht="17.25" customHeight="1">
      <c r="A39" s="28" t="s">
        <v>616</v>
      </c>
      <c r="B39" s="382"/>
      <c r="C39" s="27"/>
      <c r="D39" s="28" t="str">
        <f>_xlfn.XLOOKUP(A39,'ABC-XYZ분석 (2)'!C:C,'ABC-XYZ분석 (2)'!I:I)</f>
        <v>사계절</v>
      </c>
      <c r="E39" s="28" t="str">
        <f>_xlfn.XLOOKUP(A39,'ABC-XYZ분석 (2)'!C:C,'ABC-XYZ분석 (2)'!AC:AC)</f>
        <v>A</v>
      </c>
      <c r="F39" s="3" t="str">
        <f>_xlfn.XLOOKUP(A39,'ABC-XYZ분석 (2)'!C:C,'ABC-XYZ분석 (2)'!AG:AG)</f>
        <v>X</v>
      </c>
      <c r="G39" s="14">
        <f>SUMIF(재고!C:C,PSI_메인!A39,재고!I:I)</f>
        <v>0</v>
      </c>
      <c r="H39" s="277">
        <v>2585</v>
      </c>
      <c r="I39" s="278">
        <v>0</v>
      </c>
      <c r="J39" s="278">
        <v>0</v>
      </c>
      <c r="K39" s="279">
        <v>0</v>
      </c>
      <c r="L39" s="11">
        <v>0</v>
      </c>
      <c r="M39" s="9">
        <f>SUMIFS(입항스케줄!J:J,입항스케줄!C:C,PSI_메인!A39,입항스케줄!U:U,"2601")</f>
        <v>0</v>
      </c>
      <c r="N39" s="11">
        <f>SUMIFS(입항스케줄!J:J,입항스케줄!C:C,PSI_메인!A39,입항스케줄!V:V,"2601")</f>
        <v>0</v>
      </c>
      <c r="O39" s="280">
        <f t="shared" si="10"/>
        <v>0</v>
      </c>
      <c r="P39" s="277">
        <f t="shared" si="11"/>
        <v>0</v>
      </c>
      <c r="Q39" s="278">
        <v>0</v>
      </c>
      <c r="R39" s="278">
        <v>0</v>
      </c>
      <c r="S39" s="10">
        <v>0</v>
      </c>
      <c r="T39" s="11">
        <v>0</v>
      </c>
      <c r="U39" s="9">
        <f>SUMIFS(입항스케줄!J:J,입항스케줄!C:C,PSI_메인!A39,입항스케줄!U:U,"2602")</f>
        <v>0</v>
      </c>
      <c r="V39" s="11">
        <f>SUMIFS(입항스케줄!J:J,입항스케줄!C:C,PSI_메인!A39,입항스케줄!V:V,"2602")</f>
        <v>0</v>
      </c>
      <c r="W39" s="280">
        <f t="shared" si="12"/>
        <v>0</v>
      </c>
      <c r="X39" s="277">
        <f t="shared" si="13"/>
        <v>0</v>
      </c>
      <c r="Y39" s="278">
        <v>0</v>
      </c>
      <c r="Z39" s="278">
        <v>0</v>
      </c>
      <c r="AA39" s="279">
        <f t="shared" si="0"/>
        <v>0</v>
      </c>
      <c r="AB39" s="11">
        <v>0</v>
      </c>
      <c r="AC39" s="9">
        <f>SUMIFS(입항스케줄!J:J,입항스케줄!C:C,PSI_메인!A39,입항스케줄!U:U,"2603")</f>
        <v>0</v>
      </c>
      <c r="AD39" s="11">
        <f>SUMIFS(입항스케줄!J:J,입항스케줄!C:C,PSI_메인!A39,입항스케줄!V:V,"2603")</f>
        <v>0</v>
      </c>
      <c r="AE39" s="280">
        <f t="shared" si="14"/>
        <v>0</v>
      </c>
      <c r="AF39" s="277">
        <f t="shared" si="15"/>
        <v>0</v>
      </c>
      <c r="AG39" s="278">
        <v>0</v>
      </c>
      <c r="AH39" s="278">
        <v>0</v>
      </c>
      <c r="AI39" s="279">
        <f t="shared" si="1"/>
        <v>0</v>
      </c>
      <c r="AJ39" s="11">
        <v>0</v>
      </c>
      <c r="AK39" s="9">
        <f>SUMIFS(입항스케줄!J:J,입항스케줄!C:C,PSI_메인!A39,입항스케줄!U:U,"2604")</f>
        <v>0</v>
      </c>
      <c r="AL39" s="11">
        <f>SUMIFS(입항스케줄!J:J,입항스케줄!C:C,PSI_메인!A39,입항스케줄!V:V,"2604")</f>
        <v>0</v>
      </c>
      <c r="AM39" s="280">
        <f t="shared" si="16"/>
        <v>0</v>
      </c>
      <c r="AN39" s="277">
        <f t="shared" si="17"/>
        <v>0</v>
      </c>
      <c r="AO39" s="278">
        <v>0</v>
      </c>
      <c r="AP39" s="278">
        <v>0</v>
      </c>
      <c r="AQ39" s="279">
        <f t="shared" si="2"/>
        <v>0</v>
      </c>
      <c r="AR39" s="11">
        <v>0</v>
      </c>
      <c r="AS39" s="9"/>
      <c r="AT39" s="277"/>
      <c r="AU39" s="280">
        <f t="shared" si="18"/>
        <v>0</v>
      </c>
      <c r="AV39" s="277">
        <f t="shared" si="19"/>
        <v>0</v>
      </c>
      <c r="AW39" s="278">
        <v>0</v>
      </c>
      <c r="AX39" s="278">
        <v>0</v>
      </c>
      <c r="AY39" s="279">
        <f t="shared" si="3"/>
        <v>0</v>
      </c>
      <c r="AZ39" s="11">
        <v>0</v>
      </c>
      <c r="BA39" s="9"/>
      <c r="BB39" s="11"/>
      <c r="BC39" s="280">
        <f t="shared" si="20"/>
        <v>0</v>
      </c>
      <c r="BD39" s="277">
        <f t="shared" si="21"/>
        <v>0</v>
      </c>
      <c r="BE39" s="278">
        <v>0</v>
      </c>
      <c r="BF39" s="278">
        <v>0</v>
      </c>
      <c r="BG39" s="279">
        <f t="shared" si="4"/>
        <v>0</v>
      </c>
      <c r="BH39" s="11">
        <v>0</v>
      </c>
      <c r="BI39" s="278"/>
      <c r="BJ39" s="11"/>
      <c r="BK39" s="280">
        <f t="shared" si="22"/>
        <v>0</v>
      </c>
      <c r="BL39" s="277">
        <f t="shared" si="23"/>
        <v>0</v>
      </c>
      <c r="BM39" s="278">
        <v>0</v>
      </c>
      <c r="BN39" s="278">
        <v>0</v>
      </c>
      <c r="BO39" s="279">
        <f t="shared" si="5"/>
        <v>0</v>
      </c>
      <c r="BP39" s="11">
        <v>0</v>
      </c>
      <c r="BQ39" s="278"/>
      <c r="BR39" s="11"/>
      <c r="BS39" s="280">
        <f t="shared" si="24"/>
        <v>0</v>
      </c>
      <c r="BT39" s="277">
        <f t="shared" si="25"/>
        <v>0</v>
      </c>
      <c r="BU39" s="278">
        <v>0</v>
      </c>
      <c r="BV39" s="278">
        <v>0</v>
      </c>
      <c r="BW39" s="279">
        <f t="shared" si="6"/>
        <v>0</v>
      </c>
      <c r="BX39" s="11">
        <v>0</v>
      </c>
      <c r="BY39" s="278"/>
      <c r="BZ39" s="11"/>
      <c r="CA39" s="280">
        <f t="shared" si="26"/>
        <v>0</v>
      </c>
      <c r="CB39" s="277">
        <f t="shared" si="27"/>
        <v>0</v>
      </c>
      <c r="CC39" s="278">
        <v>0</v>
      </c>
      <c r="CD39" s="278">
        <v>0</v>
      </c>
      <c r="CE39" s="279">
        <f t="shared" si="7"/>
        <v>0</v>
      </c>
      <c r="CF39" s="11">
        <v>0</v>
      </c>
      <c r="CG39" s="278"/>
      <c r="CH39" s="11"/>
      <c r="CI39" s="280">
        <f t="shared" si="28"/>
        <v>0</v>
      </c>
      <c r="CJ39" s="277">
        <f t="shared" si="29"/>
        <v>0</v>
      </c>
      <c r="CK39" s="278">
        <v>0</v>
      </c>
      <c r="CL39" s="278">
        <v>0</v>
      </c>
      <c r="CM39" s="279">
        <f t="shared" si="8"/>
        <v>0</v>
      </c>
      <c r="CN39" s="11">
        <v>0</v>
      </c>
      <c r="CO39" s="278"/>
      <c r="CP39" s="277"/>
      <c r="CQ39" s="280">
        <f t="shared" si="30"/>
        <v>0</v>
      </c>
      <c r="CR39" s="277">
        <f t="shared" si="31"/>
        <v>0</v>
      </c>
      <c r="CS39" s="278">
        <v>0</v>
      </c>
      <c r="CT39" s="278">
        <v>0</v>
      </c>
      <c r="CU39" s="279">
        <f t="shared" si="9"/>
        <v>0</v>
      </c>
      <c r="CV39" s="11">
        <v>0</v>
      </c>
      <c r="CW39" s="278"/>
      <c r="CX39" s="277"/>
      <c r="CY39" s="280">
        <f t="shared" si="32"/>
        <v>0</v>
      </c>
      <c r="CZ39" s="277">
        <f t="shared" si="33"/>
        <v>0</v>
      </c>
    </row>
    <row r="40" spans="1:104" ht="17.25" customHeight="1">
      <c r="A40" s="28" t="s">
        <v>617</v>
      </c>
      <c r="B40" s="382"/>
      <c r="C40" s="27"/>
      <c r="D40" s="28" t="str">
        <f>_xlfn.XLOOKUP(A40,'ABC-XYZ분석 (2)'!C:C,'ABC-XYZ분석 (2)'!I:I)</f>
        <v>사계절</v>
      </c>
      <c r="E40" s="28" t="str">
        <f>_xlfn.XLOOKUP(A40,'ABC-XYZ분석 (2)'!C:C,'ABC-XYZ분석 (2)'!AC:AC)</f>
        <v>A</v>
      </c>
      <c r="F40" s="3" t="str">
        <f>_xlfn.XLOOKUP(A40,'ABC-XYZ분석 (2)'!C:C,'ABC-XYZ분석 (2)'!AG:AG)</f>
        <v>Y</v>
      </c>
      <c r="G40" s="14">
        <f>SUMIF(재고!C:C,PSI_메인!A40,재고!I:I)</f>
        <v>0</v>
      </c>
      <c r="H40" s="277">
        <v>2049</v>
      </c>
      <c r="I40" s="278">
        <v>0</v>
      </c>
      <c r="J40" s="278">
        <v>0</v>
      </c>
      <c r="K40" s="279">
        <v>50</v>
      </c>
      <c r="L40" s="11">
        <v>0</v>
      </c>
      <c r="M40" s="9">
        <f>SUMIFS(입항스케줄!J:J,입항스케줄!C:C,PSI_메인!A40,입항스케줄!U:U,"2601")</f>
        <v>0</v>
      </c>
      <c r="N40" s="11">
        <f>SUMIFS(입항스케줄!J:J,입항스케줄!C:C,PSI_메인!A40,입항스케줄!V:V,"2601")</f>
        <v>0</v>
      </c>
      <c r="O40" s="280">
        <f t="shared" si="10"/>
        <v>-50</v>
      </c>
      <c r="P40" s="277">
        <f t="shared" si="11"/>
        <v>0</v>
      </c>
      <c r="Q40" s="278">
        <v>0</v>
      </c>
      <c r="R40" s="278">
        <v>0</v>
      </c>
      <c r="S40" s="10">
        <v>150</v>
      </c>
      <c r="T40" s="11">
        <v>0</v>
      </c>
      <c r="U40" s="9">
        <f>SUMIFS(입항스케줄!J:J,입항스케줄!C:C,PSI_메인!A40,입항스케줄!U:U,"2602")</f>
        <v>0</v>
      </c>
      <c r="V40" s="11">
        <f>SUMIFS(입항스케줄!J:J,입항스케줄!C:C,PSI_메인!A40,입항스케줄!V:V,"2602")</f>
        <v>0</v>
      </c>
      <c r="W40" s="280">
        <f t="shared" si="12"/>
        <v>-150</v>
      </c>
      <c r="X40" s="277">
        <f t="shared" si="13"/>
        <v>0</v>
      </c>
      <c r="Y40" s="278">
        <v>0</v>
      </c>
      <c r="Z40" s="278">
        <v>0</v>
      </c>
      <c r="AA40" s="279">
        <f t="shared" si="0"/>
        <v>0</v>
      </c>
      <c r="AB40" s="11">
        <v>0</v>
      </c>
      <c r="AC40" s="9">
        <f>SUMIFS(입항스케줄!J:J,입항스케줄!C:C,PSI_메인!A40,입항스케줄!U:U,"2603")</f>
        <v>0</v>
      </c>
      <c r="AD40" s="11">
        <f>SUMIFS(입항스케줄!J:J,입항스케줄!C:C,PSI_메인!A40,입항스케줄!V:V,"2603")</f>
        <v>0</v>
      </c>
      <c r="AE40" s="280">
        <f t="shared" si="14"/>
        <v>0</v>
      </c>
      <c r="AF40" s="277">
        <f t="shared" si="15"/>
        <v>0</v>
      </c>
      <c r="AG40" s="278">
        <v>0</v>
      </c>
      <c r="AH40" s="278">
        <v>0</v>
      </c>
      <c r="AI40" s="279">
        <f t="shared" si="1"/>
        <v>0</v>
      </c>
      <c r="AJ40" s="11">
        <v>0</v>
      </c>
      <c r="AK40" s="9">
        <f>SUMIFS(입항스케줄!J:J,입항스케줄!C:C,PSI_메인!A40,입항스케줄!U:U,"2604")</f>
        <v>0</v>
      </c>
      <c r="AL40" s="11">
        <f>SUMIFS(입항스케줄!J:J,입항스케줄!C:C,PSI_메인!A40,입항스케줄!V:V,"2604")</f>
        <v>0</v>
      </c>
      <c r="AM40" s="280">
        <f t="shared" si="16"/>
        <v>0</v>
      </c>
      <c r="AN40" s="277">
        <f t="shared" si="17"/>
        <v>0</v>
      </c>
      <c r="AO40" s="278">
        <v>0</v>
      </c>
      <c r="AP40" s="278">
        <v>0</v>
      </c>
      <c r="AQ40" s="279">
        <f t="shared" si="2"/>
        <v>0</v>
      </c>
      <c r="AR40" s="11">
        <v>0</v>
      </c>
      <c r="AS40" s="9"/>
      <c r="AT40" s="277"/>
      <c r="AU40" s="280">
        <f t="shared" si="18"/>
        <v>0</v>
      </c>
      <c r="AV40" s="277">
        <f t="shared" si="19"/>
        <v>0</v>
      </c>
      <c r="AW40" s="278">
        <v>0</v>
      </c>
      <c r="AX40" s="278">
        <v>0</v>
      </c>
      <c r="AY40" s="279">
        <f t="shared" si="3"/>
        <v>0</v>
      </c>
      <c r="AZ40" s="11">
        <v>0</v>
      </c>
      <c r="BA40" s="9"/>
      <c r="BB40" s="11"/>
      <c r="BC40" s="280">
        <f t="shared" si="20"/>
        <v>0</v>
      </c>
      <c r="BD40" s="277">
        <f t="shared" si="21"/>
        <v>0</v>
      </c>
      <c r="BE40" s="278">
        <v>0</v>
      </c>
      <c r="BF40" s="278">
        <v>0</v>
      </c>
      <c r="BG40" s="279">
        <f t="shared" si="4"/>
        <v>0</v>
      </c>
      <c r="BH40" s="11">
        <v>0</v>
      </c>
      <c r="BI40" s="278"/>
      <c r="BJ40" s="11"/>
      <c r="BK40" s="280">
        <f t="shared" si="22"/>
        <v>0</v>
      </c>
      <c r="BL40" s="277">
        <f t="shared" si="23"/>
        <v>0</v>
      </c>
      <c r="BM40" s="278">
        <v>0</v>
      </c>
      <c r="BN40" s="278">
        <v>0</v>
      </c>
      <c r="BO40" s="279">
        <f t="shared" si="5"/>
        <v>0</v>
      </c>
      <c r="BP40" s="11">
        <v>0</v>
      </c>
      <c r="BQ40" s="278"/>
      <c r="BR40" s="11"/>
      <c r="BS40" s="280">
        <f t="shared" si="24"/>
        <v>0</v>
      </c>
      <c r="BT40" s="277">
        <f t="shared" si="25"/>
        <v>0</v>
      </c>
      <c r="BU40" s="278">
        <v>0</v>
      </c>
      <c r="BV40" s="278">
        <v>0</v>
      </c>
      <c r="BW40" s="279">
        <f t="shared" si="6"/>
        <v>0</v>
      </c>
      <c r="BX40" s="11">
        <v>0</v>
      </c>
      <c r="BY40" s="278"/>
      <c r="BZ40" s="11"/>
      <c r="CA40" s="280">
        <f t="shared" si="26"/>
        <v>0</v>
      </c>
      <c r="CB40" s="277">
        <f t="shared" si="27"/>
        <v>0</v>
      </c>
      <c r="CC40" s="278">
        <v>0</v>
      </c>
      <c r="CD40" s="278">
        <v>0</v>
      </c>
      <c r="CE40" s="279">
        <f t="shared" si="7"/>
        <v>0</v>
      </c>
      <c r="CF40" s="11">
        <v>0</v>
      </c>
      <c r="CG40" s="278"/>
      <c r="CH40" s="11"/>
      <c r="CI40" s="280">
        <f t="shared" si="28"/>
        <v>0</v>
      </c>
      <c r="CJ40" s="277">
        <f t="shared" si="29"/>
        <v>0</v>
      </c>
      <c r="CK40" s="278">
        <v>0</v>
      </c>
      <c r="CL40" s="278">
        <v>0</v>
      </c>
      <c r="CM40" s="279">
        <f t="shared" si="8"/>
        <v>0</v>
      </c>
      <c r="CN40" s="11">
        <v>0</v>
      </c>
      <c r="CO40" s="278"/>
      <c r="CP40" s="277"/>
      <c r="CQ40" s="280">
        <f t="shared" si="30"/>
        <v>0</v>
      </c>
      <c r="CR40" s="277">
        <f t="shared" si="31"/>
        <v>0</v>
      </c>
      <c r="CS40" s="278">
        <v>0</v>
      </c>
      <c r="CT40" s="278">
        <v>0</v>
      </c>
      <c r="CU40" s="279">
        <f t="shared" si="9"/>
        <v>0</v>
      </c>
      <c r="CV40" s="11">
        <v>0</v>
      </c>
      <c r="CW40" s="278"/>
      <c r="CX40" s="277"/>
      <c r="CY40" s="280">
        <f t="shared" si="32"/>
        <v>0</v>
      </c>
      <c r="CZ40" s="277">
        <f t="shared" si="33"/>
        <v>0</v>
      </c>
    </row>
    <row r="41" spans="1:104" ht="17.25" customHeight="1">
      <c r="A41" s="28" t="s">
        <v>618</v>
      </c>
      <c r="B41" s="382"/>
      <c r="C41" s="27"/>
      <c r="D41" s="28" t="str">
        <f>_xlfn.XLOOKUP(A41,'ABC-XYZ분석 (2)'!C:C,'ABC-XYZ분석 (2)'!I:I)</f>
        <v>사계절</v>
      </c>
      <c r="E41" s="28" t="str">
        <f>_xlfn.XLOOKUP(A41,'ABC-XYZ분석 (2)'!C:C,'ABC-XYZ분석 (2)'!AC:AC)</f>
        <v>A</v>
      </c>
      <c r="F41" s="3" t="str">
        <f>_xlfn.XLOOKUP(A41,'ABC-XYZ분석 (2)'!C:C,'ABC-XYZ분석 (2)'!AG:AG)</f>
        <v>Y</v>
      </c>
      <c r="G41" s="14">
        <f>SUMIF(재고!C:C,PSI_메인!A41,재고!I:I)</f>
        <v>0</v>
      </c>
      <c r="H41" s="277">
        <v>498</v>
      </c>
      <c r="I41" s="278">
        <v>0</v>
      </c>
      <c r="J41" s="278">
        <v>0</v>
      </c>
      <c r="K41" s="279">
        <v>200</v>
      </c>
      <c r="L41" s="11">
        <v>0</v>
      </c>
      <c r="M41" s="9">
        <f>SUMIFS(입항스케줄!J:J,입항스케줄!C:C,PSI_메인!A41,입항스케줄!U:U,"2601")</f>
        <v>0</v>
      </c>
      <c r="N41" s="11">
        <f>SUMIFS(입항스케줄!J:J,입항스케줄!C:C,PSI_메인!A41,입항스케줄!V:V,"2601")</f>
        <v>0</v>
      </c>
      <c r="O41" s="280">
        <f t="shared" si="10"/>
        <v>-200</v>
      </c>
      <c r="P41" s="277">
        <f t="shared" si="11"/>
        <v>0</v>
      </c>
      <c r="Q41" s="278">
        <v>0</v>
      </c>
      <c r="R41" s="278">
        <v>0</v>
      </c>
      <c r="S41" s="10">
        <v>0</v>
      </c>
      <c r="T41" s="11">
        <v>0</v>
      </c>
      <c r="U41" s="9">
        <f>SUMIFS(입항스케줄!J:J,입항스케줄!C:C,PSI_메인!A41,입항스케줄!U:U,"2602")</f>
        <v>0</v>
      </c>
      <c r="V41" s="11">
        <f>SUMIFS(입항스케줄!J:J,입항스케줄!C:C,PSI_메인!A41,입항스케줄!V:V,"2602")</f>
        <v>0</v>
      </c>
      <c r="W41" s="280">
        <f t="shared" si="12"/>
        <v>0</v>
      </c>
      <c r="X41" s="277">
        <f t="shared" si="13"/>
        <v>0</v>
      </c>
      <c r="Y41" s="278">
        <v>0</v>
      </c>
      <c r="Z41" s="278">
        <v>0</v>
      </c>
      <c r="AA41" s="279">
        <f t="shared" si="0"/>
        <v>0</v>
      </c>
      <c r="AB41" s="11">
        <v>0</v>
      </c>
      <c r="AC41" s="9">
        <f>SUMIFS(입항스케줄!J:J,입항스케줄!C:C,PSI_메인!A41,입항스케줄!U:U,"2603")</f>
        <v>0</v>
      </c>
      <c r="AD41" s="11">
        <f>SUMIFS(입항스케줄!J:J,입항스케줄!C:C,PSI_메인!A41,입항스케줄!V:V,"2603")</f>
        <v>0</v>
      </c>
      <c r="AE41" s="280">
        <f t="shared" si="14"/>
        <v>0</v>
      </c>
      <c r="AF41" s="277">
        <f t="shared" si="15"/>
        <v>0</v>
      </c>
      <c r="AG41" s="278">
        <v>0</v>
      </c>
      <c r="AH41" s="278">
        <v>0</v>
      </c>
      <c r="AI41" s="279">
        <f t="shared" si="1"/>
        <v>0</v>
      </c>
      <c r="AJ41" s="11">
        <v>0</v>
      </c>
      <c r="AK41" s="9">
        <f>SUMIFS(입항스케줄!J:J,입항스케줄!C:C,PSI_메인!A41,입항스케줄!U:U,"2604")</f>
        <v>0</v>
      </c>
      <c r="AL41" s="11">
        <f>SUMIFS(입항스케줄!J:J,입항스케줄!C:C,PSI_메인!A41,입항스케줄!V:V,"2604")</f>
        <v>0</v>
      </c>
      <c r="AM41" s="280">
        <f t="shared" si="16"/>
        <v>0</v>
      </c>
      <c r="AN41" s="277">
        <f t="shared" si="17"/>
        <v>0</v>
      </c>
      <c r="AO41" s="278">
        <v>0</v>
      </c>
      <c r="AP41" s="278">
        <v>0</v>
      </c>
      <c r="AQ41" s="279">
        <f t="shared" si="2"/>
        <v>0</v>
      </c>
      <c r="AR41" s="11">
        <v>0</v>
      </c>
      <c r="AS41" s="9"/>
      <c r="AT41" s="277"/>
      <c r="AU41" s="280">
        <f t="shared" si="18"/>
        <v>0</v>
      </c>
      <c r="AV41" s="277">
        <f t="shared" si="19"/>
        <v>0</v>
      </c>
      <c r="AW41" s="278">
        <v>0</v>
      </c>
      <c r="AX41" s="278">
        <v>0</v>
      </c>
      <c r="AY41" s="279">
        <f t="shared" si="3"/>
        <v>0</v>
      </c>
      <c r="AZ41" s="11">
        <v>0</v>
      </c>
      <c r="BA41" s="9"/>
      <c r="BB41" s="11"/>
      <c r="BC41" s="280">
        <f t="shared" si="20"/>
        <v>0</v>
      </c>
      <c r="BD41" s="277">
        <f t="shared" si="21"/>
        <v>0</v>
      </c>
      <c r="BE41" s="278">
        <v>0</v>
      </c>
      <c r="BF41" s="278">
        <v>0</v>
      </c>
      <c r="BG41" s="279">
        <f t="shared" si="4"/>
        <v>0</v>
      </c>
      <c r="BH41" s="11">
        <v>0</v>
      </c>
      <c r="BI41" s="278"/>
      <c r="BJ41" s="11"/>
      <c r="BK41" s="280">
        <f t="shared" si="22"/>
        <v>0</v>
      </c>
      <c r="BL41" s="277">
        <f t="shared" si="23"/>
        <v>0</v>
      </c>
      <c r="BM41" s="278">
        <v>0</v>
      </c>
      <c r="BN41" s="278">
        <v>0</v>
      </c>
      <c r="BO41" s="279">
        <f t="shared" si="5"/>
        <v>0</v>
      </c>
      <c r="BP41" s="11">
        <v>0</v>
      </c>
      <c r="BQ41" s="278"/>
      <c r="BR41" s="11"/>
      <c r="BS41" s="280">
        <f t="shared" si="24"/>
        <v>0</v>
      </c>
      <c r="BT41" s="277">
        <f t="shared" si="25"/>
        <v>0</v>
      </c>
      <c r="BU41" s="278">
        <v>0</v>
      </c>
      <c r="BV41" s="278">
        <v>0</v>
      </c>
      <c r="BW41" s="279">
        <f t="shared" si="6"/>
        <v>0</v>
      </c>
      <c r="BX41" s="11">
        <v>0</v>
      </c>
      <c r="BY41" s="278"/>
      <c r="BZ41" s="11"/>
      <c r="CA41" s="280">
        <f t="shared" si="26"/>
        <v>0</v>
      </c>
      <c r="CB41" s="277">
        <f t="shared" si="27"/>
        <v>0</v>
      </c>
      <c r="CC41" s="278">
        <v>0</v>
      </c>
      <c r="CD41" s="278">
        <v>0</v>
      </c>
      <c r="CE41" s="279">
        <f t="shared" si="7"/>
        <v>0</v>
      </c>
      <c r="CF41" s="11">
        <v>0</v>
      </c>
      <c r="CG41" s="278"/>
      <c r="CH41" s="11"/>
      <c r="CI41" s="280">
        <f t="shared" si="28"/>
        <v>0</v>
      </c>
      <c r="CJ41" s="277">
        <f t="shared" si="29"/>
        <v>0</v>
      </c>
      <c r="CK41" s="278">
        <v>0</v>
      </c>
      <c r="CL41" s="278">
        <v>0</v>
      </c>
      <c r="CM41" s="279">
        <f t="shared" si="8"/>
        <v>0</v>
      </c>
      <c r="CN41" s="11">
        <v>0</v>
      </c>
      <c r="CO41" s="278"/>
      <c r="CP41" s="277"/>
      <c r="CQ41" s="280">
        <f t="shared" si="30"/>
        <v>0</v>
      </c>
      <c r="CR41" s="277">
        <f t="shared" si="31"/>
        <v>0</v>
      </c>
      <c r="CS41" s="278">
        <v>0</v>
      </c>
      <c r="CT41" s="278">
        <v>0</v>
      </c>
      <c r="CU41" s="279">
        <f t="shared" si="9"/>
        <v>0</v>
      </c>
      <c r="CV41" s="11">
        <v>0</v>
      </c>
      <c r="CW41" s="278"/>
      <c r="CX41" s="277"/>
      <c r="CY41" s="280">
        <f t="shared" si="32"/>
        <v>0</v>
      </c>
      <c r="CZ41" s="277">
        <f t="shared" si="33"/>
        <v>0</v>
      </c>
    </row>
    <row r="42" spans="1:104" ht="17.25" customHeight="1">
      <c r="A42" s="28" t="s">
        <v>619</v>
      </c>
      <c r="B42" s="382"/>
      <c r="C42" s="27"/>
      <c r="D42" s="28" t="str">
        <f>_xlfn.XLOOKUP(A42,'ABC-XYZ분석 (2)'!C:C,'ABC-XYZ분석 (2)'!I:I)</f>
        <v>사계절</v>
      </c>
      <c r="E42" s="28" t="str">
        <f>_xlfn.XLOOKUP(A42,'ABC-XYZ분석 (2)'!C:C,'ABC-XYZ분석 (2)'!AC:AC)</f>
        <v>A</v>
      </c>
      <c r="F42" s="3" t="str">
        <f>_xlfn.XLOOKUP(A42,'ABC-XYZ분석 (2)'!C:C,'ABC-XYZ분석 (2)'!AG:AG)</f>
        <v>Y</v>
      </c>
      <c r="G42" s="14">
        <f>SUMIF(재고!C:C,PSI_메인!A42,재고!I:I)</f>
        <v>0</v>
      </c>
      <c r="H42" s="277">
        <v>1015</v>
      </c>
      <c r="I42" s="278">
        <v>0</v>
      </c>
      <c r="J42" s="278">
        <v>0</v>
      </c>
      <c r="K42" s="279">
        <v>250</v>
      </c>
      <c r="L42" s="11">
        <v>0</v>
      </c>
      <c r="M42" s="9">
        <f>SUMIFS(입항스케줄!J:J,입항스케줄!C:C,PSI_메인!A42,입항스케줄!U:U,"2601")</f>
        <v>0</v>
      </c>
      <c r="N42" s="11">
        <f>SUMIFS(입항스케줄!J:J,입항스케줄!C:C,PSI_메인!A42,입항스케줄!V:V,"2601")</f>
        <v>0</v>
      </c>
      <c r="O42" s="280">
        <f t="shared" si="10"/>
        <v>-250</v>
      </c>
      <c r="P42" s="277">
        <f t="shared" si="11"/>
        <v>0</v>
      </c>
      <c r="Q42" s="278">
        <v>0</v>
      </c>
      <c r="R42" s="278">
        <v>0</v>
      </c>
      <c r="S42" s="10">
        <v>400</v>
      </c>
      <c r="T42" s="11">
        <v>0</v>
      </c>
      <c r="U42" s="9">
        <f>SUMIFS(입항스케줄!J:J,입항스케줄!C:C,PSI_메인!A42,입항스케줄!U:U,"2602")</f>
        <v>0</v>
      </c>
      <c r="V42" s="11">
        <f>SUMIFS(입항스케줄!J:J,입항스케줄!C:C,PSI_메인!A42,입항스케줄!V:V,"2602")</f>
        <v>0</v>
      </c>
      <c r="W42" s="280">
        <f t="shared" si="12"/>
        <v>-400</v>
      </c>
      <c r="X42" s="277">
        <f t="shared" si="13"/>
        <v>0</v>
      </c>
      <c r="Y42" s="278">
        <v>0</v>
      </c>
      <c r="Z42" s="278">
        <v>0</v>
      </c>
      <c r="AA42" s="279">
        <f t="shared" si="0"/>
        <v>0</v>
      </c>
      <c r="AB42" s="11">
        <v>0</v>
      </c>
      <c r="AC42" s="9">
        <f>SUMIFS(입항스케줄!J:J,입항스케줄!C:C,PSI_메인!A42,입항스케줄!U:U,"2603")</f>
        <v>0</v>
      </c>
      <c r="AD42" s="11">
        <f>SUMIFS(입항스케줄!J:J,입항스케줄!C:C,PSI_메인!A42,입항스케줄!V:V,"2603")</f>
        <v>0</v>
      </c>
      <c r="AE42" s="280">
        <f t="shared" si="14"/>
        <v>0</v>
      </c>
      <c r="AF42" s="277">
        <f t="shared" si="15"/>
        <v>0</v>
      </c>
      <c r="AG42" s="278">
        <v>0</v>
      </c>
      <c r="AH42" s="278">
        <v>0</v>
      </c>
      <c r="AI42" s="279">
        <f t="shared" si="1"/>
        <v>0</v>
      </c>
      <c r="AJ42" s="11">
        <v>0</v>
      </c>
      <c r="AK42" s="9">
        <f>SUMIFS(입항스케줄!J:J,입항스케줄!C:C,PSI_메인!A42,입항스케줄!U:U,"2604")</f>
        <v>0</v>
      </c>
      <c r="AL42" s="11">
        <f>SUMIFS(입항스케줄!J:J,입항스케줄!C:C,PSI_메인!A42,입항스케줄!V:V,"2604")</f>
        <v>0</v>
      </c>
      <c r="AM42" s="280">
        <f t="shared" si="16"/>
        <v>0</v>
      </c>
      <c r="AN42" s="277">
        <f t="shared" si="17"/>
        <v>0</v>
      </c>
      <c r="AO42" s="278">
        <v>0</v>
      </c>
      <c r="AP42" s="278">
        <v>0</v>
      </c>
      <c r="AQ42" s="279">
        <f t="shared" si="2"/>
        <v>0</v>
      </c>
      <c r="AR42" s="11">
        <v>0</v>
      </c>
      <c r="AS42" s="9"/>
      <c r="AT42" s="277"/>
      <c r="AU42" s="280">
        <f t="shared" si="18"/>
        <v>0</v>
      </c>
      <c r="AV42" s="277">
        <f t="shared" si="19"/>
        <v>0</v>
      </c>
      <c r="AW42" s="278">
        <v>0</v>
      </c>
      <c r="AX42" s="278">
        <v>0</v>
      </c>
      <c r="AY42" s="279">
        <f t="shared" si="3"/>
        <v>0</v>
      </c>
      <c r="AZ42" s="11">
        <v>0</v>
      </c>
      <c r="BA42" s="9"/>
      <c r="BB42" s="11"/>
      <c r="BC42" s="280">
        <f t="shared" si="20"/>
        <v>0</v>
      </c>
      <c r="BD42" s="277">
        <f t="shared" si="21"/>
        <v>0</v>
      </c>
      <c r="BE42" s="278">
        <v>0</v>
      </c>
      <c r="BF42" s="278">
        <v>0</v>
      </c>
      <c r="BG42" s="279">
        <f t="shared" si="4"/>
        <v>0</v>
      </c>
      <c r="BH42" s="11">
        <v>0</v>
      </c>
      <c r="BI42" s="278"/>
      <c r="BJ42" s="11"/>
      <c r="BK42" s="280">
        <f t="shared" si="22"/>
        <v>0</v>
      </c>
      <c r="BL42" s="277">
        <f t="shared" si="23"/>
        <v>0</v>
      </c>
      <c r="BM42" s="278">
        <v>0</v>
      </c>
      <c r="BN42" s="278">
        <v>0</v>
      </c>
      <c r="BO42" s="279">
        <f t="shared" si="5"/>
        <v>0</v>
      </c>
      <c r="BP42" s="11">
        <v>0</v>
      </c>
      <c r="BQ42" s="278"/>
      <c r="BR42" s="11"/>
      <c r="BS42" s="280">
        <f t="shared" si="24"/>
        <v>0</v>
      </c>
      <c r="BT42" s="277">
        <f t="shared" si="25"/>
        <v>0</v>
      </c>
      <c r="BU42" s="278">
        <v>0</v>
      </c>
      <c r="BV42" s="278">
        <v>0</v>
      </c>
      <c r="BW42" s="279">
        <f t="shared" si="6"/>
        <v>0</v>
      </c>
      <c r="BX42" s="11">
        <v>0</v>
      </c>
      <c r="BY42" s="278"/>
      <c r="BZ42" s="11"/>
      <c r="CA42" s="280">
        <f t="shared" si="26"/>
        <v>0</v>
      </c>
      <c r="CB42" s="277">
        <f t="shared" si="27"/>
        <v>0</v>
      </c>
      <c r="CC42" s="278">
        <v>0</v>
      </c>
      <c r="CD42" s="278">
        <v>0</v>
      </c>
      <c r="CE42" s="279">
        <f t="shared" si="7"/>
        <v>0</v>
      </c>
      <c r="CF42" s="11">
        <v>0</v>
      </c>
      <c r="CG42" s="278"/>
      <c r="CH42" s="11"/>
      <c r="CI42" s="280">
        <f t="shared" si="28"/>
        <v>0</v>
      </c>
      <c r="CJ42" s="277">
        <f t="shared" si="29"/>
        <v>0</v>
      </c>
      <c r="CK42" s="278">
        <v>0</v>
      </c>
      <c r="CL42" s="278">
        <v>0</v>
      </c>
      <c r="CM42" s="279">
        <f t="shared" si="8"/>
        <v>0</v>
      </c>
      <c r="CN42" s="11">
        <v>0</v>
      </c>
      <c r="CO42" s="278"/>
      <c r="CP42" s="277"/>
      <c r="CQ42" s="280">
        <f t="shared" si="30"/>
        <v>0</v>
      </c>
      <c r="CR42" s="277">
        <f t="shared" si="31"/>
        <v>0</v>
      </c>
      <c r="CS42" s="278">
        <v>0</v>
      </c>
      <c r="CT42" s="278">
        <v>0</v>
      </c>
      <c r="CU42" s="279">
        <f t="shared" si="9"/>
        <v>0</v>
      </c>
      <c r="CV42" s="11">
        <v>0</v>
      </c>
      <c r="CW42" s="278"/>
      <c r="CX42" s="277"/>
      <c r="CY42" s="280">
        <f t="shared" si="32"/>
        <v>0</v>
      </c>
      <c r="CZ42" s="277">
        <f t="shared" si="33"/>
        <v>0</v>
      </c>
    </row>
    <row r="43" spans="1:104" ht="17.25" customHeight="1">
      <c r="A43" s="28" t="s">
        <v>620</v>
      </c>
      <c r="B43" s="382"/>
      <c r="C43" s="27"/>
      <c r="D43" s="28" t="str">
        <f>_xlfn.XLOOKUP(A43,'ABC-XYZ분석 (2)'!C:C,'ABC-XYZ분석 (2)'!I:I)</f>
        <v>사계절</v>
      </c>
      <c r="E43" s="28" t="str">
        <f>_xlfn.XLOOKUP(A43,'ABC-XYZ분석 (2)'!C:C,'ABC-XYZ분석 (2)'!AC:AC)</f>
        <v>A</v>
      </c>
      <c r="F43" s="3" t="str">
        <f>_xlfn.XLOOKUP(A43,'ABC-XYZ분석 (2)'!C:C,'ABC-XYZ분석 (2)'!AG:AG)</f>
        <v>Y</v>
      </c>
      <c r="G43" s="14">
        <f>SUMIF(재고!C:C,PSI_메인!A43,재고!I:I)</f>
        <v>608</v>
      </c>
      <c r="H43" s="277">
        <v>596</v>
      </c>
      <c r="I43" s="278">
        <v>0</v>
      </c>
      <c r="J43" s="278">
        <v>0</v>
      </c>
      <c r="K43" s="279">
        <v>200</v>
      </c>
      <c r="L43" s="11">
        <v>0</v>
      </c>
      <c r="M43" s="9">
        <f>SUMIFS(입항스케줄!J:J,입항스케줄!C:C,PSI_메인!A43,입항스케줄!U:U,"2601")</f>
        <v>0</v>
      </c>
      <c r="N43" s="11">
        <f>SUMIFS(입항스케줄!J:J,입항스케줄!C:C,PSI_메인!A43,입항스케줄!V:V,"2601")</f>
        <v>0</v>
      </c>
      <c r="O43" s="280">
        <f t="shared" si="10"/>
        <v>408</v>
      </c>
      <c r="P43" s="277">
        <f t="shared" si="11"/>
        <v>608</v>
      </c>
      <c r="Q43" s="278">
        <v>0</v>
      </c>
      <c r="R43" s="278">
        <v>0</v>
      </c>
      <c r="S43" s="10">
        <v>100</v>
      </c>
      <c r="T43" s="11">
        <v>0</v>
      </c>
      <c r="U43" s="9">
        <f>SUMIFS(입항스케줄!J:J,입항스케줄!C:C,PSI_메인!A43,입항스케줄!U:U,"2602")</f>
        <v>0</v>
      </c>
      <c r="V43" s="11">
        <f>SUMIFS(입항스케줄!J:J,입항스케줄!C:C,PSI_메인!A43,입항스케줄!V:V,"2602")</f>
        <v>0</v>
      </c>
      <c r="W43" s="280">
        <f t="shared" si="12"/>
        <v>508</v>
      </c>
      <c r="X43" s="277">
        <f t="shared" si="13"/>
        <v>608</v>
      </c>
      <c r="Y43" s="278">
        <v>0</v>
      </c>
      <c r="Z43" s="278">
        <v>0</v>
      </c>
      <c r="AA43" s="279">
        <f t="shared" si="0"/>
        <v>0</v>
      </c>
      <c r="AB43" s="11">
        <v>0</v>
      </c>
      <c r="AC43" s="9">
        <f>SUMIFS(입항스케줄!J:J,입항스케줄!C:C,PSI_메인!A43,입항스케줄!U:U,"2603")</f>
        <v>0</v>
      </c>
      <c r="AD43" s="11">
        <f>SUMIFS(입항스케줄!J:J,입항스케줄!C:C,PSI_메인!A43,입항스케줄!V:V,"2603")</f>
        <v>0</v>
      </c>
      <c r="AE43" s="280">
        <f t="shared" si="14"/>
        <v>608</v>
      </c>
      <c r="AF43" s="277">
        <f t="shared" si="15"/>
        <v>608</v>
      </c>
      <c r="AG43" s="278">
        <v>0</v>
      </c>
      <c r="AH43" s="278">
        <v>0</v>
      </c>
      <c r="AI43" s="279">
        <f t="shared" si="1"/>
        <v>0</v>
      </c>
      <c r="AJ43" s="11">
        <v>0</v>
      </c>
      <c r="AK43" s="9">
        <f>SUMIFS(입항스케줄!J:J,입항스케줄!C:C,PSI_메인!A43,입항스케줄!U:U,"2604")</f>
        <v>0</v>
      </c>
      <c r="AL43" s="11">
        <f>SUMIFS(입항스케줄!J:J,입항스케줄!C:C,PSI_메인!A43,입항스케줄!V:V,"2604")</f>
        <v>0</v>
      </c>
      <c r="AM43" s="280">
        <f t="shared" si="16"/>
        <v>608</v>
      </c>
      <c r="AN43" s="277">
        <f t="shared" si="17"/>
        <v>608</v>
      </c>
      <c r="AO43" s="278">
        <v>0</v>
      </c>
      <c r="AP43" s="278">
        <v>0</v>
      </c>
      <c r="AQ43" s="279">
        <f t="shared" si="2"/>
        <v>0</v>
      </c>
      <c r="AR43" s="11">
        <v>0</v>
      </c>
      <c r="AS43" s="9"/>
      <c r="AT43" s="277"/>
      <c r="AU43" s="280">
        <f t="shared" si="18"/>
        <v>608</v>
      </c>
      <c r="AV43" s="277">
        <f t="shared" si="19"/>
        <v>608</v>
      </c>
      <c r="AW43" s="278">
        <v>0</v>
      </c>
      <c r="AX43" s="278">
        <v>0</v>
      </c>
      <c r="AY43" s="279">
        <f t="shared" si="3"/>
        <v>0</v>
      </c>
      <c r="AZ43" s="11">
        <v>0</v>
      </c>
      <c r="BA43" s="9"/>
      <c r="BB43" s="11"/>
      <c r="BC43" s="280">
        <f t="shared" si="20"/>
        <v>608</v>
      </c>
      <c r="BD43" s="277">
        <f t="shared" si="21"/>
        <v>608</v>
      </c>
      <c r="BE43" s="278">
        <v>0</v>
      </c>
      <c r="BF43" s="278">
        <v>0</v>
      </c>
      <c r="BG43" s="279">
        <f t="shared" si="4"/>
        <v>0</v>
      </c>
      <c r="BH43" s="11">
        <v>0</v>
      </c>
      <c r="BI43" s="278"/>
      <c r="BJ43" s="11"/>
      <c r="BK43" s="280">
        <f t="shared" si="22"/>
        <v>608</v>
      </c>
      <c r="BL43" s="277">
        <f t="shared" si="23"/>
        <v>608</v>
      </c>
      <c r="BM43" s="278">
        <v>0</v>
      </c>
      <c r="BN43" s="278">
        <v>0</v>
      </c>
      <c r="BO43" s="279">
        <f t="shared" si="5"/>
        <v>0</v>
      </c>
      <c r="BP43" s="11">
        <v>0</v>
      </c>
      <c r="BQ43" s="278"/>
      <c r="BR43" s="11"/>
      <c r="BS43" s="280">
        <f t="shared" si="24"/>
        <v>608</v>
      </c>
      <c r="BT43" s="277">
        <f t="shared" si="25"/>
        <v>608</v>
      </c>
      <c r="BU43" s="278">
        <v>0</v>
      </c>
      <c r="BV43" s="278">
        <v>0</v>
      </c>
      <c r="BW43" s="279">
        <f t="shared" si="6"/>
        <v>0</v>
      </c>
      <c r="BX43" s="11">
        <v>0</v>
      </c>
      <c r="BY43" s="278"/>
      <c r="BZ43" s="11"/>
      <c r="CA43" s="280">
        <f t="shared" si="26"/>
        <v>608</v>
      </c>
      <c r="CB43" s="277">
        <f t="shared" si="27"/>
        <v>608</v>
      </c>
      <c r="CC43" s="278">
        <v>0</v>
      </c>
      <c r="CD43" s="278">
        <v>0</v>
      </c>
      <c r="CE43" s="279">
        <f t="shared" si="7"/>
        <v>0</v>
      </c>
      <c r="CF43" s="11">
        <v>0</v>
      </c>
      <c r="CG43" s="278"/>
      <c r="CH43" s="11"/>
      <c r="CI43" s="280">
        <f t="shared" si="28"/>
        <v>608</v>
      </c>
      <c r="CJ43" s="277">
        <f t="shared" si="29"/>
        <v>608</v>
      </c>
      <c r="CK43" s="278">
        <v>0</v>
      </c>
      <c r="CL43" s="278">
        <v>0</v>
      </c>
      <c r="CM43" s="279">
        <f t="shared" si="8"/>
        <v>0</v>
      </c>
      <c r="CN43" s="11">
        <v>0</v>
      </c>
      <c r="CO43" s="278"/>
      <c r="CP43" s="277"/>
      <c r="CQ43" s="280">
        <f t="shared" si="30"/>
        <v>608</v>
      </c>
      <c r="CR43" s="277">
        <f t="shared" si="31"/>
        <v>608</v>
      </c>
      <c r="CS43" s="278">
        <v>0</v>
      </c>
      <c r="CT43" s="278">
        <v>0</v>
      </c>
      <c r="CU43" s="279">
        <f t="shared" si="9"/>
        <v>0</v>
      </c>
      <c r="CV43" s="11">
        <v>0</v>
      </c>
      <c r="CW43" s="278"/>
      <c r="CX43" s="277"/>
      <c r="CY43" s="280">
        <f t="shared" si="32"/>
        <v>608</v>
      </c>
      <c r="CZ43" s="277">
        <f t="shared" si="33"/>
        <v>608</v>
      </c>
    </row>
    <row r="44" spans="1:104" ht="17.25" customHeight="1">
      <c r="A44" s="28" t="s">
        <v>621</v>
      </c>
      <c r="B44" s="382"/>
      <c r="C44" s="27"/>
      <c r="D44" s="28" t="str">
        <f>_xlfn.XLOOKUP(A44,'ABC-XYZ분석 (2)'!C:C,'ABC-XYZ분석 (2)'!I:I)</f>
        <v>사계절</v>
      </c>
      <c r="E44" s="28" t="str">
        <f>_xlfn.XLOOKUP(A44,'ABC-XYZ분석 (2)'!C:C,'ABC-XYZ분석 (2)'!AC:AC)</f>
        <v>B</v>
      </c>
      <c r="F44" s="3" t="str">
        <f>_xlfn.XLOOKUP(A44,'ABC-XYZ분석 (2)'!C:C,'ABC-XYZ분석 (2)'!AG:AG)</f>
        <v>Y</v>
      </c>
      <c r="G44" s="14">
        <f>SUMIF(재고!C:C,PSI_메인!A44,재고!I:I)</f>
        <v>1180</v>
      </c>
      <c r="H44" s="277">
        <v>1210</v>
      </c>
      <c r="I44" s="278">
        <v>0</v>
      </c>
      <c r="J44" s="278">
        <v>0</v>
      </c>
      <c r="K44" s="279">
        <v>0</v>
      </c>
      <c r="L44" s="11">
        <v>0</v>
      </c>
      <c r="M44" s="9">
        <f>SUMIFS(입항스케줄!J:J,입항스케줄!C:C,PSI_메인!A44,입항스케줄!U:U,"2601")</f>
        <v>0</v>
      </c>
      <c r="N44" s="11">
        <f>SUMIFS(입항스케줄!J:J,입항스케줄!C:C,PSI_메인!A44,입항스케줄!V:V,"2601")</f>
        <v>0</v>
      </c>
      <c r="O44" s="280">
        <f t="shared" si="10"/>
        <v>1180</v>
      </c>
      <c r="P44" s="277">
        <f t="shared" si="11"/>
        <v>1180</v>
      </c>
      <c r="Q44" s="278">
        <v>0</v>
      </c>
      <c r="R44" s="278">
        <v>0</v>
      </c>
      <c r="S44" s="10">
        <v>0</v>
      </c>
      <c r="T44" s="11">
        <v>0</v>
      </c>
      <c r="U44" s="9">
        <f>SUMIFS(입항스케줄!J:J,입항스케줄!C:C,PSI_메인!A44,입항스케줄!U:U,"2602")</f>
        <v>0</v>
      </c>
      <c r="V44" s="11">
        <f>SUMIFS(입항스케줄!J:J,입항스케줄!C:C,PSI_메인!A44,입항스케줄!V:V,"2602")</f>
        <v>0</v>
      </c>
      <c r="W44" s="280">
        <f t="shared" si="12"/>
        <v>1180</v>
      </c>
      <c r="X44" s="277">
        <f t="shared" si="13"/>
        <v>1180</v>
      </c>
      <c r="Y44" s="278">
        <v>0</v>
      </c>
      <c r="Z44" s="278">
        <v>0</v>
      </c>
      <c r="AA44" s="279">
        <f t="shared" si="0"/>
        <v>0</v>
      </c>
      <c r="AB44" s="11">
        <v>0</v>
      </c>
      <c r="AC44" s="9">
        <f>SUMIFS(입항스케줄!J:J,입항스케줄!C:C,PSI_메인!A44,입항스케줄!U:U,"2603")</f>
        <v>0</v>
      </c>
      <c r="AD44" s="11">
        <f>SUMIFS(입항스케줄!J:J,입항스케줄!C:C,PSI_메인!A44,입항스케줄!V:V,"2603")</f>
        <v>0</v>
      </c>
      <c r="AE44" s="280">
        <f t="shared" si="14"/>
        <v>1180</v>
      </c>
      <c r="AF44" s="277">
        <f t="shared" si="15"/>
        <v>1180</v>
      </c>
      <c r="AG44" s="278">
        <v>0</v>
      </c>
      <c r="AH44" s="278">
        <v>0</v>
      </c>
      <c r="AI44" s="279">
        <f t="shared" si="1"/>
        <v>0</v>
      </c>
      <c r="AJ44" s="11">
        <v>0</v>
      </c>
      <c r="AK44" s="9">
        <f>SUMIFS(입항스케줄!J:J,입항스케줄!C:C,PSI_메인!A44,입항스케줄!U:U,"2604")</f>
        <v>0</v>
      </c>
      <c r="AL44" s="11">
        <f>SUMIFS(입항스케줄!J:J,입항스케줄!C:C,PSI_메인!A44,입항스케줄!V:V,"2604")</f>
        <v>0</v>
      </c>
      <c r="AM44" s="280">
        <f t="shared" si="16"/>
        <v>1180</v>
      </c>
      <c r="AN44" s="277">
        <f t="shared" si="17"/>
        <v>1180</v>
      </c>
      <c r="AO44" s="278">
        <v>0</v>
      </c>
      <c r="AP44" s="278">
        <v>0</v>
      </c>
      <c r="AQ44" s="279">
        <f t="shared" si="2"/>
        <v>0</v>
      </c>
      <c r="AR44" s="11">
        <v>0</v>
      </c>
      <c r="AS44" s="9"/>
      <c r="AT44" s="277"/>
      <c r="AU44" s="280">
        <f t="shared" si="18"/>
        <v>1180</v>
      </c>
      <c r="AV44" s="277">
        <f t="shared" si="19"/>
        <v>1180</v>
      </c>
      <c r="AW44" s="278">
        <v>0</v>
      </c>
      <c r="AX44" s="278">
        <v>0</v>
      </c>
      <c r="AY44" s="279">
        <f t="shared" si="3"/>
        <v>0</v>
      </c>
      <c r="AZ44" s="11">
        <v>0</v>
      </c>
      <c r="BA44" s="9"/>
      <c r="BB44" s="11"/>
      <c r="BC44" s="280">
        <f t="shared" si="20"/>
        <v>1180</v>
      </c>
      <c r="BD44" s="277">
        <f t="shared" si="21"/>
        <v>1180</v>
      </c>
      <c r="BE44" s="278">
        <v>0</v>
      </c>
      <c r="BF44" s="278">
        <v>0</v>
      </c>
      <c r="BG44" s="279">
        <f t="shared" si="4"/>
        <v>0</v>
      </c>
      <c r="BH44" s="11">
        <v>0</v>
      </c>
      <c r="BI44" s="278"/>
      <c r="BJ44" s="11"/>
      <c r="BK44" s="280">
        <f t="shared" si="22"/>
        <v>1180</v>
      </c>
      <c r="BL44" s="277">
        <f t="shared" si="23"/>
        <v>1180</v>
      </c>
      <c r="BM44" s="278">
        <v>0</v>
      </c>
      <c r="BN44" s="278">
        <v>0</v>
      </c>
      <c r="BO44" s="279">
        <f t="shared" si="5"/>
        <v>0</v>
      </c>
      <c r="BP44" s="11">
        <v>0</v>
      </c>
      <c r="BQ44" s="278"/>
      <c r="BR44" s="11"/>
      <c r="BS44" s="280">
        <f t="shared" si="24"/>
        <v>1180</v>
      </c>
      <c r="BT44" s="277">
        <f t="shared" si="25"/>
        <v>1180</v>
      </c>
      <c r="BU44" s="278">
        <v>0</v>
      </c>
      <c r="BV44" s="278">
        <v>0</v>
      </c>
      <c r="BW44" s="279">
        <f t="shared" si="6"/>
        <v>0</v>
      </c>
      <c r="BX44" s="11">
        <v>0</v>
      </c>
      <c r="BY44" s="278"/>
      <c r="BZ44" s="11"/>
      <c r="CA44" s="280">
        <f t="shared" si="26"/>
        <v>1180</v>
      </c>
      <c r="CB44" s="277">
        <f t="shared" si="27"/>
        <v>1180</v>
      </c>
      <c r="CC44" s="278">
        <v>0</v>
      </c>
      <c r="CD44" s="278">
        <v>0</v>
      </c>
      <c r="CE44" s="279">
        <f t="shared" si="7"/>
        <v>0</v>
      </c>
      <c r="CF44" s="11">
        <v>0</v>
      </c>
      <c r="CG44" s="278"/>
      <c r="CH44" s="11"/>
      <c r="CI44" s="280">
        <f t="shared" si="28"/>
        <v>1180</v>
      </c>
      <c r="CJ44" s="277">
        <f t="shared" si="29"/>
        <v>1180</v>
      </c>
      <c r="CK44" s="278">
        <v>0</v>
      </c>
      <c r="CL44" s="278">
        <v>0</v>
      </c>
      <c r="CM44" s="279">
        <f t="shared" si="8"/>
        <v>0</v>
      </c>
      <c r="CN44" s="11">
        <v>0</v>
      </c>
      <c r="CO44" s="278"/>
      <c r="CP44" s="277"/>
      <c r="CQ44" s="280">
        <f t="shared" si="30"/>
        <v>1180</v>
      </c>
      <c r="CR44" s="277">
        <f t="shared" si="31"/>
        <v>1180</v>
      </c>
      <c r="CS44" s="278">
        <v>0</v>
      </c>
      <c r="CT44" s="278">
        <v>0</v>
      </c>
      <c r="CU44" s="279">
        <f t="shared" si="9"/>
        <v>0</v>
      </c>
      <c r="CV44" s="11">
        <v>0</v>
      </c>
      <c r="CW44" s="278"/>
      <c r="CX44" s="277"/>
      <c r="CY44" s="280">
        <f t="shared" si="32"/>
        <v>1180</v>
      </c>
      <c r="CZ44" s="277">
        <f t="shared" si="33"/>
        <v>1180</v>
      </c>
    </row>
    <row r="45" spans="1:104" ht="17.25" customHeight="1">
      <c r="A45" s="28" t="s">
        <v>622</v>
      </c>
      <c r="B45" s="382"/>
      <c r="C45" s="27"/>
      <c r="D45" s="28" t="str">
        <f>_xlfn.XLOOKUP(A45,'ABC-XYZ분석 (2)'!C:C,'ABC-XYZ분석 (2)'!I:I)</f>
        <v>여름</v>
      </c>
      <c r="E45" s="28" t="str">
        <f>_xlfn.XLOOKUP(A45,'ABC-XYZ분석 (2)'!C:C,'ABC-XYZ분석 (2)'!AC:AC)</f>
        <v>B</v>
      </c>
      <c r="F45" s="3" t="str">
        <f>_xlfn.XLOOKUP(A45,'ABC-XYZ분석 (2)'!C:C,'ABC-XYZ분석 (2)'!AG:AG)</f>
        <v>Z</v>
      </c>
      <c r="G45" s="14">
        <f>SUMIF(재고!C:C,PSI_메인!A45,재고!I:I)</f>
        <v>1643</v>
      </c>
      <c r="H45" s="277">
        <v>7435</v>
      </c>
      <c r="I45" s="278">
        <v>0</v>
      </c>
      <c r="J45" s="278">
        <v>0</v>
      </c>
      <c r="K45" s="279">
        <v>3052.5</v>
      </c>
      <c r="L45" s="11">
        <v>0</v>
      </c>
      <c r="M45" s="9">
        <f>SUMIFS(입항스케줄!J:J,입항스케줄!C:C,PSI_메인!A45,입항스케줄!U:U,"2601")</f>
        <v>0</v>
      </c>
      <c r="N45" s="11">
        <f>SUMIFS(입항스케줄!J:J,입항스케줄!C:C,PSI_메인!A45,입항스케줄!V:V,"2601")</f>
        <v>0</v>
      </c>
      <c r="O45" s="280">
        <f t="shared" si="10"/>
        <v>-1409.5</v>
      </c>
      <c r="P45" s="277">
        <f t="shared" si="11"/>
        <v>1643</v>
      </c>
      <c r="Q45" s="278">
        <v>0</v>
      </c>
      <c r="R45" s="278">
        <v>0</v>
      </c>
      <c r="S45" s="10">
        <v>900</v>
      </c>
      <c r="T45" s="11">
        <v>0</v>
      </c>
      <c r="U45" s="9">
        <f>SUMIFS(입항스케줄!J:J,입항스케줄!C:C,PSI_메인!A45,입항스케줄!U:U,"2602")</f>
        <v>0</v>
      </c>
      <c r="V45" s="11">
        <f>SUMIFS(입항스케줄!J:J,입항스케줄!C:C,PSI_메인!A45,입항스케줄!V:V,"2602")</f>
        <v>0</v>
      </c>
      <c r="W45" s="280">
        <f t="shared" si="12"/>
        <v>743</v>
      </c>
      <c r="X45" s="277">
        <f t="shared" si="13"/>
        <v>1643</v>
      </c>
      <c r="Y45" s="278">
        <v>0</v>
      </c>
      <c r="Z45" s="278">
        <v>0</v>
      </c>
      <c r="AA45" s="279">
        <f t="shared" si="0"/>
        <v>0</v>
      </c>
      <c r="AB45" s="11">
        <v>0</v>
      </c>
      <c r="AC45" s="9">
        <f>SUMIFS(입항스케줄!J:J,입항스케줄!C:C,PSI_메인!A45,입항스케줄!U:U,"2603")</f>
        <v>0</v>
      </c>
      <c r="AD45" s="11">
        <f>SUMIFS(입항스케줄!J:J,입항스케줄!C:C,PSI_메인!A45,입항스케줄!V:V,"2603")</f>
        <v>0</v>
      </c>
      <c r="AE45" s="280">
        <f t="shared" si="14"/>
        <v>1643</v>
      </c>
      <c r="AF45" s="277">
        <f t="shared" si="15"/>
        <v>1643</v>
      </c>
      <c r="AG45" s="278">
        <v>0</v>
      </c>
      <c r="AH45" s="278">
        <v>0</v>
      </c>
      <c r="AI45" s="279">
        <f t="shared" si="1"/>
        <v>0</v>
      </c>
      <c r="AJ45" s="11">
        <v>0</v>
      </c>
      <c r="AK45" s="9">
        <f>SUMIFS(입항스케줄!J:J,입항스케줄!C:C,PSI_메인!A45,입항스케줄!U:U,"2604")</f>
        <v>0</v>
      </c>
      <c r="AL45" s="11">
        <f>SUMIFS(입항스케줄!J:J,입항스케줄!C:C,PSI_메인!A45,입항스케줄!V:V,"2604")</f>
        <v>0</v>
      </c>
      <c r="AM45" s="280">
        <f t="shared" si="16"/>
        <v>1643</v>
      </c>
      <c r="AN45" s="277">
        <f t="shared" si="17"/>
        <v>1643</v>
      </c>
      <c r="AO45" s="278">
        <v>0</v>
      </c>
      <c r="AP45" s="278">
        <v>0</v>
      </c>
      <c r="AQ45" s="279">
        <f t="shared" si="2"/>
        <v>0</v>
      </c>
      <c r="AR45" s="11">
        <v>0</v>
      </c>
      <c r="AS45" s="9"/>
      <c r="AT45" s="277"/>
      <c r="AU45" s="280">
        <f t="shared" si="18"/>
        <v>1643</v>
      </c>
      <c r="AV45" s="277">
        <f t="shared" si="19"/>
        <v>1643</v>
      </c>
      <c r="AW45" s="278">
        <v>0</v>
      </c>
      <c r="AX45" s="278">
        <v>0</v>
      </c>
      <c r="AY45" s="279">
        <f t="shared" si="3"/>
        <v>0</v>
      </c>
      <c r="AZ45" s="11">
        <v>0</v>
      </c>
      <c r="BA45" s="9"/>
      <c r="BB45" s="11"/>
      <c r="BC45" s="280">
        <f t="shared" si="20"/>
        <v>1643</v>
      </c>
      <c r="BD45" s="277">
        <f t="shared" si="21"/>
        <v>1643</v>
      </c>
      <c r="BE45" s="278">
        <v>0</v>
      </c>
      <c r="BF45" s="278">
        <v>0</v>
      </c>
      <c r="BG45" s="279">
        <f t="shared" si="4"/>
        <v>0</v>
      </c>
      <c r="BH45" s="11">
        <v>0</v>
      </c>
      <c r="BI45" s="278"/>
      <c r="BJ45" s="11"/>
      <c r="BK45" s="280">
        <f t="shared" si="22"/>
        <v>1643</v>
      </c>
      <c r="BL45" s="277">
        <f t="shared" si="23"/>
        <v>1643</v>
      </c>
      <c r="BM45" s="278">
        <v>0</v>
      </c>
      <c r="BN45" s="278">
        <v>0</v>
      </c>
      <c r="BO45" s="279">
        <f t="shared" si="5"/>
        <v>0</v>
      </c>
      <c r="BP45" s="11">
        <v>0</v>
      </c>
      <c r="BQ45" s="278"/>
      <c r="BR45" s="11"/>
      <c r="BS45" s="280">
        <f t="shared" si="24"/>
        <v>1643</v>
      </c>
      <c r="BT45" s="277">
        <f t="shared" si="25"/>
        <v>1643</v>
      </c>
      <c r="BU45" s="278">
        <v>0</v>
      </c>
      <c r="BV45" s="278">
        <v>0</v>
      </c>
      <c r="BW45" s="279">
        <f t="shared" si="6"/>
        <v>0</v>
      </c>
      <c r="BX45" s="11">
        <v>0</v>
      </c>
      <c r="BY45" s="278"/>
      <c r="BZ45" s="11"/>
      <c r="CA45" s="280">
        <f t="shared" si="26"/>
        <v>1643</v>
      </c>
      <c r="CB45" s="277">
        <f t="shared" si="27"/>
        <v>1643</v>
      </c>
      <c r="CC45" s="278">
        <v>0</v>
      </c>
      <c r="CD45" s="278">
        <v>0</v>
      </c>
      <c r="CE45" s="279">
        <f t="shared" si="7"/>
        <v>0</v>
      </c>
      <c r="CF45" s="11">
        <v>0</v>
      </c>
      <c r="CG45" s="278"/>
      <c r="CH45" s="11"/>
      <c r="CI45" s="280">
        <f t="shared" si="28"/>
        <v>1643</v>
      </c>
      <c r="CJ45" s="277">
        <f t="shared" si="29"/>
        <v>1643</v>
      </c>
      <c r="CK45" s="278">
        <v>0</v>
      </c>
      <c r="CL45" s="278">
        <v>0</v>
      </c>
      <c r="CM45" s="279">
        <f t="shared" si="8"/>
        <v>0</v>
      </c>
      <c r="CN45" s="11">
        <v>0</v>
      </c>
      <c r="CO45" s="278"/>
      <c r="CP45" s="277"/>
      <c r="CQ45" s="280">
        <f t="shared" si="30"/>
        <v>1643</v>
      </c>
      <c r="CR45" s="277">
        <f t="shared" si="31"/>
        <v>1643</v>
      </c>
      <c r="CS45" s="278">
        <v>0</v>
      </c>
      <c r="CT45" s="278">
        <v>0</v>
      </c>
      <c r="CU45" s="279">
        <f t="shared" si="9"/>
        <v>0</v>
      </c>
      <c r="CV45" s="11">
        <v>0</v>
      </c>
      <c r="CW45" s="278"/>
      <c r="CX45" s="277"/>
      <c r="CY45" s="280">
        <f t="shared" si="32"/>
        <v>1643</v>
      </c>
      <c r="CZ45" s="277">
        <f t="shared" si="33"/>
        <v>1643</v>
      </c>
    </row>
    <row r="46" spans="1:104" ht="17.25" customHeight="1">
      <c r="A46" s="28" t="s">
        <v>623</v>
      </c>
      <c r="B46" s="382"/>
      <c r="C46" s="27"/>
      <c r="D46" s="28" t="str">
        <f>_xlfn.XLOOKUP(A46,'ABC-XYZ분석 (2)'!C:C,'ABC-XYZ분석 (2)'!I:I)</f>
        <v>사계절</v>
      </c>
      <c r="E46" s="28" t="str">
        <f>_xlfn.XLOOKUP(A46,'ABC-XYZ분석 (2)'!C:C,'ABC-XYZ분석 (2)'!AC:AC)</f>
        <v>B</v>
      </c>
      <c r="F46" s="3" t="str">
        <f>_xlfn.XLOOKUP(A46,'ABC-XYZ분석 (2)'!C:C,'ABC-XYZ분석 (2)'!AG:AG)</f>
        <v>Y</v>
      </c>
      <c r="G46" s="14">
        <f>SUMIF(재고!C:C,PSI_메인!A46,재고!I:I)</f>
        <v>0</v>
      </c>
      <c r="H46" s="277">
        <v>896</v>
      </c>
      <c r="I46" s="278">
        <v>0</v>
      </c>
      <c r="J46" s="278">
        <v>0</v>
      </c>
      <c r="K46" s="279">
        <v>600</v>
      </c>
      <c r="L46" s="11">
        <v>0</v>
      </c>
      <c r="M46" s="9">
        <f>SUMIFS(입항스케줄!J:J,입항스케줄!C:C,PSI_메인!A46,입항스케줄!U:U,"2601")</f>
        <v>0</v>
      </c>
      <c r="N46" s="11">
        <f>SUMIFS(입항스케줄!J:J,입항스케줄!C:C,PSI_메인!A46,입항스케줄!V:V,"2601")</f>
        <v>0</v>
      </c>
      <c r="O46" s="280">
        <f t="shared" si="10"/>
        <v>-600</v>
      </c>
      <c r="P46" s="277">
        <f t="shared" si="11"/>
        <v>0</v>
      </c>
      <c r="Q46" s="278">
        <v>0</v>
      </c>
      <c r="R46" s="278">
        <v>0</v>
      </c>
      <c r="S46" s="10">
        <v>0</v>
      </c>
      <c r="T46" s="11">
        <v>0</v>
      </c>
      <c r="U46" s="9">
        <f>SUMIFS(입항스케줄!J:J,입항스케줄!C:C,PSI_메인!A46,입항스케줄!U:U,"2602")</f>
        <v>120</v>
      </c>
      <c r="V46" s="11">
        <f>SUMIFS(입항스케줄!J:J,입항스케줄!C:C,PSI_메인!A46,입항스케줄!V:V,"2602")</f>
        <v>120</v>
      </c>
      <c r="W46" s="280">
        <f t="shared" si="12"/>
        <v>120</v>
      </c>
      <c r="X46" s="277">
        <f t="shared" si="13"/>
        <v>120</v>
      </c>
      <c r="Y46" s="278">
        <v>0</v>
      </c>
      <c r="Z46" s="278">
        <v>0</v>
      </c>
      <c r="AA46" s="279">
        <f t="shared" si="0"/>
        <v>0</v>
      </c>
      <c r="AB46" s="11">
        <v>0</v>
      </c>
      <c r="AC46" s="9">
        <f>SUMIFS(입항스케줄!J:J,입항스케줄!C:C,PSI_메인!A46,입항스케줄!U:U,"2603")</f>
        <v>63</v>
      </c>
      <c r="AD46" s="11">
        <f>SUMIFS(입항스케줄!J:J,입항스케줄!C:C,PSI_메인!A46,입항스케줄!V:V,"2603")</f>
        <v>63</v>
      </c>
      <c r="AE46" s="280">
        <f t="shared" si="14"/>
        <v>63</v>
      </c>
      <c r="AF46" s="277">
        <f t="shared" si="15"/>
        <v>63</v>
      </c>
      <c r="AG46" s="278">
        <v>0</v>
      </c>
      <c r="AH46" s="278">
        <v>0</v>
      </c>
      <c r="AI46" s="279">
        <f t="shared" si="1"/>
        <v>0</v>
      </c>
      <c r="AJ46" s="11">
        <v>0</v>
      </c>
      <c r="AK46" s="9">
        <f>SUMIFS(입항스케줄!J:J,입항스케줄!C:C,PSI_메인!A46,입항스케줄!U:U,"2604")</f>
        <v>0</v>
      </c>
      <c r="AL46" s="11">
        <f>SUMIFS(입항스케줄!J:J,입항스케줄!C:C,PSI_메인!A46,입항스케줄!V:V,"2604")</f>
        <v>0</v>
      </c>
      <c r="AM46" s="280">
        <f t="shared" si="16"/>
        <v>0</v>
      </c>
      <c r="AN46" s="277">
        <f t="shared" si="17"/>
        <v>0</v>
      </c>
      <c r="AO46" s="278">
        <v>0</v>
      </c>
      <c r="AP46" s="278">
        <v>0</v>
      </c>
      <c r="AQ46" s="279">
        <f t="shared" si="2"/>
        <v>0</v>
      </c>
      <c r="AR46" s="11">
        <v>0</v>
      </c>
      <c r="AS46" s="9"/>
      <c r="AT46" s="277"/>
      <c r="AU46" s="280">
        <f t="shared" si="18"/>
        <v>0</v>
      </c>
      <c r="AV46" s="277">
        <f t="shared" si="19"/>
        <v>0</v>
      </c>
      <c r="AW46" s="278">
        <v>0</v>
      </c>
      <c r="AX46" s="278">
        <v>0</v>
      </c>
      <c r="AY46" s="279">
        <f t="shared" si="3"/>
        <v>0</v>
      </c>
      <c r="AZ46" s="11">
        <v>0</v>
      </c>
      <c r="BA46" s="9"/>
      <c r="BB46" s="11"/>
      <c r="BC46" s="280">
        <f t="shared" si="20"/>
        <v>0</v>
      </c>
      <c r="BD46" s="277">
        <f t="shared" si="21"/>
        <v>0</v>
      </c>
      <c r="BE46" s="278">
        <v>0</v>
      </c>
      <c r="BF46" s="278">
        <v>0</v>
      </c>
      <c r="BG46" s="279">
        <f t="shared" si="4"/>
        <v>0</v>
      </c>
      <c r="BH46" s="11">
        <v>0</v>
      </c>
      <c r="BI46" s="278"/>
      <c r="BJ46" s="11"/>
      <c r="BK46" s="280">
        <f t="shared" si="22"/>
        <v>0</v>
      </c>
      <c r="BL46" s="277">
        <f t="shared" si="23"/>
        <v>0</v>
      </c>
      <c r="BM46" s="278">
        <v>0</v>
      </c>
      <c r="BN46" s="278">
        <v>0</v>
      </c>
      <c r="BO46" s="279">
        <f t="shared" si="5"/>
        <v>0</v>
      </c>
      <c r="BP46" s="11">
        <v>0</v>
      </c>
      <c r="BQ46" s="278"/>
      <c r="BR46" s="11"/>
      <c r="BS46" s="280">
        <f t="shared" si="24"/>
        <v>0</v>
      </c>
      <c r="BT46" s="277">
        <f t="shared" si="25"/>
        <v>0</v>
      </c>
      <c r="BU46" s="278">
        <v>0</v>
      </c>
      <c r="BV46" s="278">
        <v>0</v>
      </c>
      <c r="BW46" s="279">
        <f t="shared" si="6"/>
        <v>0</v>
      </c>
      <c r="BX46" s="11">
        <v>0</v>
      </c>
      <c r="BY46" s="278"/>
      <c r="BZ46" s="11"/>
      <c r="CA46" s="280">
        <f t="shared" si="26"/>
        <v>0</v>
      </c>
      <c r="CB46" s="277">
        <f t="shared" si="27"/>
        <v>0</v>
      </c>
      <c r="CC46" s="278">
        <v>0</v>
      </c>
      <c r="CD46" s="278">
        <v>0</v>
      </c>
      <c r="CE46" s="279">
        <f t="shared" si="7"/>
        <v>0</v>
      </c>
      <c r="CF46" s="11">
        <v>0</v>
      </c>
      <c r="CG46" s="278"/>
      <c r="CH46" s="11"/>
      <c r="CI46" s="280">
        <f t="shared" si="28"/>
        <v>0</v>
      </c>
      <c r="CJ46" s="277">
        <f t="shared" si="29"/>
        <v>0</v>
      </c>
      <c r="CK46" s="278">
        <v>0</v>
      </c>
      <c r="CL46" s="278">
        <v>0</v>
      </c>
      <c r="CM46" s="279">
        <f t="shared" si="8"/>
        <v>0</v>
      </c>
      <c r="CN46" s="11">
        <v>0</v>
      </c>
      <c r="CO46" s="278"/>
      <c r="CP46" s="277"/>
      <c r="CQ46" s="280">
        <f t="shared" si="30"/>
        <v>0</v>
      </c>
      <c r="CR46" s="277">
        <f t="shared" si="31"/>
        <v>0</v>
      </c>
      <c r="CS46" s="278">
        <v>0</v>
      </c>
      <c r="CT46" s="278">
        <v>0</v>
      </c>
      <c r="CU46" s="279">
        <f t="shared" si="9"/>
        <v>0</v>
      </c>
      <c r="CV46" s="11">
        <v>0</v>
      </c>
      <c r="CW46" s="278"/>
      <c r="CX46" s="277"/>
      <c r="CY46" s="280">
        <f t="shared" si="32"/>
        <v>0</v>
      </c>
      <c r="CZ46" s="277">
        <f t="shared" si="33"/>
        <v>0</v>
      </c>
    </row>
    <row r="47" spans="1:104" ht="17.25" customHeight="1">
      <c r="A47" s="28" t="s">
        <v>624</v>
      </c>
      <c r="B47" s="382"/>
      <c r="C47" s="27"/>
      <c r="D47" s="28" t="str">
        <f>_xlfn.XLOOKUP(A47,'ABC-XYZ분석 (2)'!C:C,'ABC-XYZ분석 (2)'!I:I)</f>
        <v>사계절</v>
      </c>
      <c r="E47" s="28" t="str">
        <f>_xlfn.XLOOKUP(A47,'ABC-XYZ분석 (2)'!C:C,'ABC-XYZ분석 (2)'!AC:AC)</f>
        <v>B</v>
      </c>
      <c r="F47" s="3" t="str">
        <f>_xlfn.XLOOKUP(A47,'ABC-XYZ분석 (2)'!C:C,'ABC-XYZ분석 (2)'!AG:AG)</f>
        <v>Y</v>
      </c>
      <c r="G47" s="14">
        <f>SUMIF(재고!C:C,PSI_메인!A47,재고!I:I)</f>
        <v>0</v>
      </c>
      <c r="H47" s="277">
        <v>208</v>
      </c>
      <c r="I47" s="278">
        <v>0</v>
      </c>
      <c r="J47" s="278">
        <v>0</v>
      </c>
      <c r="K47" s="279">
        <v>187.5</v>
      </c>
      <c r="L47" s="11">
        <v>0</v>
      </c>
      <c r="M47" s="9">
        <f>SUMIFS(입항스케줄!J:J,입항스케줄!C:C,PSI_메인!A47,입항스케줄!U:U,"2601")</f>
        <v>0</v>
      </c>
      <c r="N47" s="11">
        <f>SUMIFS(입항스케줄!J:J,입항스케줄!C:C,PSI_메인!A47,입항스케줄!V:V,"2601")</f>
        <v>0</v>
      </c>
      <c r="O47" s="280">
        <f t="shared" si="10"/>
        <v>-187.5</v>
      </c>
      <c r="P47" s="277">
        <f t="shared" si="11"/>
        <v>0</v>
      </c>
      <c r="Q47" s="278">
        <v>0</v>
      </c>
      <c r="R47" s="278">
        <v>0</v>
      </c>
      <c r="S47" s="10">
        <v>300</v>
      </c>
      <c r="T47" s="11">
        <v>0</v>
      </c>
      <c r="U47" s="9">
        <f>SUMIFS(입항스케줄!J:J,입항스케줄!C:C,PSI_메인!A47,입항스케줄!U:U,"2602")</f>
        <v>0</v>
      </c>
      <c r="V47" s="11">
        <f>SUMIFS(입항스케줄!J:J,입항스케줄!C:C,PSI_메인!A47,입항스케줄!V:V,"2602")</f>
        <v>0</v>
      </c>
      <c r="W47" s="280">
        <f t="shared" si="12"/>
        <v>-300</v>
      </c>
      <c r="X47" s="277">
        <f t="shared" si="13"/>
        <v>0</v>
      </c>
      <c r="Y47" s="278">
        <v>0</v>
      </c>
      <c r="Z47" s="278">
        <v>0</v>
      </c>
      <c r="AA47" s="279">
        <f t="shared" si="0"/>
        <v>0</v>
      </c>
      <c r="AB47" s="11">
        <v>0</v>
      </c>
      <c r="AC47" s="9">
        <f>SUMIFS(입항스케줄!J:J,입항스케줄!C:C,PSI_메인!A47,입항스케줄!U:U,"2603")</f>
        <v>0</v>
      </c>
      <c r="AD47" s="11">
        <f>SUMIFS(입항스케줄!J:J,입항스케줄!C:C,PSI_메인!A47,입항스케줄!V:V,"2603")</f>
        <v>0</v>
      </c>
      <c r="AE47" s="280">
        <f t="shared" si="14"/>
        <v>0</v>
      </c>
      <c r="AF47" s="277">
        <f t="shared" si="15"/>
        <v>0</v>
      </c>
      <c r="AG47" s="278">
        <v>0</v>
      </c>
      <c r="AH47" s="278">
        <v>0</v>
      </c>
      <c r="AI47" s="279">
        <f t="shared" si="1"/>
        <v>0</v>
      </c>
      <c r="AJ47" s="11">
        <v>0</v>
      </c>
      <c r="AK47" s="9">
        <f>SUMIFS(입항스케줄!J:J,입항스케줄!C:C,PSI_메인!A47,입항스케줄!U:U,"2604")</f>
        <v>0</v>
      </c>
      <c r="AL47" s="11">
        <f>SUMIFS(입항스케줄!J:J,입항스케줄!C:C,PSI_메인!A47,입항스케줄!V:V,"2604")</f>
        <v>0</v>
      </c>
      <c r="AM47" s="280">
        <f t="shared" si="16"/>
        <v>0</v>
      </c>
      <c r="AN47" s="277">
        <f t="shared" si="17"/>
        <v>0</v>
      </c>
      <c r="AO47" s="278">
        <v>0</v>
      </c>
      <c r="AP47" s="278">
        <v>0</v>
      </c>
      <c r="AQ47" s="279">
        <f t="shared" si="2"/>
        <v>0</v>
      </c>
      <c r="AR47" s="11">
        <v>0</v>
      </c>
      <c r="AS47" s="9"/>
      <c r="AT47" s="277"/>
      <c r="AU47" s="280">
        <f t="shared" si="18"/>
        <v>0</v>
      </c>
      <c r="AV47" s="277">
        <f t="shared" si="19"/>
        <v>0</v>
      </c>
      <c r="AW47" s="278">
        <v>0</v>
      </c>
      <c r="AX47" s="278">
        <v>0</v>
      </c>
      <c r="AY47" s="279">
        <f t="shared" si="3"/>
        <v>0</v>
      </c>
      <c r="AZ47" s="11">
        <v>0</v>
      </c>
      <c r="BA47" s="9"/>
      <c r="BB47" s="11"/>
      <c r="BC47" s="280">
        <f t="shared" si="20"/>
        <v>0</v>
      </c>
      <c r="BD47" s="277">
        <f t="shared" si="21"/>
        <v>0</v>
      </c>
      <c r="BE47" s="278">
        <v>0</v>
      </c>
      <c r="BF47" s="278">
        <v>0</v>
      </c>
      <c r="BG47" s="279">
        <f t="shared" si="4"/>
        <v>0</v>
      </c>
      <c r="BH47" s="11">
        <v>0</v>
      </c>
      <c r="BI47" s="278"/>
      <c r="BJ47" s="11"/>
      <c r="BK47" s="280">
        <f t="shared" si="22"/>
        <v>0</v>
      </c>
      <c r="BL47" s="277">
        <f t="shared" si="23"/>
        <v>0</v>
      </c>
      <c r="BM47" s="278">
        <v>0</v>
      </c>
      <c r="BN47" s="278">
        <v>0</v>
      </c>
      <c r="BO47" s="279">
        <f t="shared" si="5"/>
        <v>0</v>
      </c>
      <c r="BP47" s="11">
        <v>0</v>
      </c>
      <c r="BQ47" s="278"/>
      <c r="BR47" s="11"/>
      <c r="BS47" s="280">
        <f t="shared" si="24"/>
        <v>0</v>
      </c>
      <c r="BT47" s="277">
        <f t="shared" si="25"/>
        <v>0</v>
      </c>
      <c r="BU47" s="278">
        <v>0</v>
      </c>
      <c r="BV47" s="278">
        <v>0</v>
      </c>
      <c r="BW47" s="279">
        <f t="shared" si="6"/>
        <v>0</v>
      </c>
      <c r="BX47" s="11">
        <v>0</v>
      </c>
      <c r="BY47" s="278"/>
      <c r="BZ47" s="11"/>
      <c r="CA47" s="280">
        <f t="shared" si="26"/>
        <v>0</v>
      </c>
      <c r="CB47" s="277">
        <f t="shared" si="27"/>
        <v>0</v>
      </c>
      <c r="CC47" s="278">
        <v>0</v>
      </c>
      <c r="CD47" s="278">
        <v>0</v>
      </c>
      <c r="CE47" s="279">
        <f t="shared" si="7"/>
        <v>0</v>
      </c>
      <c r="CF47" s="11">
        <v>0</v>
      </c>
      <c r="CG47" s="278"/>
      <c r="CH47" s="11"/>
      <c r="CI47" s="280">
        <f t="shared" si="28"/>
        <v>0</v>
      </c>
      <c r="CJ47" s="277">
        <f t="shared" si="29"/>
        <v>0</v>
      </c>
      <c r="CK47" s="278">
        <v>0</v>
      </c>
      <c r="CL47" s="278">
        <v>0</v>
      </c>
      <c r="CM47" s="279">
        <f t="shared" si="8"/>
        <v>0</v>
      </c>
      <c r="CN47" s="11">
        <v>0</v>
      </c>
      <c r="CO47" s="278"/>
      <c r="CP47" s="277"/>
      <c r="CQ47" s="280">
        <f t="shared" si="30"/>
        <v>0</v>
      </c>
      <c r="CR47" s="277">
        <f t="shared" si="31"/>
        <v>0</v>
      </c>
      <c r="CS47" s="278">
        <v>0</v>
      </c>
      <c r="CT47" s="278">
        <v>0</v>
      </c>
      <c r="CU47" s="279">
        <f t="shared" si="9"/>
        <v>0</v>
      </c>
      <c r="CV47" s="11">
        <v>0</v>
      </c>
      <c r="CW47" s="278"/>
      <c r="CX47" s="277"/>
      <c r="CY47" s="280">
        <f t="shared" si="32"/>
        <v>0</v>
      </c>
      <c r="CZ47" s="277">
        <f t="shared" si="33"/>
        <v>0</v>
      </c>
    </row>
    <row r="48" spans="1:104" ht="17.25" customHeight="1">
      <c r="A48" s="28" t="s">
        <v>625</v>
      </c>
      <c r="B48" s="382"/>
      <c r="C48" s="27"/>
      <c r="D48" s="28" t="str">
        <f>_xlfn.XLOOKUP(A48,'ABC-XYZ분석 (2)'!C:C,'ABC-XYZ분석 (2)'!I:I)</f>
        <v>사계절</v>
      </c>
      <c r="E48" s="28" t="str">
        <f>_xlfn.XLOOKUP(A48,'ABC-XYZ분석 (2)'!C:C,'ABC-XYZ분석 (2)'!AC:AC)</f>
        <v>B</v>
      </c>
      <c r="F48" s="3" t="str">
        <f>_xlfn.XLOOKUP(A48,'ABC-XYZ분석 (2)'!C:C,'ABC-XYZ분석 (2)'!AG:AG)</f>
        <v>X</v>
      </c>
      <c r="G48" s="14">
        <f>SUMIF(재고!C:C,PSI_메인!A48,재고!I:I)</f>
        <v>0</v>
      </c>
      <c r="H48" s="277">
        <v>195</v>
      </c>
      <c r="I48" s="278">
        <v>0</v>
      </c>
      <c r="J48" s="278">
        <v>0</v>
      </c>
      <c r="K48" s="279">
        <v>68.399999999999991</v>
      </c>
      <c r="L48" s="11">
        <v>0</v>
      </c>
      <c r="M48" s="9">
        <f>SUMIFS(입항스케줄!J:J,입항스케줄!C:C,PSI_메인!A48,입항스케줄!U:U,"2601")</f>
        <v>0</v>
      </c>
      <c r="N48" s="11">
        <f>SUMIFS(입항스케줄!J:J,입항스케줄!C:C,PSI_메인!A48,입항스케줄!V:V,"2601")</f>
        <v>0</v>
      </c>
      <c r="O48" s="280">
        <f t="shared" si="10"/>
        <v>-68.399999999999991</v>
      </c>
      <c r="P48" s="277">
        <f t="shared" si="11"/>
        <v>0</v>
      </c>
      <c r="Q48" s="278">
        <v>0</v>
      </c>
      <c r="R48" s="278">
        <v>0</v>
      </c>
      <c r="S48" s="10">
        <v>45.6</v>
      </c>
      <c r="T48" s="11">
        <v>0</v>
      </c>
      <c r="U48" s="9">
        <f>SUMIFS(입항스케줄!J:J,입항스케줄!C:C,PSI_메인!A48,입항스케줄!U:U,"2602")</f>
        <v>0</v>
      </c>
      <c r="V48" s="11">
        <f>SUMIFS(입항스케줄!J:J,입항스케줄!C:C,PSI_메인!A48,입항스케줄!V:V,"2602")</f>
        <v>0</v>
      </c>
      <c r="W48" s="280">
        <f t="shared" si="12"/>
        <v>-45.6</v>
      </c>
      <c r="X48" s="277">
        <f t="shared" si="13"/>
        <v>0</v>
      </c>
      <c r="Y48" s="278">
        <v>0</v>
      </c>
      <c r="Z48" s="278">
        <v>0</v>
      </c>
      <c r="AA48" s="279">
        <f t="shared" si="0"/>
        <v>0</v>
      </c>
      <c r="AB48" s="11">
        <v>0</v>
      </c>
      <c r="AC48" s="9">
        <f>SUMIFS(입항스케줄!J:J,입항스케줄!C:C,PSI_메인!A48,입항스케줄!U:U,"2603")</f>
        <v>0</v>
      </c>
      <c r="AD48" s="11">
        <f>SUMIFS(입항스케줄!J:J,입항스케줄!C:C,PSI_메인!A48,입항스케줄!V:V,"2603")</f>
        <v>0</v>
      </c>
      <c r="AE48" s="280">
        <f t="shared" si="14"/>
        <v>0</v>
      </c>
      <c r="AF48" s="277">
        <f t="shared" si="15"/>
        <v>0</v>
      </c>
      <c r="AG48" s="278">
        <v>0</v>
      </c>
      <c r="AH48" s="278">
        <v>0</v>
      </c>
      <c r="AI48" s="279">
        <f t="shared" si="1"/>
        <v>0</v>
      </c>
      <c r="AJ48" s="11">
        <v>0</v>
      </c>
      <c r="AK48" s="9">
        <f>SUMIFS(입항스케줄!J:J,입항스케줄!C:C,PSI_메인!A48,입항스케줄!U:U,"2604")</f>
        <v>0</v>
      </c>
      <c r="AL48" s="11">
        <f>SUMIFS(입항스케줄!J:J,입항스케줄!C:C,PSI_메인!A48,입항스케줄!V:V,"2604")</f>
        <v>0</v>
      </c>
      <c r="AM48" s="280">
        <f t="shared" si="16"/>
        <v>0</v>
      </c>
      <c r="AN48" s="277">
        <f t="shared" si="17"/>
        <v>0</v>
      </c>
      <c r="AO48" s="278">
        <v>0</v>
      </c>
      <c r="AP48" s="278">
        <v>0</v>
      </c>
      <c r="AQ48" s="279">
        <f t="shared" si="2"/>
        <v>0</v>
      </c>
      <c r="AR48" s="11">
        <v>0</v>
      </c>
      <c r="AS48" s="9"/>
      <c r="AT48" s="277"/>
      <c r="AU48" s="280">
        <f t="shared" si="18"/>
        <v>0</v>
      </c>
      <c r="AV48" s="277">
        <f t="shared" si="19"/>
        <v>0</v>
      </c>
      <c r="AW48" s="278">
        <v>0</v>
      </c>
      <c r="AX48" s="278">
        <v>0</v>
      </c>
      <c r="AY48" s="279">
        <f t="shared" si="3"/>
        <v>0</v>
      </c>
      <c r="AZ48" s="11">
        <v>0</v>
      </c>
      <c r="BA48" s="9"/>
      <c r="BB48" s="11"/>
      <c r="BC48" s="280">
        <f t="shared" si="20"/>
        <v>0</v>
      </c>
      <c r="BD48" s="277">
        <f t="shared" si="21"/>
        <v>0</v>
      </c>
      <c r="BE48" s="278">
        <v>0</v>
      </c>
      <c r="BF48" s="278">
        <v>0</v>
      </c>
      <c r="BG48" s="279">
        <f t="shared" si="4"/>
        <v>0</v>
      </c>
      <c r="BH48" s="11">
        <v>0</v>
      </c>
      <c r="BI48" s="278"/>
      <c r="BJ48" s="11"/>
      <c r="BK48" s="280">
        <f t="shared" si="22"/>
        <v>0</v>
      </c>
      <c r="BL48" s="277">
        <f t="shared" si="23"/>
        <v>0</v>
      </c>
      <c r="BM48" s="278">
        <v>0</v>
      </c>
      <c r="BN48" s="278">
        <v>0</v>
      </c>
      <c r="BO48" s="279">
        <f t="shared" si="5"/>
        <v>0</v>
      </c>
      <c r="BP48" s="11">
        <v>0</v>
      </c>
      <c r="BQ48" s="278"/>
      <c r="BR48" s="11"/>
      <c r="BS48" s="280">
        <f t="shared" si="24"/>
        <v>0</v>
      </c>
      <c r="BT48" s="277">
        <f t="shared" si="25"/>
        <v>0</v>
      </c>
      <c r="BU48" s="278">
        <v>0</v>
      </c>
      <c r="BV48" s="278">
        <v>0</v>
      </c>
      <c r="BW48" s="279">
        <f t="shared" si="6"/>
        <v>0</v>
      </c>
      <c r="BX48" s="11">
        <v>0</v>
      </c>
      <c r="BY48" s="278"/>
      <c r="BZ48" s="11"/>
      <c r="CA48" s="280">
        <f t="shared" si="26"/>
        <v>0</v>
      </c>
      <c r="CB48" s="277">
        <f t="shared" si="27"/>
        <v>0</v>
      </c>
      <c r="CC48" s="278">
        <v>0</v>
      </c>
      <c r="CD48" s="278">
        <v>0</v>
      </c>
      <c r="CE48" s="279">
        <f t="shared" si="7"/>
        <v>0</v>
      </c>
      <c r="CF48" s="11">
        <v>0</v>
      </c>
      <c r="CG48" s="278"/>
      <c r="CH48" s="11"/>
      <c r="CI48" s="280">
        <f t="shared" si="28"/>
        <v>0</v>
      </c>
      <c r="CJ48" s="277">
        <f t="shared" si="29"/>
        <v>0</v>
      </c>
      <c r="CK48" s="278">
        <v>0</v>
      </c>
      <c r="CL48" s="278">
        <v>0</v>
      </c>
      <c r="CM48" s="279">
        <f t="shared" si="8"/>
        <v>0</v>
      </c>
      <c r="CN48" s="11">
        <v>0</v>
      </c>
      <c r="CO48" s="278"/>
      <c r="CP48" s="277"/>
      <c r="CQ48" s="280">
        <f t="shared" si="30"/>
        <v>0</v>
      </c>
      <c r="CR48" s="277">
        <f t="shared" si="31"/>
        <v>0</v>
      </c>
      <c r="CS48" s="278">
        <v>0</v>
      </c>
      <c r="CT48" s="278">
        <v>0</v>
      </c>
      <c r="CU48" s="279">
        <f t="shared" si="9"/>
        <v>0</v>
      </c>
      <c r="CV48" s="11">
        <v>0</v>
      </c>
      <c r="CW48" s="278"/>
      <c r="CX48" s="277"/>
      <c r="CY48" s="280">
        <f t="shared" si="32"/>
        <v>0</v>
      </c>
      <c r="CZ48" s="277">
        <f t="shared" si="33"/>
        <v>0</v>
      </c>
    </row>
    <row r="49" spans="1:104" ht="17.25" customHeight="1">
      <c r="A49" s="28" t="s">
        <v>626</v>
      </c>
      <c r="B49" s="382"/>
      <c r="C49" s="27"/>
      <c r="D49" s="28" t="str">
        <f>_xlfn.XLOOKUP(A49,'ABC-XYZ분석 (2)'!C:C,'ABC-XYZ분석 (2)'!I:I)</f>
        <v>사계절</v>
      </c>
      <c r="E49" s="28" t="str">
        <f>_xlfn.XLOOKUP(A49,'ABC-XYZ분석 (2)'!C:C,'ABC-XYZ분석 (2)'!AC:AC)</f>
        <v>B</v>
      </c>
      <c r="F49" s="3" t="str">
        <f>_xlfn.XLOOKUP(A49,'ABC-XYZ분석 (2)'!C:C,'ABC-XYZ분석 (2)'!AG:AG)</f>
        <v>Z</v>
      </c>
      <c r="G49" s="14">
        <f>SUMIF(재고!C:C,PSI_메인!A49,재고!I:I)</f>
        <v>0</v>
      </c>
      <c r="H49" s="277">
        <v>4523</v>
      </c>
      <c r="I49" s="278">
        <v>0</v>
      </c>
      <c r="J49" s="278">
        <v>0</v>
      </c>
      <c r="K49" s="279">
        <v>1875</v>
      </c>
      <c r="L49" s="11">
        <v>0</v>
      </c>
      <c r="M49" s="9">
        <f>SUMIFS(입항스케줄!J:J,입항스케줄!C:C,PSI_메인!A49,입항스케줄!U:U,"2601")</f>
        <v>0</v>
      </c>
      <c r="N49" s="11">
        <f>SUMIFS(입항스케줄!J:J,입항스케줄!C:C,PSI_메인!A49,입항스케줄!V:V,"2601")</f>
        <v>0</v>
      </c>
      <c r="O49" s="280">
        <f t="shared" si="10"/>
        <v>-1875</v>
      </c>
      <c r="P49" s="277">
        <f t="shared" si="11"/>
        <v>0</v>
      </c>
      <c r="Q49" s="278">
        <v>0</v>
      </c>
      <c r="R49" s="278">
        <v>0</v>
      </c>
      <c r="S49" s="10">
        <v>800</v>
      </c>
      <c r="T49" s="11">
        <v>0</v>
      </c>
      <c r="U49" s="9">
        <f>SUMIFS(입항스케줄!J:J,입항스케줄!C:C,PSI_메인!A49,입항스케줄!U:U,"2602")</f>
        <v>0</v>
      </c>
      <c r="V49" s="11">
        <f>SUMIFS(입항스케줄!J:J,입항스케줄!C:C,PSI_메인!A49,입항스케줄!V:V,"2602")</f>
        <v>0</v>
      </c>
      <c r="W49" s="280">
        <f t="shared" si="12"/>
        <v>-800</v>
      </c>
      <c r="X49" s="277">
        <f t="shared" si="13"/>
        <v>0</v>
      </c>
      <c r="Y49" s="278">
        <v>0</v>
      </c>
      <c r="Z49" s="278">
        <v>0</v>
      </c>
      <c r="AA49" s="279">
        <f t="shared" si="0"/>
        <v>0</v>
      </c>
      <c r="AB49" s="11">
        <v>0</v>
      </c>
      <c r="AC49" s="9">
        <f>SUMIFS(입항스케줄!J:J,입항스케줄!C:C,PSI_메인!A49,입항스케줄!U:U,"2603")</f>
        <v>0</v>
      </c>
      <c r="AD49" s="11">
        <f>SUMIFS(입항스케줄!J:J,입항스케줄!C:C,PSI_메인!A49,입항스케줄!V:V,"2603")</f>
        <v>0</v>
      </c>
      <c r="AE49" s="280">
        <f t="shared" si="14"/>
        <v>0</v>
      </c>
      <c r="AF49" s="277">
        <f t="shared" si="15"/>
        <v>0</v>
      </c>
      <c r="AG49" s="278">
        <v>0</v>
      </c>
      <c r="AH49" s="278">
        <v>0</v>
      </c>
      <c r="AI49" s="279">
        <f t="shared" si="1"/>
        <v>0</v>
      </c>
      <c r="AJ49" s="11">
        <v>0</v>
      </c>
      <c r="AK49" s="9">
        <f>SUMIFS(입항스케줄!J:J,입항스케줄!C:C,PSI_메인!A49,입항스케줄!U:U,"2604")</f>
        <v>0</v>
      </c>
      <c r="AL49" s="11">
        <f>SUMIFS(입항스케줄!J:J,입항스케줄!C:C,PSI_메인!A49,입항스케줄!V:V,"2604")</f>
        <v>0</v>
      </c>
      <c r="AM49" s="280">
        <f t="shared" si="16"/>
        <v>0</v>
      </c>
      <c r="AN49" s="277">
        <f t="shared" si="17"/>
        <v>0</v>
      </c>
      <c r="AO49" s="278">
        <v>0</v>
      </c>
      <c r="AP49" s="278">
        <v>0</v>
      </c>
      <c r="AQ49" s="279">
        <f t="shared" si="2"/>
        <v>0</v>
      </c>
      <c r="AR49" s="11">
        <v>0</v>
      </c>
      <c r="AS49" s="9"/>
      <c r="AT49" s="277"/>
      <c r="AU49" s="280">
        <f t="shared" si="18"/>
        <v>0</v>
      </c>
      <c r="AV49" s="277">
        <f t="shared" si="19"/>
        <v>0</v>
      </c>
      <c r="AW49" s="278">
        <v>0</v>
      </c>
      <c r="AX49" s="278">
        <v>0</v>
      </c>
      <c r="AY49" s="279">
        <f t="shared" si="3"/>
        <v>0</v>
      </c>
      <c r="AZ49" s="11">
        <v>0</v>
      </c>
      <c r="BA49" s="9"/>
      <c r="BB49" s="11"/>
      <c r="BC49" s="280">
        <f t="shared" si="20"/>
        <v>0</v>
      </c>
      <c r="BD49" s="277">
        <f t="shared" si="21"/>
        <v>0</v>
      </c>
      <c r="BE49" s="278">
        <v>0</v>
      </c>
      <c r="BF49" s="278">
        <v>0</v>
      </c>
      <c r="BG49" s="279">
        <f t="shared" si="4"/>
        <v>0</v>
      </c>
      <c r="BH49" s="11">
        <v>0</v>
      </c>
      <c r="BI49" s="278"/>
      <c r="BJ49" s="11"/>
      <c r="BK49" s="280">
        <f t="shared" si="22"/>
        <v>0</v>
      </c>
      <c r="BL49" s="277">
        <f t="shared" si="23"/>
        <v>0</v>
      </c>
      <c r="BM49" s="278">
        <v>0</v>
      </c>
      <c r="BN49" s="278">
        <v>0</v>
      </c>
      <c r="BO49" s="279">
        <f t="shared" si="5"/>
        <v>0</v>
      </c>
      <c r="BP49" s="11">
        <v>0</v>
      </c>
      <c r="BQ49" s="278"/>
      <c r="BR49" s="11"/>
      <c r="BS49" s="280">
        <f t="shared" si="24"/>
        <v>0</v>
      </c>
      <c r="BT49" s="277">
        <f t="shared" si="25"/>
        <v>0</v>
      </c>
      <c r="BU49" s="278">
        <v>0</v>
      </c>
      <c r="BV49" s="278">
        <v>0</v>
      </c>
      <c r="BW49" s="279">
        <f t="shared" si="6"/>
        <v>0</v>
      </c>
      <c r="BX49" s="11">
        <v>0</v>
      </c>
      <c r="BY49" s="278"/>
      <c r="BZ49" s="11"/>
      <c r="CA49" s="280">
        <f t="shared" si="26"/>
        <v>0</v>
      </c>
      <c r="CB49" s="277">
        <f t="shared" si="27"/>
        <v>0</v>
      </c>
      <c r="CC49" s="278">
        <v>0</v>
      </c>
      <c r="CD49" s="278">
        <v>0</v>
      </c>
      <c r="CE49" s="279">
        <f t="shared" si="7"/>
        <v>0</v>
      </c>
      <c r="CF49" s="11">
        <v>0</v>
      </c>
      <c r="CG49" s="278"/>
      <c r="CH49" s="11"/>
      <c r="CI49" s="280">
        <f t="shared" si="28"/>
        <v>0</v>
      </c>
      <c r="CJ49" s="277">
        <f t="shared" si="29"/>
        <v>0</v>
      </c>
      <c r="CK49" s="278">
        <v>0</v>
      </c>
      <c r="CL49" s="278">
        <v>0</v>
      </c>
      <c r="CM49" s="279">
        <f t="shared" si="8"/>
        <v>0</v>
      </c>
      <c r="CN49" s="11">
        <v>0</v>
      </c>
      <c r="CO49" s="278"/>
      <c r="CP49" s="277"/>
      <c r="CQ49" s="280">
        <f t="shared" si="30"/>
        <v>0</v>
      </c>
      <c r="CR49" s="277">
        <f t="shared" si="31"/>
        <v>0</v>
      </c>
      <c r="CS49" s="278">
        <v>0</v>
      </c>
      <c r="CT49" s="278">
        <v>0</v>
      </c>
      <c r="CU49" s="279">
        <f t="shared" si="9"/>
        <v>0</v>
      </c>
      <c r="CV49" s="11">
        <v>0</v>
      </c>
      <c r="CW49" s="278"/>
      <c r="CX49" s="277"/>
      <c r="CY49" s="280">
        <f t="shared" si="32"/>
        <v>0</v>
      </c>
      <c r="CZ49" s="277">
        <f t="shared" si="33"/>
        <v>0</v>
      </c>
    </row>
    <row r="50" spans="1:104" ht="17.25" customHeight="1">
      <c r="A50" s="28" t="s">
        <v>627</v>
      </c>
      <c r="B50" s="382"/>
      <c r="C50" s="27"/>
      <c r="D50" s="28" t="str">
        <f>_xlfn.XLOOKUP(A50,'ABC-XYZ분석 (2)'!C:C,'ABC-XYZ분석 (2)'!I:I)</f>
        <v>사계절</v>
      </c>
      <c r="E50" s="28" t="str">
        <f>_xlfn.XLOOKUP(A50,'ABC-XYZ분석 (2)'!C:C,'ABC-XYZ분석 (2)'!AC:AC)</f>
        <v>B</v>
      </c>
      <c r="F50" s="3" t="str">
        <f>_xlfn.XLOOKUP(A50,'ABC-XYZ분석 (2)'!C:C,'ABC-XYZ분석 (2)'!AG:AG)</f>
        <v>X</v>
      </c>
      <c r="G50" s="14">
        <f>SUMIF(재고!C:C,PSI_메인!A50,재고!I:I)</f>
        <v>0</v>
      </c>
      <c r="H50" s="277">
        <v>594</v>
      </c>
      <c r="I50" s="278">
        <v>0</v>
      </c>
      <c r="J50" s="278">
        <v>0</v>
      </c>
      <c r="K50" s="279">
        <v>400</v>
      </c>
      <c r="L50" s="11">
        <v>0</v>
      </c>
      <c r="M50" s="9">
        <f>SUMIFS(입항스케줄!J:J,입항스케줄!C:C,PSI_메인!A50,입항스케줄!U:U,"2601")</f>
        <v>0</v>
      </c>
      <c r="N50" s="11">
        <f>SUMIFS(입항스케줄!J:J,입항스케줄!C:C,PSI_메인!A50,입항스케줄!V:V,"2601")</f>
        <v>0</v>
      </c>
      <c r="O50" s="280">
        <f t="shared" si="10"/>
        <v>-400</v>
      </c>
      <c r="P50" s="277">
        <f t="shared" si="11"/>
        <v>0</v>
      </c>
      <c r="Q50" s="278">
        <v>0</v>
      </c>
      <c r="R50" s="278">
        <v>0</v>
      </c>
      <c r="S50" s="10">
        <v>0</v>
      </c>
      <c r="T50" s="11">
        <v>0</v>
      </c>
      <c r="U50" s="9">
        <f>SUMIFS(입항스케줄!J:J,입항스케줄!C:C,PSI_메인!A50,입항스케줄!U:U,"2602")</f>
        <v>0</v>
      </c>
      <c r="V50" s="11">
        <f>SUMIFS(입항스케줄!J:J,입항스케줄!C:C,PSI_메인!A50,입항스케줄!V:V,"2602")</f>
        <v>0</v>
      </c>
      <c r="W50" s="280">
        <f t="shared" si="12"/>
        <v>0</v>
      </c>
      <c r="X50" s="277">
        <f t="shared" si="13"/>
        <v>0</v>
      </c>
      <c r="Y50" s="278">
        <v>0</v>
      </c>
      <c r="Z50" s="278">
        <v>0</v>
      </c>
      <c r="AA50" s="279">
        <f t="shared" si="0"/>
        <v>0</v>
      </c>
      <c r="AB50" s="11">
        <v>0</v>
      </c>
      <c r="AC50" s="9">
        <f>SUMIFS(입항스케줄!J:J,입항스케줄!C:C,PSI_메인!A50,입항스케줄!U:U,"2603")</f>
        <v>0</v>
      </c>
      <c r="AD50" s="11">
        <f>SUMIFS(입항스케줄!J:J,입항스케줄!C:C,PSI_메인!A50,입항스케줄!V:V,"2603")</f>
        <v>0</v>
      </c>
      <c r="AE50" s="280">
        <f t="shared" si="14"/>
        <v>0</v>
      </c>
      <c r="AF50" s="277">
        <f t="shared" si="15"/>
        <v>0</v>
      </c>
      <c r="AG50" s="278">
        <v>0</v>
      </c>
      <c r="AH50" s="278">
        <v>0</v>
      </c>
      <c r="AI50" s="279">
        <f t="shared" si="1"/>
        <v>0</v>
      </c>
      <c r="AJ50" s="11">
        <v>0</v>
      </c>
      <c r="AK50" s="9">
        <f>SUMIFS(입항스케줄!J:J,입항스케줄!C:C,PSI_메인!A50,입항스케줄!U:U,"2604")</f>
        <v>0</v>
      </c>
      <c r="AL50" s="11">
        <f>SUMIFS(입항스케줄!J:J,입항스케줄!C:C,PSI_메인!A50,입항스케줄!V:V,"2604")</f>
        <v>0</v>
      </c>
      <c r="AM50" s="280">
        <f t="shared" si="16"/>
        <v>0</v>
      </c>
      <c r="AN50" s="277">
        <f t="shared" si="17"/>
        <v>0</v>
      </c>
      <c r="AO50" s="278">
        <v>0</v>
      </c>
      <c r="AP50" s="278">
        <v>0</v>
      </c>
      <c r="AQ50" s="279">
        <f t="shared" si="2"/>
        <v>0</v>
      </c>
      <c r="AR50" s="11">
        <v>0</v>
      </c>
      <c r="AS50" s="9"/>
      <c r="AT50" s="277"/>
      <c r="AU50" s="280">
        <f t="shared" si="18"/>
        <v>0</v>
      </c>
      <c r="AV50" s="277">
        <f t="shared" si="19"/>
        <v>0</v>
      </c>
      <c r="AW50" s="278">
        <v>0</v>
      </c>
      <c r="AX50" s="278">
        <v>0</v>
      </c>
      <c r="AY50" s="279">
        <f t="shared" si="3"/>
        <v>0</v>
      </c>
      <c r="AZ50" s="11">
        <v>0</v>
      </c>
      <c r="BA50" s="9"/>
      <c r="BB50" s="11"/>
      <c r="BC50" s="280">
        <f t="shared" si="20"/>
        <v>0</v>
      </c>
      <c r="BD50" s="277">
        <f t="shared" si="21"/>
        <v>0</v>
      </c>
      <c r="BE50" s="278">
        <v>0</v>
      </c>
      <c r="BF50" s="278">
        <v>0</v>
      </c>
      <c r="BG50" s="279">
        <f t="shared" si="4"/>
        <v>0</v>
      </c>
      <c r="BH50" s="11">
        <v>0</v>
      </c>
      <c r="BI50" s="278"/>
      <c r="BJ50" s="11"/>
      <c r="BK50" s="280">
        <f t="shared" si="22"/>
        <v>0</v>
      </c>
      <c r="BL50" s="277">
        <f t="shared" si="23"/>
        <v>0</v>
      </c>
      <c r="BM50" s="278">
        <v>0</v>
      </c>
      <c r="BN50" s="278">
        <v>0</v>
      </c>
      <c r="BO50" s="279">
        <f t="shared" si="5"/>
        <v>0</v>
      </c>
      <c r="BP50" s="11">
        <v>0</v>
      </c>
      <c r="BQ50" s="278"/>
      <c r="BR50" s="11"/>
      <c r="BS50" s="280">
        <f t="shared" si="24"/>
        <v>0</v>
      </c>
      <c r="BT50" s="277">
        <f t="shared" si="25"/>
        <v>0</v>
      </c>
      <c r="BU50" s="278">
        <v>0</v>
      </c>
      <c r="BV50" s="278">
        <v>0</v>
      </c>
      <c r="BW50" s="279">
        <f t="shared" si="6"/>
        <v>0</v>
      </c>
      <c r="BX50" s="11">
        <v>0</v>
      </c>
      <c r="BY50" s="278"/>
      <c r="BZ50" s="11"/>
      <c r="CA50" s="280">
        <f t="shared" si="26"/>
        <v>0</v>
      </c>
      <c r="CB50" s="277">
        <f t="shared" si="27"/>
        <v>0</v>
      </c>
      <c r="CC50" s="278">
        <v>0</v>
      </c>
      <c r="CD50" s="278">
        <v>0</v>
      </c>
      <c r="CE50" s="279">
        <f t="shared" si="7"/>
        <v>0</v>
      </c>
      <c r="CF50" s="11">
        <v>0</v>
      </c>
      <c r="CG50" s="278"/>
      <c r="CH50" s="11"/>
      <c r="CI50" s="280">
        <f t="shared" si="28"/>
        <v>0</v>
      </c>
      <c r="CJ50" s="277">
        <f t="shared" si="29"/>
        <v>0</v>
      </c>
      <c r="CK50" s="278">
        <v>0</v>
      </c>
      <c r="CL50" s="278">
        <v>0</v>
      </c>
      <c r="CM50" s="279">
        <f t="shared" si="8"/>
        <v>0</v>
      </c>
      <c r="CN50" s="11">
        <v>0</v>
      </c>
      <c r="CO50" s="278"/>
      <c r="CP50" s="277"/>
      <c r="CQ50" s="280">
        <f t="shared" si="30"/>
        <v>0</v>
      </c>
      <c r="CR50" s="277">
        <f t="shared" si="31"/>
        <v>0</v>
      </c>
      <c r="CS50" s="278">
        <v>0</v>
      </c>
      <c r="CT50" s="278">
        <v>0</v>
      </c>
      <c r="CU50" s="279">
        <f t="shared" si="9"/>
        <v>0</v>
      </c>
      <c r="CV50" s="11">
        <v>0</v>
      </c>
      <c r="CW50" s="278"/>
      <c r="CX50" s="277"/>
      <c r="CY50" s="280">
        <f t="shared" si="32"/>
        <v>0</v>
      </c>
      <c r="CZ50" s="277">
        <f t="shared" si="33"/>
        <v>0</v>
      </c>
    </row>
    <row r="51" spans="1:104" ht="17.25" customHeight="1">
      <c r="A51" s="28" t="s">
        <v>628</v>
      </c>
      <c r="B51" s="382"/>
      <c r="C51" s="27"/>
      <c r="D51" s="28" t="str">
        <f>_xlfn.XLOOKUP(A51,'ABC-XYZ분석 (2)'!C:C,'ABC-XYZ분석 (2)'!I:I)</f>
        <v>사계절</v>
      </c>
      <c r="E51" s="28" t="str">
        <f>_xlfn.XLOOKUP(A51,'ABC-XYZ분석 (2)'!C:C,'ABC-XYZ분석 (2)'!AC:AC)</f>
        <v>B</v>
      </c>
      <c r="F51" s="3" t="str">
        <f>_xlfn.XLOOKUP(A51,'ABC-XYZ분석 (2)'!C:C,'ABC-XYZ분석 (2)'!AG:AG)</f>
        <v>X</v>
      </c>
      <c r="G51" s="14">
        <f>SUMIF(재고!C:C,PSI_메인!A51,재고!I:I)</f>
        <v>6</v>
      </c>
      <c r="H51" s="277">
        <v>895</v>
      </c>
      <c r="I51" s="278">
        <v>0</v>
      </c>
      <c r="J51" s="278">
        <v>0</v>
      </c>
      <c r="K51" s="279">
        <v>200</v>
      </c>
      <c r="L51" s="11">
        <v>0</v>
      </c>
      <c r="M51" s="9">
        <f>SUMIFS(입항스케줄!J:J,입항스케줄!C:C,PSI_메인!A51,입항스케줄!U:U,"2601")</f>
        <v>0</v>
      </c>
      <c r="N51" s="11">
        <f>SUMIFS(입항스케줄!J:J,입항스케줄!C:C,PSI_메인!A51,입항스케줄!V:V,"2601")</f>
        <v>0</v>
      </c>
      <c r="O51" s="280">
        <f t="shared" si="10"/>
        <v>-194</v>
      </c>
      <c r="P51" s="277">
        <f t="shared" si="11"/>
        <v>6</v>
      </c>
      <c r="Q51" s="278">
        <v>0</v>
      </c>
      <c r="R51" s="278">
        <v>0</v>
      </c>
      <c r="S51" s="10">
        <v>450</v>
      </c>
      <c r="T51" s="11">
        <v>0</v>
      </c>
      <c r="U51" s="9">
        <f>SUMIFS(입항스케줄!J:J,입항스케줄!C:C,PSI_메인!A51,입항스케줄!U:U,"2602")</f>
        <v>0</v>
      </c>
      <c r="V51" s="11">
        <f>SUMIFS(입항스케줄!J:J,입항스케줄!C:C,PSI_메인!A51,입항스케줄!V:V,"2602")</f>
        <v>0</v>
      </c>
      <c r="W51" s="280">
        <f t="shared" si="12"/>
        <v>-444</v>
      </c>
      <c r="X51" s="277">
        <f t="shared" si="13"/>
        <v>6</v>
      </c>
      <c r="Y51" s="278">
        <v>0</v>
      </c>
      <c r="Z51" s="278">
        <v>0</v>
      </c>
      <c r="AA51" s="279">
        <f t="shared" si="0"/>
        <v>0</v>
      </c>
      <c r="AB51" s="11">
        <v>0</v>
      </c>
      <c r="AC51" s="9">
        <f>SUMIFS(입항스케줄!J:J,입항스케줄!C:C,PSI_메인!A51,입항스케줄!U:U,"2603")</f>
        <v>0</v>
      </c>
      <c r="AD51" s="11">
        <f>SUMIFS(입항스케줄!J:J,입항스케줄!C:C,PSI_메인!A51,입항스케줄!V:V,"2603")</f>
        <v>0</v>
      </c>
      <c r="AE51" s="280">
        <f t="shared" si="14"/>
        <v>6</v>
      </c>
      <c r="AF51" s="277">
        <f t="shared" si="15"/>
        <v>6</v>
      </c>
      <c r="AG51" s="278">
        <v>0</v>
      </c>
      <c r="AH51" s="278">
        <v>0</v>
      </c>
      <c r="AI51" s="279">
        <f t="shared" si="1"/>
        <v>0</v>
      </c>
      <c r="AJ51" s="11">
        <v>0</v>
      </c>
      <c r="AK51" s="9">
        <f>SUMIFS(입항스케줄!J:J,입항스케줄!C:C,PSI_메인!A51,입항스케줄!U:U,"2604")</f>
        <v>0</v>
      </c>
      <c r="AL51" s="11">
        <f>SUMIFS(입항스케줄!J:J,입항스케줄!C:C,PSI_메인!A51,입항스케줄!V:V,"2604")</f>
        <v>0</v>
      </c>
      <c r="AM51" s="280">
        <f t="shared" si="16"/>
        <v>6</v>
      </c>
      <c r="AN51" s="277">
        <f t="shared" si="17"/>
        <v>6</v>
      </c>
      <c r="AO51" s="278">
        <v>0</v>
      </c>
      <c r="AP51" s="278">
        <v>0</v>
      </c>
      <c r="AQ51" s="279">
        <f t="shared" si="2"/>
        <v>0</v>
      </c>
      <c r="AR51" s="11">
        <v>0</v>
      </c>
      <c r="AS51" s="9"/>
      <c r="AT51" s="277"/>
      <c r="AU51" s="280">
        <f t="shared" si="18"/>
        <v>6</v>
      </c>
      <c r="AV51" s="277">
        <f t="shared" si="19"/>
        <v>6</v>
      </c>
      <c r="AW51" s="278">
        <v>0</v>
      </c>
      <c r="AX51" s="278">
        <v>0</v>
      </c>
      <c r="AY51" s="279">
        <f t="shared" si="3"/>
        <v>0</v>
      </c>
      <c r="AZ51" s="11">
        <v>0</v>
      </c>
      <c r="BA51" s="9"/>
      <c r="BB51" s="11"/>
      <c r="BC51" s="280">
        <f t="shared" si="20"/>
        <v>6</v>
      </c>
      <c r="BD51" s="277">
        <f t="shared" si="21"/>
        <v>6</v>
      </c>
      <c r="BE51" s="278">
        <v>0</v>
      </c>
      <c r="BF51" s="278">
        <v>0</v>
      </c>
      <c r="BG51" s="279">
        <f t="shared" si="4"/>
        <v>0</v>
      </c>
      <c r="BH51" s="11">
        <v>0</v>
      </c>
      <c r="BI51" s="278"/>
      <c r="BJ51" s="11"/>
      <c r="BK51" s="280">
        <f t="shared" si="22"/>
        <v>6</v>
      </c>
      <c r="BL51" s="277">
        <f t="shared" si="23"/>
        <v>6</v>
      </c>
      <c r="BM51" s="278">
        <v>0</v>
      </c>
      <c r="BN51" s="278">
        <v>0</v>
      </c>
      <c r="BO51" s="279">
        <f t="shared" si="5"/>
        <v>0</v>
      </c>
      <c r="BP51" s="11">
        <v>0</v>
      </c>
      <c r="BQ51" s="278"/>
      <c r="BR51" s="11"/>
      <c r="BS51" s="280">
        <f t="shared" si="24"/>
        <v>6</v>
      </c>
      <c r="BT51" s="277">
        <f t="shared" si="25"/>
        <v>6</v>
      </c>
      <c r="BU51" s="278">
        <v>0</v>
      </c>
      <c r="BV51" s="278">
        <v>0</v>
      </c>
      <c r="BW51" s="279">
        <f t="shared" si="6"/>
        <v>0</v>
      </c>
      <c r="BX51" s="11">
        <v>0</v>
      </c>
      <c r="BY51" s="278"/>
      <c r="BZ51" s="11"/>
      <c r="CA51" s="280">
        <f t="shared" si="26"/>
        <v>6</v>
      </c>
      <c r="CB51" s="277">
        <f t="shared" si="27"/>
        <v>6</v>
      </c>
      <c r="CC51" s="278">
        <v>0</v>
      </c>
      <c r="CD51" s="278">
        <v>0</v>
      </c>
      <c r="CE51" s="279">
        <f t="shared" si="7"/>
        <v>0</v>
      </c>
      <c r="CF51" s="11">
        <v>0</v>
      </c>
      <c r="CG51" s="278"/>
      <c r="CH51" s="11"/>
      <c r="CI51" s="280">
        <f t="shared" si="28"/>
        <v>6</v>
      </c>
      <c r="CJ51" s="277">
        <f t="shared" si="29"/>
        <v>6</v>
      </c>
      <c r="CK51" s="278">
        <v>0</v>
      </c>
      <c r="CL51" s="278">
        <v>0</v>
      </c>
      <c r="CM51" s="279">
        <f t="shared" si="8"/>
        <v>0</v>
      </c>
      <c r="CN51" s="11">
        <v>0</v>
      </c>
      <c r="CO51" s="278"/>
      <c r="CP51" s="277"/>
      <c r="CQ51" s="280">
        <f t="shared" si="30"/>
        <v>6</v>
      </c>
      <c r="CR51" s="277">
        <f t="shared" si="31"/>
        <v>6</v>
      </c>
      <c r="CS51" s="278">
        <v>0</v>
      </c>
      <c r="CT51" s="278">
        <v>0</v>
      </c>
      <c r="CU51" s="279">
        <f t="shared" si="9"/>
        <v>0</v>
      </c>
      <c r="CV51" s="11">
        <v>0</v>
      </c>
      <c r="CW51" s="278"/>
      <c r="CX51" s="277"/>
      <c r="CY51" s="280">
        <f t="shared" si="32"/>
        <v>6</v>
      </c>
      <c r="CZ51" s="277">
        <f t="shared" si="33"/>
        <v>6</v>
      </c>
    </row>
    <row r="52" spans="1:104" ht="17.25" customHeight="1">
      <c r="A52" s="28" t="s">
        <v>629</v>
      </c>
      <c r="B52" s="382"/>
      <c r="C52" s="27"/>
      <c r="D52" s="28" t="str">
        <f>_xlfn.XLOOKUP(A52,'ABC-XYZ분석 (2)'!C:C,'ABC-XYZ분석 (2)'!I:I)</f>
        <v>사계절</v>
      </c>
      <c r="E52" s="28" t="str">
        <f>_xlfn.XLOOKUP(A52,'ABC-XYZ분석 (2)'!C:C,'ABC-XYZ분석 (2)'!AC:AC)</f>
        <v>B</v>
      </c>
      <c r="F52" s="3" t="str">
        <f>_xlfn.XLOOKUP(A52,'ABC-XYZ분석 (2)'!C:C,'ABC-XYZ분석 (2)'!AG:AG)</f>
        <v>Y</v>
      </c>
      <c r="G52" s="14">
        <f>SUMIF(재고!C:C,PSI_메인!A52,재고!I:I)</f>
        <v>0</v>
      </c>
      <c r="H52" s="277">
        <v>448</v>
      </c>
      <c r="I52" s="278">
        <v>0</v>
      </c>
      <c r="J52" s="278">
        <v>0</v>
      </c>
      <c r="K52" s="279">
        <v>200</v>
      </c>
      <c r="L52" s="11">
        <v>0</v>
      </c>
      <c r="M52" s="9">
        <f>SUMIFS(입항스케줄!J:J,입항스케줄!C:C,PSI_메인!A52,입항스케줄!U:U,"2601")</f>
        <v>0</v>
      </c>
      <c r="N52" s="11">
        <f>SUMIFS(입항스케줄!J:J,입항스케줄!C:C,PSI_메인!A52,입항스케줄!V:V,"2601")</f>
        <v>0</v>
      </c>
      <c r="O52" s="280">
        <f t="shared" si="10"/>
        <v>-200</v>
      </c>
      <c r="P52" s="277">
        <f t="shared" si="11"/>
        <v>0</v>
      </c>
      <c r="Q52" s="278">
        <v>0</v>
      </c>
      <c r="R52" s="278">
        <v>0</v>
      </c>
      <c r="S52" s="10">
        <v>0</v>
      </c>
      <c r="T52" s="11">
        <v>0</v>
      </c>
      <c r="U52" s="9">
        <f>SUMIFS(입항스케줄!J:J,입항스케줄!C:C,PSI_메인!A52,입항스케줄!U:U,"2602")</f>
        <v>0</v>
      </c>
      <c r="V52" s="11">
        <f>SUMIFS(입항스케줄!J:J,입항스케줄!C:C,PSI_메인!A52,입항스케줄!V:V,"2602")</f>
        <v>0</v>
      </c>
      <c r="W52" s="280">
        <f t="shared" si="12"/>
        <v>0</v>
      </c>
      <c r="X52" s="277">
        <f t="shared" si="13"/>
        <v>0</v>
      </c>
      <c r="Y52" s="278">
        <v>0</v>
      </c>
      <c r="Z52" s="278">
        <v>0</v>
      </c>
      <c r="AA52" s="279">
        <f t="shared" si="0"/>
        <v>0</v>
      </c>
      <c r="AB52" s="11">
        <v>0</v>
      </c>
      <c r="AC52" s="9">
        <f>SUMIFS(입항스케줄!J:J,입항스케줄!C:C,PSI_메인!A52,입항스케줄!U:U,"2603")</f>
        <v>0</v>
      </c>
      <c r="AD52" s="11">
        <f>SUMIFS(입항스케줄!J:J,입항스케줄!C:C,PSI_메인!A52,입항스케줄!V:V,"2603")</f>
        <v>0</v>
      </c>
      <c r="AE52" s="280">
        <f t="shared" si="14"/>
        <v>0</v>
      </c>
      <c r="AF52" s="277">
        <f t="shared" si="15"/>
        <v>0</v>
      </c>
      <c r="AG52" s="278">
        <v>0</v>
      </c>
      <c r="AH52" s="278">
        <v>0</v>
      </c>
      <c r="AI52" s="279">
        <f t="shared" si="1"/>
        <v>0</v>
      </c>
      <c r="AJ52" s="11">
        <v>0</v>
      </c>
      <c r="AK52" s="9">
        <f>SUMIFS(입항스케줄!J:J,입항스케줄!C:C,PSI_메인!A52,입항스케줄!U:U,"2604")</f>
        <v>0</v>
      </c>
      <c r="AL52" s="11">
        <f>SUMIFS(입항스케줄!J:J,입항스케줄!C:C,PSI_메인!A52,입항스케줄!V:V,"2604")</f>
        <v>0</v>
      </c>
      <c r="AM52" s="280">
        <f t="shared" si="16"/>
        <v>0</v>
      </c>
      <c r="AN52" s="277">
        <f t="shared" si="17"/>
        <v>0</v>
      </c>
      <c r="AO52" s="278">
        <v>0</v>
      </c>
      <c r="AP52" s="278">
        <v>0</v>
      </c>
      <c r="AQ52" s="279">
        <f t="shared" si="2"/>
        <v>0</v>
      </c>
      <c r="AR52" s="11">
        <v>0</v>
      </c>
      <c r="AS52" s="9"/>
      <c r="AT52" s="277"/>
      <c r="AU52" s="280">
        <f t="shared" si="18"/>
        <v>0</v>
      </c>
      <c r="AV52" s="277">
        <f t="shared" si="19"/>
        <v>0</v>
      </c>
      <c r="AW52" s="278">
        <v>0</v>
      </c>
      <c r="AX52" s="278">
        <v>0</v>
      </c>
      <c r="AY52" s="279">
        <f t="shared" si="3"/>
        <v>0</v>
      </c>
      <c r="AZ52" s="11">
        <v>0</v>
      </c>
      <c r="BA52" s="9"/>
      <c r="BB52" s="11"/>
      <c r="BC52" s="280">
        <f t="shared" si="20"/>
        <v>0</v>
      </c>
      <c r="BD52" s="277">
        <f t="shared" si="21"/>
        <v>0</v>
      </c>
      <c r="BE52" s="278">
        <v>0</v>
      </c>
      <c r="BF52" s="278">
        <v>0</v>
      </c>
      <c r="BG52" s="279">
        <f t="shared" si="4"/>
        <v>0</v>
      </c>
      <c r="BH52" s="11">
        <v>0</v>
      </c>
      <c r="BI52" s="278"/>
      <c r="BJ52" s="11"/>
      <c r="BK52" s="280">
        <f t="shared" si="22"/>
        <v>0</v>
      </c>
      <c r="BL52" s="277">
        <f t="shared" si="23"/>
        <v>0</v>
      </c>
      <c r="BM52" s="278">
        <v>0</v>
      </c>
      <c r="BN52" s="278">
        <v>0</v>
      </c>
      <c r="BO52" s="279">
        <f t="shared" si="5"/>
        <v>0</v>
      </c>
      <c r="BP52" s="11">
        <v>0</v>
      </c>
      <c r="BQ52" s="278"/>
      <c r="BR52" s="11"/>
      <c r="BS52" s="280">
        <f t="shared" si="24"/>
        <v>0</v>
      </c>
      <c r="BT52" s="277">
        <f t="shared" si="25"/>
        <v>0</v>
      </c>
      <c r="BU52" s="278">
        <v>0</v>
      </c>
      <c r="BV52" s="278">
        <v>0</v>
      </c>
      <c r="BW52" s="279">
        <f t="shared" si="6"/>
        <v>0</v>
      </c>
      <c r="BX52" s="11">
        <v>0</v>
      </c>
      <c r="BY52" s="278"/>
      <c r="BZ52" s="11"/>
      <c r="CA52" s="280">
        <f t="shared" si="26"/>
        <v>0</v>
      </c>
      <c r="CB52" s="277">
        <f t="shared" si="27"/>
        <v>0</v>
      </c>
      <c r="CC52" s="278">
        <v>0</v>
      </c>
      <c r="CD52" s="278">
        <v>0</v>
      </c>
      <c r="CE52" s="279">
        <f t="shared" si="7"/>
        <v>0</v>
      </c>
      <c r="CF52" s="11">
        <v>0</v>
      </c>
      <c r="CG52" s="278"/>
      <c r="CH52" s="11"/>
      <c r="CI52" s="280">
        <f t="shared" si="28"/>
        <v>0</v>
      </c>
      <c r="CJ52" s="277">
        <f t="shared" si="29"/>
        <v>0</v>
      </c>
      <c r="CK52" s="278">
        <v>0</v>
      </c>
      <c r="CL52" s="278">
        <v>0</v>
      </c>
      <c r="CM52" s="279">
        <f t="shared" si="8"/>
        <v>0</v>
      </c>
      <c r="CN52" s="11">
        <v>0</v>
      </c>
      <c r="CO52" s="278"/>
      <c r="CP52" s="277"/>
      <c r="CQ52" s="280">
        <f t="shared" si="30"/>
        <v>0</v>
      </c>
      <c r="CR52" s="277">
        <f t="shared" si="31"/>
        <v>0</v>
      </c>
      <c r="CS52" s="278">
        <v>0</v>
      </c>
      <c r="CT52" s="278">
        <v>0</v>
      </c>
      <c r="CU52" s="279">
        <f t="shared" si="9"/>
        <v>0</v>
      </c>
      <c r="CV52" s="11">
        <v>0</v>
      </c>
      <c r="CW52" s="278"/>
      <c r="CX52" s="277"/>
      <c r="CY52" s="280">
        <f t="shared" si="32"/>
        <v>0</v>
      </c>
      <c r="CZ52" s="277">
        <f t="shared" si="33"/>
        <v>0</v>
      </c>
    </row>
    <row r="53" spans="1:104" ht="17.25" customHeight="1">
      <c r="A53" s="28" t="s">
        <v>630</v>
      </c>
      <c r="B53" s="382"/>
      <c r="C53" s="27"/>
      <c r="D53" s="28" t="str">
        <f>_xlfn.XLOOKUP(A53,'ABC-XYZ분석 (2)'!C:C,'ABC-XYZ분석 (2)'!I:I)</f>
        <v>사계절</v>
      </c>
      <c r="E53" s="28" t="str">
        <f>_xlfn.XLOOKUP(A53,'ABC-XYZ분석 (2)'!C:C,'ABC-XYZ분석 (2)'!AC:AC)</f>
        <v>B</v>
      </c>
      <c r="F53" s="3" t="str">
        <f>_xlfn.XLOOKUP(A53,'ABC-XYZ분석 (2)'!C:C,'ABC-XYZ분석 (2)'!AG:AG)</f>
        <v>Y</v>
      </c>
      <c r="G53" s="14">
        <f>SUMIF(재고!C:C,PSI_메인!A53,재고!I:I)</f>
        <v>0</v>
      </c>
      <c r="H53" s="277">
        <v>3417</v>
      </c>
      <c r="I53" s="278">
        <v>0</v>
      </c>
      <c r="J53" s="278">
        <v>0</v>
      </c>
      <c r="K53" s="279">
        <v>0</v>
      </c>
      <c r="L53" s="11">
        <v>0</v>
      </c>
      <c r="M53" s="9">
        <f>SUMIFS(입항스케줄!J:J,입항스케줄!C:C,PSI_메인!A53,입항스케줄!U:U,"2601")</f>
        <v>0</v>
      </c>
      <c r="N53" s="11">
        <f>SUMIFS(입항스케줄!J:J,입항스케줄!C:C,PSI_메인!A53,입항스케줄!V:V,"2601")</f>
        <v>0</v>
      </c>
      <c r="O53" s="280">
        <f t="shared" si="10"/>
        <v>0</v>
      </c>
      <c r="P53" s="277">
        <f t="shared" si="11"/>
        <v>0</v>
      </c>
      <c r="Q53" s="278">
        <v>0</v>
      </c>
      <c r="R53" s="278">
        <v>0</v>
      </c>
      <c r="S53" s="10">
        <v>0</v>
      </c>
      <c r="T53" s="11">
        <v>0</v>
      </c>
      <c r="U53" s="9">
        <f>SUMIFS(입항스케줄!J:J,입항스케줄!C:C,PSI_메인!A53,입항스케줄!U:U,"2602")</f>
        <v>0</v>
      </c>
      <c r="V53" s="11">
        <f>SUMIFS(입항스케줄!J:J,입항스케줄!C:C,PSI_메인!A53,입항스케줄!V:V,"2602")</f>
        <v>0</v>
      </c>
      <c r="W53" s="280">
        <f t="shared" si="12"/>
        <v>0</v>
      </c>
      <c r="X53" s="277">
        <f t="shared" si="13"/>
        <v>0</v>
      </c>
      <c r="Y53" s="278">
        <v>0</v>
      </c>
      <c r="Z53" s="278">
        <v>0</v>
      </c>
      <c r="AA53" s="279">
        <f t="shared" si="0"/>
        <v>0</v>
      </c>
      <c r="AB53" s="11">
        <v>0</v>
      </c>
      <c r="AC53" s="9">
        <f>SUMIFS(입항스케줄!J:J,입항스케줄!C:C,PSI_메인!A53,입항스케줄!U:U,"2603")</f>
        <v>0</v>
      </c>
      <c r="AD53" s="11">
        <f>SUMIFS(입항스케줄!J:J,입항스케줄!C:C,PSI_메인!A53,입항스케줄!V:V,"2603")</f>
        <v>0</v>
      </c>
      <c r="AE53" s="280">
        <f t="shared" si="14"/>
        <v>0</v>
      </c>
      <c r="AF53" s="277">
        <f t="shared" si="15"/>
        <v>0</v>
      </c>
      <c r="AG53" s="278">
        <v>0</v>
      </c>
      <c r="AH53" s="278">
        <v>0</v>
      </c>
      <c r="AI53" s="279">
        <f t="shared" si="1"/>
        <v>0</v>
      </c>
      <c r="AJ53" s="11">
        <v>0</v>
      </c>
      <c r="AK53" s="9">
        <f>SUMIFS(입항스케줄!J:J,입항스케줄!C:C,PSI_메인!A53,입항스케줄!U:U,"2604")</f>
        <v>0</v>
      </c>
      <c r="AL53" s="11">
        <f>SUMIFS(입항스케줄!J:J,입항스케줄!C:C,PSI_메인!A53,입항스케줄!V:V,"2604")</f>
        <v>0</v>
      </c>
      <c r="AM53" s="280">
        <f t="shared" si="16"/>
        <v>0</v>
      </c>
      <c r="AN53" s="277">
        <f t="shared" si="17"/>
        <v>0</v>
      </c>
      <c r="AO53" s="278">
        <v>0</v>
      </c>
      <c r="AP53" s="278">
        <v>0</v>
      </c>
      <c r="AQ53" s="279">
        <f t="shared" si="2"/>
        <v>0</v>
      </c>
      <c r="AR53" s="11">
        <v>0</v>
      </c>
      <c r="AS53" s="9"/>
      <c r="AT53" s="277"/>
      <c r="AU53" s="280">
        <f t="shared" si="18"/>
        <v>0</v>
      </c>
      <c r="AV53" s="277">
        <f t="shared" si="19"/>
        <v>0</v>
      </c>
      <c r="AW53" s="278">
        <v>0</v>
      </c>
      <c r="AX53" s="278">
        <v>0</v>
      </c>
      <c r="AY53" s="279">
        <f t="shared" si="3"/>
        <v>0</v>
      </c>
      <c r="AZ53" s="11">
        <v>0</v>
      </c>
      <c r="BA53" s="9"/>
      <c r="BB53" s="11"/>
      <c r="BC53" s="280">
        <f t="shared" si="20"/>
        <v>0</v>
      </c>
      <c r="BD53" s="277">
        <f t="shared" si="21"/>
        <v>0</v>
      </c>
      <c r="BE53" s="278">
        <v>0</v>
      </c>
      <c r="BF53" s="278">
        <v>0</v>
      </c>
      <c r="BG53" s="279">
        <f t="shared" si="4"/>
        <v>0</v>
      </c>
      <c r="BH53" s="11">
        <v>0</v>
      </c>
      <c r="BI53" s="278"/>
      <c r="BJ53" s="11"/>
      <c r="BK53" s="280">
        <f t="shared" si="22"/>
        <v>0</v>
      </c>
      <c r="BL53" s="277">
        <f t="shared" si="23"/>
        <v>0</v>
      </c>
      <c r="BM53" s="278">
        <v>0</v>
      </c>
      <c r="BN53" s="278">
        <v>0</v>
      </c>
      <c r="BO53" s="279">
        <f t="shared" si="5"/>
        <v>0</v>
      </c>
      <c r="BP53" s="11">
        <v>0</v>
      </c>
      <c r="BQ53" s="278"/>
      <c r="BR53" s="11"/>
      <c r="BS53" s="280">
        <f t="shared" si="24"/>
        <v>0</v>
      </c>
      <c r="BT53" s="277">
        <f t="shared" si="25"/>
        <v>0</v>
      </c>
      <c r="BU53" s="278">
        <v>0</v>
      </c>
      <c r="BV53" s="278">
        <v>0</v>
      </c>
      <c r="BW53" s="279">
        <f t="shared" si="6"/>
        <v>0</v>
      </c>
      <c r="BX53" s="11">
        <v>0</v>
      </c>
      <c r="BY53" s="278"/>
      <c r="BZ53" s="11"/>
      <c r="CA53" s="280">
        <f t="shared" si="26"/>
        <v>0</v>
      </c>
      <c r="CB53" s="277">
        <f t="shared" si="27"/>
        <v>0</v>
      </c>
      <c r="CC53" s="278">
        <v>0</v>
      </c>
      <c r="CD53" s="278">
        <v>0</v>
      </c>
      <c r="CE53" s="279">
        <f t="shared" si="7"/>
        <v>0</v>
      </c>
      <c r="CF53" s="11">
        <v>0</v>
      </c>
      <c r="CG53" s="278"/>
      <c r="CH53" s="11"/>
      <c r="CI53" s="280">
        <f t="shared" si="28"/>
        <v>0</v>
      </c>
      <c r="CJ53" s="277">
        <f t="shared" si="29"/>
        <v>0</v>
      </c>
      <c r="CK53" s="278">
        <v>0</v>
      </c>
      <c r="CL53" s="278">
        <v>0</v>
      </c>
      <c r="CM53" s="279">
        <f t="shared" si="8"/>
        <v>0</v>
      </c>
      <c r="CN53" s="11">
        <v>0</v>
      </c>
      <c r="CO53" s="278"/>
      <c r="CP53" s="277"/>
      <c r="CQ53" s="280">
        <f t="shared" si="30"/>
        <v>0</v>
      </c>
      <c r="CR53" s="277">
        <f t="shared" si="31"/>
        <v>0</v>
      </c>
      <c r="CS53" s="278">
        <v>0</v>
      </c>
      <c r="CT53" s="278">
        <v>0</v>
      </c>
      <c r="CU53" s="279">
        <f t="shared" si="9"/>
        <v>0</v>
      </c>
      <c r="CV53" s="11">
        <v>0</v>
      </c>
      <c r="CW53" s="278"/>
      <c r="CX53" s="277"/>
      <c r="CY53" s="280">
        <f t="shared" si="32"/>
        <v>0</v>
      </c>
      <c r="CZ53" s="277">
        <f t="shared" si="33"/>
        <v>0</v>
      </c>
    </row>
    <row r="54" spans="1:104" ht="17.25" customHeight="1">
      <c r="A54" s="28" t="s">
        <v>631</v>
      </c>
      <c r="B54" s="382"/>
      <c r="C54" s="27"/>
      <c r="D54" s="28" t="str">
        <f>_xlfn.XLOOKUP(A54,'ABC-XYZ분석 (2)'!C:C,'ABC-XYZ분석 (2)'!I:I)</f>
        <v>사계절</v>
      </c>
      <c r="E54" s="28" t="str">
        <f>_xlfn.XLOOKUP(A54,'ABC-XYZ분석 (2)'!C:C,'ABC-XYZ분석 (2)'!AC:AC)</f>
        <v>B</v>
      </c>
      <c r="F54" s="3" t="str">
        <f>_xlfn.XLOOKUP(A54,'ABC-XYZ분석 (2)'!C:C,'ABC-XYZ분석 (2)'!AG:AG)</f>
        <v>Y</v>
      </c>
      <c r="G54" s="14">
        <f>SUMIF(재고!C:C,PSI_메인!A54,재고!I:I)</f>
        <v>0</v>
      </c>
      <c r="H54" s="277">
        <v>567</v>
      </c>
      <c r="I54" s="278">
        <v>0</v>
      </c>
      <c r="J54" s="278">
        <v>0</v>
      </c>
      <c r="K54" s="279">
        <v>125</v>
      </c>
      <c r="L54" s="11">
        <v>0</v>
      </c>
      <c r="M54" s="9">
        <f>SUMIFS(입항스케줄!J:J,입항스케줄!C:C,PSI_메인!A54,입항스케줄!U:U,"2601")</f>
        <v>0</v>
      </c>
      <c r="N54" s="11">
        <f>SUMIFS(입항스케줄!J:J,입항스케줄!C:C,PSI_메인!A54,입항스케줄!V:V,"2601")</f>
        <v>0</v>
      </c>
      <c r="O54" s="280">
        <f t="shared" si="10"/>
        <v>-125</v>
      </c>
      <c r="P54" s="277">
        <f t="shared" si="11"/>
        <v>0</v>
      </c>
      <c r="Q54" s="278">
        <v>0</v>
      </c>
      <c r="R54" s="278">
        <v>0</v>
      </c>
      <c r="S54" s="10">
        <v>250</v>
      </c>
      <c r="T54" s="11">
        <v>0</v>
      </c>
      <c r="U54" s="9">
        <f>SUMIFS(입항스케줄!J:J,입항스케줄!C:C,PSI_메인!A54,입항스케줄!U:U,"2602")</f>
        <v>0</v>
      </c>
      <c r="V54" s="11">
        <f>SUMIFS(입항스케줄!J:J,입항스케줄!C:C,PSI_메인!A54,입항스케줄!V:V,"2602")</f>
        <v>0</v>
      </c>
      <c r="W54" s="280">
        <f t="shared" si="12"/>
        <v>-250</v>
      </c>
      <c r="X54" s="277">
        <f t="shared" si="13"/>
        <v>0</v>
      </c>
      <c r="Y54" s="278">
        <v>0</v>
      </c>
      <c r="Z54" s="278">
        <v>0</v>
      </c>
      <c r="AA54" s="279">
        <f t="shared" si="0"/>
        <v>0</v>
      </c>
      <c r="AB54" s="11">
        <v>0</v>
      </c>
      <c r="AC54" s="9">
        <f>SUMIFS(입항스케줄!J:J,입항스케줄!C:C,PSI_메인!A54,입항스케줄!U:U,"2603")</f>
        <v>0</v>
      </c>
      <c r="AD54" s="11">
        <f>SUMIFS(입항스케줄!J:J,입항스케줄!C:C,PSI_메인!A54,입항스케줄!V:V,"2603")</f>
        <v>0</v>
      </c>
      <c r="AE54" s="280">
        <f t="shared" si="14"/>
        <v>0</v>
      </c>
      <c r="AF54" s="277">
        <f t="shared" si="15"/>
        <v>0</v>
      </c>
      <c r="AG54" s="278">
        <v>0</v>
      </c>
      <c r="AH54" s="278">
        <v>0</v>
      </c>
      <c r="AI54" s="279">
        <f t="shared" si="1"/>
        <v>0</v>
      </c>
      <c r="AJ54" s="11">
        <v>0</v>
      </c>
      <c r="AK54" s="9">
        <f>SUMIFS(입항스케줄!J:J,입항스케줄!C:C,PSI_메인!A54,입항스케줄!U:U,"2604")</f>
        <v>0</v>
      </c>
      <c r="AL54" s="11">
        <f>SUMIFS(입항스케줄!J:J,입항스케줄!C:C,PSI_메인!A54,입항스케줄!V:V,"2604")</f>
        <v>0</v>
      </c>
      <c r="AM54" s="280">
        <f t="shared" si="16"/>
        <v>0</v>
      </c>
      <c r="AN54" s="277">
        <f t="shared" si="17"/>
        <v>0</v>
      </c>
      <c r="AO54" s="278">
        <v>0</v>
      </c>
      <c r="AP54" s="278">
        <v>0</v>
      </c>
      <c r="AQ54" s="279">
        <f t="shared" si="2"/>
        <v>0</v>
      </c>
      <c r="AR54" s="11">
        <v>0</v>
      </c>
      <c r="AS54" s="9"/>
      <c r="AT54" s="277"/>
      <c r="AU54" s="280">
        <f t="shared" si="18"/>
        <v>0</v>
      </c>
      <c r="AV54" s="277">
        <f t="shared" si="19"/>
        <v>0</v>
      </c>
      <c r="AW54" s="278">
        <v>0</v>
      </c>
      <c r="AX54" s="278">
        <v>0</v>
      </c>
      <c r="AY54" s="279">
        <f t="shared" si="3"/>
        <v>0</v>
      </c>
      <c r="AZ54" s="11">
        <v>0</v>
      </c>
      <c r="BA54" s="9"/>
      <c r="BB54" s="11"/>
      <c r="BC54" s="280">
        <f t="shared" si="20"/>
        <v>0</v>
      </c>
      <c r="BD54" s="277">
        <f t="shared" si="21"/>
        <v>0</v>
      </c>
      <c r="BE54" s="278">
        <v>0</v>
      </c>
      <c r="BF54" s="278">
        <v>0</v>
      </c>
      <c r="BG54" s="279">
        <f t="shared" si="4"/>
        <v>0</v>
      </c>
      <c r="BH54" s="11">
        <v>0</v>
      </c>
      <c r="BI54" s="278"/>
      <c r="BJ54" s="11"/>
      <c r="BK54" s="280">
        <f t="shared" si="22"/>
        <v>0</v>
      </c>
      <c r="BL54" s="277">
        <f t="shared" si="23"/>
        <v>0</v>
      </c>
      <c r="BM54" s="278">
        <v>0</v>
      </c>
      <c r="BN54" s="278">
        <v>0</v>
      </c>
      <c r="BO54" s="279">
        <f t="shared" si="5"/>
        <v>0</v>
      </c>
      <c r="BP54" s="11">
        <v>0</v>
      </c>
      <c r="BQ54" s="278"/>
      <c r="BR54" s="11"/>
      <c r="BS54" s="280">
        <f t="shared" si="24"/>
        <v>0</v>
      </c>
      <c r="BT54" s="277">
        <f t="shared" si="25"/>
        <v>0</v>
      </c>
      <c r="BU54" s="278">
        <v>0</v>
      </c>
      <c r="BV54" s="278">
        <v>0</v>
      </c>
      <c r="BW54" s="279">
        <f t="shared" si="6"/>
        <v>0</v>
      </c>
      <c r="BX54" s="11">
        <v>0</v>
      </c>
      <c r="BY54" s="278"/>
      <c r="BZ54" s="11"/>
      <c r="CA54" s="280">
        <f t="shared" si="26"/>
        <v>0</v>
      </c>
      <c r="CB54" s="277">
        <f t="shared" si="27"/>
        <v>0</v>
      </c>
      <c r="CC54" s="278">
        <v>0</v>
      </c>
      <c r="CD54" s="278">
        <v>0</v>
      </c>
      <c r="CE54" s="279">
        <f t="shared" si="7"/>
        <v>0</v>
      </c>
      <c r="CF54" s="11">
        <v>0</v>
      </c>
      <c r="CG54" s="278"/>
      <c r="CH54" s="11"/>
      <c r="CI54" s="280">
        <f t="shared" si="28"/>
        <v>0</v>
      </c>
      <c r="CJ54" s="277">
        <f t="shared" si="29"/>
        <v>0</v>
      </c>
      <c r="CK54" s="278">
        <v>0</v>
      </c>
      <c r="CL54" s="278">
        <v>0</v>
      </c>
      <c r="CM54" s="279">
        <f t="shared" si="8"/>
        <v>0</v>
      </c>
      <c r="CN54" s="11">
        <v>0</v>
      </c>
      <c r="CO54" s="278"/>
      <c r="CP54" s="277"/>
      <c r="CQ54" s="280">
        <f t="shared" si="30"/>
        <v>0</v>
      </c>
      <c r="CR54" s="277">
        <f t="shared" si="31"/>
        <v>0</v>
      </c>
      <c r="CS54" s="278">
        <v>0</v>
      </c>
      <c r="CT54" s="278">
        <v>0</v>
      </c>
      <c r="CU54" s="279">
        <f t="shared" si="9"/>
        <v>0</v>
      </c>
      <c r="CV54" s="11">
        <v>0</v>
      </c>
      <c r="CW54" s="278"/>
      <c r="CX54" s="277"/>
      <c r="CY54" s="280">
        <f t="shared" si="32"/>
        <v>0</v>
      </c>
      <c r="CZ54" s="277">
        <f t="shared" si="33"/>
        <v>0</v>
      </c>
    </row>
    <row r="55" spans="1:104" ht="17.25" customHeight="1">
      <c r="A55" s="28" t="s">
        <v>632</v>
      </c>
      <c r="B55" s="382"/>
      <c r="C55" s="27"/>
      <c r="D55" s="28" t="str">
        <f>_xlfn.XLOOKUP(A55,'ABC-XYZ분석 (2)'!C:C,'ABC-XYZ분석 (2)'!I:I)</f>
        <v>여름</v>
      </c>
      <c r="E55" s="28" t="str">
        <f>_xlfn.XLOOKUP(A55,'ABC-XYZ분석 (2)'!C:C,'ABC-XYZ분석 (2)'!AC:AC)</f>
        <v>B</v>
      </c>
      <c r="F55" s="3" t="str">
        <f>_xlfn.XLOOKUP(A55,'ABC-XYZ분석 (2)'!C:C,'ABC-XYZ분석 (2)'!AG:AG)</f>
        <v>Z</v>
      </c>
      <c r="G55" s="14">
        <f>SUMIF(재고!C:C,PSI_메인!A55,재고!I:I)</f>
        <v>199</v>
      </c>
      <c r="H55" s="277">
        <v>430</v>
      </c>
      <c r="I55" s="278">
        <v>0</v>
      </c>
      <c r="J55" s="278">
        <v>0</v>
      </c>
      <c r="K55" s="279">
        <v>134.69999999999999</v>
      </c>
      <c r="L55" s="11">
        <v>0</v>
      </c>
      <c r="M55" s="9">
        <f>SUMIFS(입항스케줄!J:J,입항스케줄!C:C,PSI_메인!A55,입항스케줄!U:U,"2601")</f>
        <v>0</v>
      </c>
      <c r="N55" s="11">
        <f>SUMIFS(입항스케줄!J:J,입항스케줄!C:C,PSI_메인!A55,입항스케줄!V:V,"2601")</f>
        <v>0</v>
      </c>
      <c r="O55" s="280">
        <f t="shared" si="10"/>
        <v>64.300000000000011</v>
      </c>
      <c r="P55" s="277">
        <f t="shared" si="11"/>
        <v>199</v>
      </c>
      <c r="Q55" s="278">
        <v>0</v>
      </c>
      <c r="R55" s="278">
        <v>0</v>
      </c>
      <c r="S55" s="10">
        <v>89.800000000000011</v>
      </c>
      <c r="T55" s="11">
        <v>0</v>
      </c>
      <c r="U55" s="9">
        <f>SUMIFS(입항스케줄!J:J,입항스케줄!C:C,PSI_메인!A55,입항스케줄!U:U,"2602")</f>
        <v>0</v>
      </c>
      <c r="V55" s="11">
        <f>SUMIFS(입항스케줄!J:J,입항스케줄!C:C,PSI_메인!A55,입항스케줄!V:V,"2602")</f>
        <v>0</v>
      </c>
      <c r="W55" s="280">
        <f t="shared" si="12"/>
        <v>109.19999999999999</v>
      </c>
      <c r="X55" s="277">
        <f t="shared" si="13"/>
        <v>199</v>
      </c>
      <c r="Y55" s="278">
        <v>0</v>
      </c>
      <c r="Z55" s="278">
        <v>0</v>
      </c>
      <c r="AA55" s="279">
        <f t="shared" si="0"/>
        <v>0</v>
      </c>
      <c r="AB55" s="11">
        <v>0</v>
      </c>
      <c r="AC55" s="9">
        <f>SUMIFS(입항스케줄!J:J,입항스케줄!C:C,PSI_메인!A55,입항스케줄!U:U,"2603")</f>
        <v>0</v>
      </c>
      <c r="AD55" s="11">
        <f>SUMIFS(입항스케줄!J:J,입항스케줄!C:C,PSI_메인!A55,입항스케줄!V:V,"2603")</f>
        <v>0</v>
      </c>
      <c r="AE55" s="280">
        <f t="shared" si="14"/>
        <v>199</v>
      </c>
      <c r="AF55" s="277">
        <f t="shared" si="15"/>
        <v>199</v>
      </c>
      <c r="AG55" s="278">
        <v>0</v>
      </c>
      <c r="AH55" s="278">
        <v>0</v>
      </c>
      <c r="AI55" s="279">
        <f t="shared" si="1"/>
        <v>0</v>
      </c>
      <c r="AJ55" s="11">
        <v>0</v>
      </c>
      <c r="AK55" s="9">
        <f>SUMIFS(입항스케줄!J:J,입항스케줄!C:C,PSI_메인!A55,입항스케줄!U:U,"2604")</f>
        <v>0</v>
      </c>
      <c r="AL55" s="11">
        <f>SUMIFS(입항스케줄!J:J,입항스케줄!C:C,PSI_메인!A55,입항스케줄!V:V,"2604")</f>
        <v>0</v>
      </c>
      <c r="AM55" s="280">
        <f t="shared" si="16"/>
        <v>199</v>
      </c>
      <c r="AN55" s="277">
        <f t="shared" si="17"/>
        <v>199</v>
      </c>
      <c r="AO55" s="278">
        <v>0</v>
      </c>
      <c r="AP55" s="278">
        <v>0</v>
      </c>
      <c r="AQ55" s="279">
        <f t="shared" si="2"/>
        <v>0</v>
      </c>
      <c r="AR55" s="11">
        <v>0</v>
      </c>
      <c r="AS55" s="9"/>
      <c r="AT55" s="277"/>
      <c r="AU55" s="280">
        <f t="shared" si="18"/>
        <v>199</v>
      </c>
      <c r="AV55" s="277">
        <f t="shared" si="19"/>
        <v>199</v>
      </c>
      <c r="AW55" s="278">
        <v>0</v>
      </c>
      <c r="AX55" s="278">
        <v>0</v>
      </c>
      <c r="AY55" s="279">
        <f t="shared" si="3"/>
        <v>0</v>
      </c>
      <c r="AZ55" s="11">
        <v>0</v>
      </c>
      <c r="BA55" s="9"/>
      <c r="BB55" s="11"/>
      <c r="BC55" s="280">
        <f t="shared" si="20"/>
        <v>199</v>
      </c>
      <c r="BD55" s="277">
        <f t="shared" si="21"/>
        <v>199</v>
      </c>
      <c r="BE55" s="278">
        <v>0</v>
      </c>
      <c r="BF55" s="278">
        <v>0</v>
      </c>
      <c r="BG55" s="279">
        <f t="shared" si="4"/>
        <v>0</v>
      </c>
      <c r="BH55" s="11">
        <v>0</v>
      </c>
      <c r="BI55" s="278"/>
      <c r="BJ55" s="11"/>
      <c r="BK55" s="280">
        <f t="shared" si="22"/>
        <v>199</v>
      </c>
      <c r="BL55" s="277">
        <f t="shared" si="23"/>
        <v>199</v>
      </c>
      <c r="BM55" s="278">
        <v>0</v>
      </c>
      <c r="BN55" s="278">
        <v>0</v>
      </c>
      <c r="BO55" s="279">
        <f t="shared" si="5"/>
        <v>0</v>
      </c>
      <c r="BP55" s="11">
        <v>0</v>
      </c>
      <c r="BQ55" s="278"/>
      <c r="BR55" s="11"/>
      <c r="BS55" s="280">
        <f t="shared" si="24"/>
        <v>199</v>
      </c>
      <c r="BT55" s="277">
        <f t="shared" si="25"/>
        <v>199</v>
      </c>
      <c r="BU55" s="278">
        <v>0</v>
      </c>
      <c r="BV55" s="278">
        <v>0</v>
      </c>
      <c r="BW55" s="279">
        <f t="shared" si="6"/>
        <v>0</v>
      </c>
      <c r="BX55" s="11">
        <v>0</v>
      </c>
      <c r="BY55" s="278"/>
      <c r="BZ55" s="11"/>
      <c r="CA55" s="280">
        <f t="shared" si="26"/>
        <v>199</v>
      </c>
      <c r="CB55" s="277">
        <f t="shared" si="27"/>
        <v>199</v>
      </c>
      <c r="CC55" s="278">
        <v>0</v>
      </c>
      <c r="CD55" s="278">
        <v>0</v>
      </c>
      <c r="CE55" s="279">
        <f t="shared" si="7"/>
        <v>0</v>
      </c>
      <c r="CF55" s="11">
        <v>0</v>
      </c>
      <c r="CG55" s="278"/>
      <c r="CH55" s="11"/>
      <c r="CI55" s="280">
        <f t="shared" si="28"/>
        <v>199</v>
      </c>
      <c r="CJ55" s="277">
        <f t="shared" si="29"/>
        <v>199</v>
      </c>
      <c r="CK55" s="278">
        <v>0</v>
      </c>
      <c r="CL55" s="278">
        <v>0</v>
      </c>
      <c r="CM55" s="279">
        <f t="shared" si="8"/>
        <v>0</v>
      </c>
      <c r="CN55" s="11">
        <v>0</v>
      </c>
      <c r="CO55" s="278"/>
      <c r="CP55" s="277"/>
      <c r="CQ55" s="280">
        <f t="shared" si="30"/>
        <v>199</v>
      </c>
      <c r="CR55" s="277">
        <f t="shared" si="31"/>
        <v>199</v>
      </c>
      <c r="CS55" s="278">
        <v>0</v>
      </c>
      <c r="CT55" s="278">
        <v>0</v>
      </c>
      <c r="CU55" s="279">
        <f t="shared" si="9"/>
        <v>0</v>
      </c>
      <c r="CV55" s="11">
        <v>0</v>
      </c>
      <c r="CW55" s="278"/>
      <c r="CX55" s="277"/>
      <c r="CY55" s="280">
        <f t="shared" si="32"/>
        <v>199</v>
      </c>
      <c r="CZ55" s="277">
        <f t="shared" si="33"/>
        <v>199</v>
      </c>
    </row>
    <row r="56" spans="1:104" ht="17.25" customHeight="1">
      <c r="A56" s="28" t="s">
        <v>633</v>
      </c>
      <c r="B56" s="382"/>
      <c r="C56" s="27"/>
      <c r="D56" s="28" t="str">
        <f>_xlfn.XLOOKUP(A56,'ABC-XYZ분석 (2)'!C:C,'ABC-XYZ분석 (2)'!I:I)</f>
        <v>사계절</v>
      </c>
      <c r="E56" s="28" t="str">
        <f>_xlfn.XLOOKUP(A56,'ABC-XYZ분석 (2)'!C:C,'ABC-XYZ분석 (2)'!AC:AC)</f>
        <v>B</v>
      </c>
      <c r="F56" s="3" t="str">
        <f>_xlfn.XLOOKUP(A56,'ABC-XYZ분석 (2)'!C:C,'ABC-XYZ분석 (2)'!AG:AG)</f>
        <v>Y</v>
      </c>
      <c r="G56" s="14">
        <f>SUMIF(재고!C:C,PSI_메인!A56,재고!I:I)</f>
        <v>200</v>
      </c>
      <c r="H56" s="277">
        <v>3718</v>
      </c>
      <c r="I56" s="278">
        <v>0</v>
      </c>
      <c r="J56" s="278">
        <v>0</v>
      </c>
      <c r="K56" s="279">
        <v>0</v>
      </c>
      <c r="L56" s="11">
        <v>0</v>
      </c>
      <c r="M56" s="9">
        <f>SUMIFS(입항스케줄!J:J,입항스케줄!C:C,PSI_메인!A56,입항스케줄!U:U,"2601")</f>
        <v>0</v>
      </c>
      <c r="N56" s="11">
        <f>SUMIFS(입항스케줄!J:J,입항스케줄!C:C,PSI_메인!A56,입항스케줄!V:V,"2601")</f>
        <v>0</v>
      </c>
      <c r="O56" s="280">
        <f t="shared" si="10"/>
        <v>200</v>
      </c>
      <c r="P56" s="277">
        <f t="shared" si="11"/>
        <v>200</v>
      </c>
      <c r="Q56" s="278">
        <v>0</v>
      </c>
      <c r="R56" s="278">
        <v>0</v>
      </c>
      <c r="S56" s="10">
        <v>0</v>
      </c>
      <c r="T56" s="11">
        <v>0</v>
      </c>
      <c r="U56" s="9">
        <f>SUMIFS(입항스케줄!J:J,입항스케줄!C:C,PSI_메인!A56,입항스케줄!U:U,"2602")</f>
        <v>0</v>
      </c>
      <c r="V56" s="11">
        <f>SUMIFS(입항스케줄!J:J,입항스케줄!C:C,PSI_메인!A56,입항스케줄!V:V,"2602")</f>
        <v>0</v>
      </c>
      <c r="W56" s="280">
        <f t="shared" si="12"/>
        <v>200</v>
      </c>
      <c r="X56" s="277">
        <f t="shared" si="13"/>
        <v>200</v>
      </c>
      <c r="Y56" s="278">
        <v>0</v>
      </c>
      <c r="Z56" s="278">
        <v>0</v>
      </c>
      <c r="AA56" s="279">
        <f t="shared" si="0"/>
        <v>0</v>
      </c>
      <c r="AB56" s="11">
        <v>0</v>
      </c>
      <c r="AC56" s="9">
        <f>SUMIFS(입항스케줄!J:J,입항스케줄!C:C,PSI_메인!A56,입항스케줄!U:U,"2603")</f>
        <v>0</v>
      </c>
      <c r="AD56" s="11">
        <f>SUMIFS(입항스케줄!J:J,입항스케줄!C:C,PSI_메인!A56,입항스케줄!V:V,"2603")</f>
        <v>0</v>
      </c>
      <c r="AE56" s="280">
        <f t="shared" si="14"/>
        <v>200</v>
      </c>
      <c r="AF56" s="277">
        <f t="shared" si="15"/>
        <v>200</v>
      </c>
      <c r="AG56" s="278">
        <v>0</v>
      </c>
      <c r="AH56" s="278">
        <v>0</v>
      </c>
      <c r="AI56" s="279">
        <f t="shared" si="1"/>
        <v>0</v>
      </c>
      <c r="AJ56" s="11">
        <v>0</v>
      </c>
      <c r="AK56" s="9">
        <f>SUMIFS(입항스케줄!J:J,입항스케줄!C:C,PSI_메인!A56,입항스케줄!U:U,"2604")</f>
        <v>0</v>
      </c>
      <c r="AL56" s="11">
        <f>SUMIFS(입항스케줄!J:J,입항스케줄!C:C,PSI_메인!A56,입항스케줄!V:V,"2604")</f>
        <v>0</v>
      </c>
      <c r="AM56" s="280">
        <f t="shared" si="16"/>
        <v>200</v>
      </c>
      <c r="AN56" s="277">
        <f t="shared" si="17"/>
        <v>200</v>
      </c>
      <c r="AO56" s="278">
        <v>0</v>
      </c>
      <c r="AP56" s="278">
        <v>0</v>
      </c>
      <c r="AQ56" s="279">
        <f t="shared" si="2"/>
        <v>0</v>
      </c>
      <c r="AR56" s="11">
        <v>0</v>
      </c>
      <c r="AS56" s="9"/>
      <c r="AT56" s="277"/>
      <c r="AU56" s="280">
        <f t="shared" si="18"/>
        <v>200</v>
      </c>
      <c r="AV56" s="277">
        <f t="shared" si="19"/>
        <v>200</v>
      </c>
      <c r="AW56" s="278">
        <v>0</v>
      </c>
      <c r="AX56" s="278">
        <v>0</v>
      </c>
      <c r="AY56" s="279">
        <f t="shared" si="3"/>
        <v>0</v>
      </c>
      <c r="AZ56" s="11">
        <v>0</v>
      </c>
      <c r="BA56" s="9"/>
      <c r="BB56" s="11"/>
      <c r="BC56" s="280">
        <f t="shared" si="20"/>
        <v>200</v>
      </c>
      <c r="BD56" s="277">
        <f t="shared" si="21"/>
        <v>200</v>
      </c>
      <c r="BE56" s="278">
        <v>0</v>
      </c>
      <c r="BF56" s="278">
        <v>0</v>
      </c>
      <c r="BG56" s="279">
        <f t="shared" si="4"/>
        <v>0</v>
      </c>
      <c r="BH56" s="11">
        <v>0</v>
      </c>
      <c r="BI56" s="278"/>
      <c r="BJ56" s="11"/>
      <c r="BK56" s="280">
        <f t="shared" si="22"/>
        <v>200</v>
      </c>
      <c r="BL56" s="277">
        <f t="shared" si="23"/>
        <v>200</v>
      </c>
      <c r="BM56" s="278">
        <v>0</v>
      </c>
      <c r="BN56" s="278">
        <v>0</v>
      </c>
      <c r="BO56" s="279">
        <f t="shared" si="5"/>
        <v>0</v>
      </c>
      <c r="BP56" s="11">
        <v>0</v>
      </c>
      <c r="BQ56" s="278"/>
      <c r="BR56" s="11"/>
      <c r="BS56" s="280">
        <f t="shared" si="24"/>
        <v>200</v>
      </c>
      <c r="BT56" s="277">
        <f t="shared" si="25"/>
        <v>200</v>
      </c>
      <c r="BU56" s="278">
        <v>0</v>
      </c>
      <c r="BV56" s="278">
        <v>0</v>
      </c>
      <c r="BW56" s="279">
        <f t="shared" si="6"/>
        <v>0</v>
      </c>
      <c r="BX56" s="11">
        <v>0</v>
      </c>
      <c r="BY56" s="278"/>
      <c r="BZ56" s="11"/>
      <c r="CA56" s="280">
        <f t="shared" si="26"/>
        <v>200</v>
      </c>
      <c r="CB56" s="277">
        <f t="shared" si="27"/>
        <v>200</v>
      </c>
      <c r="CC56" s="278">
        <v>0</v>
      </c>
      <c r="CD56" s="278">
        <v>0</v>
      </c>
      <c r="CE56" s="279">
        <f t="shared" si="7"/>
        <v>0</v>
      </c>
      <c r="CF56" s="11">
        <v>0</v>
      </c>
      <c r="CG56" s="278"/>
      <c r="CH56" s="11"/>
      <c r="CI56" s="280">
        <f t="shared" si="28"/>
        <v>200</v>
      </c>
      <c r="CJ56" s="277">
        <f t="shared" si="29"/>
        <v>200</v>
      </c>
      <c r="CK56" s="278">
        <v>0</v>
      </c>
      <c r="CL56" s="278">
        <v>0</v>
      </c>
      <c r="CM56" s="279">
        <f t="shared" si="8"/>
        <v>0</v>
      </c>
      <c r="CN56" s="11">
        <v>0</v>
      </c>
      <c r="CO56" s="278"/>
      <c r="CP56" s="277"/>
      <c r="CQ56" s="280">
        <f t="shared" si="30"/>
        <v>200</v>
      </c>
      <c r="CR56" s="277">
        <f t="shared" si="31"/>
        <v>200</v>
      </c>
      <c r="CS56" s="278">
        <v>0</v>
      </c>
      <c r="CT56" s="278">
        <v>0</v>
      </c>
      <c r="CU56" s="279">
        <f t="shared" si="9"/>
        <v>0</v>
      </c>
      <c r="CV56" s="11">
        <v>0</v>
      </c>
      <c r="CW56" s="278"/>
      <c r="CX56" s="277"/>
      <c r="CY56" s="280">
        <f t="shared" si="32"/>
        <v>200</v>
      </c>
      <c r="CZ56" s="277">
        <f t="shared" si="33"/>
        <v>200</v>
      </c>
    </row>
    <row r="57" spans="1:104" ht="17.25" customHeight="1">
      <c r="A57" s="28" t="s">
        <v>634</v>
      </c>
      <c r="B57" s="382"/>
      <c r="C57" s="27"/>
      <c r="D57" s="28" t="str">
        <f>_xlfn.XLOOKUP(A57,'ABC-XYZ분석 (2)'!C:C,'ABC-XYZ분석 (2)'!I:I)</f>
        <v>여름</v>
      </c>
      <c r="E57" s="28" t="str">
        <f>_xlfn.XLOOKUP(A57,'ABC-XYZ분석 (2)'!C:C,'ABC-XYZ분석 (2)'!AC:AC)</f>
        <v>B</v>
      </c>
      <c r="F57" s="3" t="str">
        <f>_xlfn.XLOOKUP(A57,'ABC-XYZ분석 (2)'!C:C,'ABC-XYZ분석 (2)'!AG:AG)</f>
        <v>Y</v>
      </c>
      <c r="G57" s="14">
        <f>SUMIF(재고!C:C,PSI_메인!A57,재고!I:I)</f>
        <v>158</v>
      </c>
      <c r="H57" s="277">
        <v>0</v>
      </c>
      <c r="I57" s="278">
        <v>0</v>
      </c>
      <c r="J57" s="278">
        <v>0</v>
      </c>
      <c r="K57" s="279">
        <v>300</v>
      </c>
      <c r="L57" s="11">
        <v>0</v>
      </c>
      <c r="M57" s="9">
        <f>SUMIFS(입항스케줄!J:J,입항스케줄!C:C,PSI_메인!A57,입항스케줄!U:U,"2601")</f>
        <v>0</v>
      </c>
      <c r="N57" s="11">
        <f>SUMIFS(입항스케줄!J:J,입항스케줄!C:C,PSI_메인!A57,입항스케줄!V:V,"2601")</f>
        <v>0</v>
      </c>
      <c r="O57" s="280">
        <f t="shared" si="10"/>
        <v>-142</v>
      </c>
      <c r="P57" s="277">
        <f t="shared" si="11"/>
        <v>158</v>
      </c>
      <c r="Q57" s="278">
        <v>0</v>
      </c>
      <c r="R57" s="278">
        <v>0</v>
      </c>
      <c r="S57" s="10">
        <v>0</v>
      </c>
      <c r="T57" s="11">
        <v>0</v>
      </c>
      <c r="U57" s="9">
        <f>SUMIFS(입항스케줄!J:J,입항스케줄!C:C,PSI_메인!A57,입항스케줄!U:U,"2602")</f>
        <v>32</v>
      </c>
      <c r="V57" s="11">
        <f>SUMIFS(입항스케줄!J:J,입항스케줄!C:C,PSI_메인!A57,입항스케줄!V:V,"2602")</f>
        <v>32</v>
      </c>
      <c r="W57" s="280">
        <f t="shared" si="12"/>
        <v>190</v>
      </c>
      <c r="X57" s="277">
        <f t="shared" si="13"/>
        <v>190</v>
      </c>
      <c r="Y57" s="278">
        <v>0</v>
      </c>
      <c r="Z57" s="278">
        <v>0</v>
      </c>
      <c r="AA57" s="279">
        <f t="shared" si="0"/>
        <v>0</v>
      </c>
      <c r="AB57" s="11">
        <v>0</v>
      </c>
      <c r="AC57" s="9">
        <f>SUMIFS(입항스케줄!J:J,입항스케줄!C:C,PSI_메인!A57,입항스케줄!U:U,"2603")</f>
        <v>0</v>
      </c>
      <c r="AD57" s="11">
        <f>SUMIFS(입항스케줄!J:J,입항스케줄!C:C,PSI_메인!A57,입항스케줄!V:V,"2603")</f>
        <v>0</v>
      </c>
      <c r="AE57" s="280">
        <f t="shared" si="14"/>
        <v>158</v>
      </c>
      <c r="AF57" s="277">
        <f t="shared" si="15"/>
        <v>158</v>
      </c>
      <c r="AG57" s="278">
        <v>0</v>
      </c>
      <c r="AH57" s="278">
        <v>0</v>
      </c>
      <c r="AI57" s="279">
        <f t="shared" si="1"/>
        <v>0</v>
      </c>
      <c r="AJ57" s="11">
        <v>0</v>
      </c>
      <c r="AK57" s="9">
        <f>SUMIFS(입항스케줄!J:J,입항스케줄!C:C,PSI_메인!A57,입항스케줄!U:U,"2604")</f>
        <v>0</v>
      </c>
      <c r="AL57" s="11">
        <f>SUMIFS(입항스케줄!J:J,입항스케줄!C:C,PSI_메인!A57,입항스케줄!V:V,"2604")</f>
        <v>0</v>
      </c>
      <c r="AM57" s="280">
        <f t="shared" si="16"/>
        <v>158</v>
      </c>
      <c r="AN57" s="277">
        <f t="shared" si="17"/>
        <v>158</v>
      </c>
      <c r="AO57" s="278">
        <v>0</v>
      </c>
      <c r="AP57" s="278">
        <v>0</v>
      </c>
      <c r="AQ57" s="279">
        <f t="shared" si="2"/>
        <v>0</v>
      </c>
      <c r="AR57" s="11">
        <v>0</v>
      </c>
      <c r="AS57" s="9"/>
      <c r="AT57" s="277"/>
      <c r="AU57" s="280">
        <f t="shared" si="18"/>
        <v>158</v>
      </c>
      <c r="AV57" s="277">
        <f t="shared" si="19"/>
        <v>158</v>
      </c>
      <c r="AW57" s="278">
        <v>0</v>
      </c>
      <c r="AX57" s="278">
        <v>0</v>
      </c>
      <c r="AY57" s="279">
        <f t="shared" si="3"/>
        <v>0</v>
      </c>
      <c r="AZ57" s="11">
        <v>0</v>
      </c>
      <c r="BA57" s="9"/>
      <c r="BB57" s="11"/>
      <c r="BC57" s="280">
        <f t="shared" si="20"/>
        <v>158</v>
      </c>
      <c r="BD57" s="277">
        <f t="shared" si="21"/>
        <v>158</v>
      </c>
      <c r="BE57" s="278">
        <v>0</v>
      </c>
      <c r="BF57" s="278">
        <v>0</v>
      </c>
      <c r="BG57" s="279">
        <f t="shared" si="4"/>
        <v>0</v>
      </c>
      <c r="BH57" s="11">
        <v>0</v>
      </c>
      <c r="BI57" s="278"/>
      <c r="BJ57" s="11"/>
      <c r="BK57" s="280">
        <f t="shared" si="22"/>
        <v>158</v>
      </c>
      <c r="BL57" s="277">
        <f t="shared" si="23"/>
        <v>158</v>
      </c>
      <c r="BM57" s="278">
        <v>0</v>
      </c>
      <c r="BN57" s="278">
        <v>0</v>
      </c>
      <c r="BO57" s="279">
        <f t="shared" si="5"/>
        <v>0</v>
      </c>
      <c r="BP57" s="11">
        <v>0</v>
      </c>
      <c r="BQ57" s="278"/>
      <c r="BR57" s="11"/>
      <c r="BS57" s="280">
        <f t="shared" si="24"/>
        <v>158</v>
      </c>
      <c r="BT57" s="277">
        <f t="shared" si="25"/>
        <v>158</v>
      </c>
      <c r="BU57" s="278">
        <v>0</v>
      </c>
      <c r="BV57" s="278">
        <v>0</v>
      </c>
      <c r="BW57" s="279">
        <f t="shared" si="6"/>
        <v>0</v>
      </c>
      <c r="BX57" s="11">
        <v>0</v>
      </c>
      <c r="BY57" s="278"/>
      <c r="BZ57" s="11"/>
      <c r="CA57" s="280">
        <f t="shared" si="26"/>
        <v>158</v>
      </c>
      <c r="CB57" s="277">
        <f t="shared" si="27"/>
        <v>158</v>
      </c>
      <c r="CC57" s="278">
        <v>0</v>
      </c>
      <c r="CD57" s="278">
        <v>0</v>
      </c>
      <c r="CE57" s="279">
        <f t="shared" si="7"/>
        <v>0</v>
      </c>
      <c r="CF57" s="11">
        <v>0</v>
      </c>
      <c r="CG57" s="278"/>
      <c r="CH57" s="11"/>
      <c r="CI57" s="280">
        <f t="shared" si="28"/>
        <v>158</v>
      </c>
      <c r="CJ57" s="277">
        <f t="shared" si="29"/>
        <v>158</v>
      </c>
      <c r="CK57" s="278">
        <v>0</v>
      </c>
      <c r="CL57" s="278">
        <v>0</v>
      </c>
      <c r="CM57" s="279">
        <f t="shared" si="8"/>
        <v>0</v>
      </c>
      <c r="CN57" s="11">
        <v>0</v>
      </c>
      <c r="CO57" s="278"/>
      <c r="CP57" s="277"/>
      <c r="CQ57" s="280">
        <f t="shared" si="30"/>
        <v>158</v>
      </c>
      <c r="CR57" s="277">
        <f t="shared" si="31"/>
        <v>158</v>
      </c>
      <c r="CS57" s="278">
        <v>0</v>
      </c>
      <c r="CT57" s="278">
        <v>0</v>
      </c>
      <c r="CU57" s="279">
        <f t="shared" si="9"/>
        <v>0</v>
      </c>
      <c r="CV57" s="11">
        <v>0</v>
      </c>
      <c r="CW57" s="278"/>
      <c r="CX57" s="277"/>
      <c r="CY57" s="280">
        <f t="shared" si="32"/>
        <v>158</v>
      </c>
      <c r="CZ57" s="277">
        <f t="shared" si="33"/>
        <v>158</v>
      </c>
    </row>
    <row r="58" spans="1:104" ht="17.25" customHeight="1">
      <c r="A58" s="28" t="s">
        <v>635</v>
      </c>
      <c r="B58" s="382"/>
      <c r="C58" s="27"/>
      <c r="D58" s="28" t="str">
        <f>_xlfn.XLOOKUP(A58,'ABC-XYZ분석 (2)'!C:C,'ABC-XYZ분석 (2)'!I:I)</f>
        <v>사계절</v>
      </c>
      <c r="E58" s="28" t="str">
        <f>_xlfn.XLOOKUP(A58,'ABC-XYZ분석 (2)'!C:C,'ABC-XYZ분석 (2)'!AC:AC)</f>
        <v>B</v>
      </c>
      <c r="F58" s="3" t="str">
        <f>_xlfn.XLOOKUP(A58,'ABC-XYZ분석 (2)'!C:C,'ABC-XYZ분석 (2)'!AG:AG)</f>
        <v>X</v>
      </c>
      <c r="G58" s="14">
        <f>SUMIF(재고!C:C,PSI_메인!A58,재고!I:I)</f>
        <v>3</v>
      </c>
      <c r="H58" s="277">
        <v>86</v>
      </c>
      <c r="I58" s="278">
        <v>0</v>
      </c>
      <c r="J58" s="278">
        <v>0</v>
      </c>
      <c r="K58" s="279">
        <v>75</v>
      </c>
      <c r="L58" s="11">
        <v>0</v>
      </c>
      <c r="M58" s="9">
        <f>SUMIFS(입항스케줄!J:J,입항스케줄!C:C,PSI_메인!A58,입항스케줄!U:U,"2601")</f>
        <v>336</v>
      </c>
      <c r="N58" s="11">
        <f>SUMIFS(입항스케줄!J:J,입항스케줄!C:C,PSI_메인!A58,입항스케줄!V:V,"2601")</f>
        <v>336</v>
      </c>
      <c r="O58" s="280">
        <f t="shared" si="10"/>
        <v>264</v>
      </c>
      <c r="P58" s="277">
        <f t="shared" si="11"/>
        <v>339</v>
      </c>
      <c r="Q58" s="278">
        <v>0</v>
      </c>
      <c r="R58" s="278">
        <v>0</v>
      </c>
      <c r="S58" s="10">
        <v>300</v>
      </c>
      <c r="T58" s="11">
        <v>0</v>
      </c>
      <c r="U58" s="9">
        <f>SUMIFS(입항스케줄!J:J,입항스케줄!C:C,PSI_메인!A58,입항스케줄!U:U,"2602")</f>
        <v>0</v>
      </c>
      <c r="V58" s="11">
        <f>SUMIFS(입항스케줄!J:J,입항스케줄!C:C,PSI_메인!A58,입항스케줄!V:V,"2602")</f>
        <v>0</v>
      </c>
      <c r="W58" s="280">
        <f t="shared" si="12"/>
        <v>-297</v>
      </c>
      <c r="X58" s="277">
        <f t="shared" si="13"/>
        <v>3</v>
      </c>
      <c r="Y58" s="278">
        <v>0</v>
      </c>
      <c r="Z58" s="278">
        <v>0</v>
      </c>
      <c r="AA58" s="279">
        <f t="shared" si="0"/>
        <v>0</v>
      </c>
      <c r="AB58" s="11">
        <v>0</v>
      </c>
      <c r="AC58" s="9">
        <f>SUMIFS(입항스케줄!J:J,입항스케줄!C:C,PSI_메인!A58,입항스케줄!U:U,"2603")</f>
        <v>0</v>
      </c>
      <c r="AD58" s="11">
        <f>SUMIFS(입항스케줄!J:J,입항스케줄!C:C,PSI_메인!A58,입항스케줄!V:V,"2603")</f>
        <v>0</v>
      </c>
      <c r="AE58" s="280">
        <f t="shared" si="14"/>
        <v>3</v>
      </c>
      <c r="AF58" s="277">
        <f t="shared" si="15"/>
        <v>3</v>
      </c>
      <c r="AG58" s="278">
        <v>0</v>
      </c>
      <c r="AH58" s="278">
        <v>0</v>
      </c>
      <c r="AI58" s="279">
        <f t="shared" si="1"/>
        <v>0</v>
      </c>
      <c r="AJ58" s="11">
        <v>0</v>
      </c>
      <c r="AK58" s="9">
        <f>SUMIFS(입항스케줄!J:J,입항스케줄!C:C,PSI_메인!A58,입항스케줄!U:U,"2604")</f>
        <v>0</v>
      </c>
      <c r="AL58" s="11">
        <f>SUMIFS(입항스케줄!J:J,입항스케줄!C:C,PSI_메인!A58,입항스케줄!V:V,"2604")</f>
        <v>0</v>
      </c>
      <c r="AM58" s="280">
        <f t="shared" si="16"/>
        <v>3</v>
      </c>
      <c r="AN58" s="277">
        <f t="shared" si="17"/>
        <v>3</v>
      </c>
      <c r="AO58" s="278">
        <v>0</v>
      </c>
      <c r="AP58" s="278">
        <v>0</v>
      </c>
      <c r="AQ58" s="279">
        <f t="shared" si="2"/>
        <v>0</v>
      </c>
      <c r="AR58" s="11">
        <v>0</v>
      </c>
      <c r="AS58" s="9"/>
      <c r="AT58" s="277"/>
      <c r="AU58" s="280">
        <f t="shared" si="18"/>
        <v>3</v>
      </c>
      <c r="AV58" s="277">
        <f t="shared" si="19"/>
        <v>3</v>
      </c>
      <c r="AW58" s="278">
        <v>0</v>
      </c>
      <c r="AX58" s="278">
        <v>0</v>
      </c>
      <c r="AY58" s="279">
        <f t="shared" si="3"/>
        <v>0</v>
      </c>
      <c r="AZ58" s="11">
        <v>0</v>
      </c>
      <c r="BA58" s="9"/>
      <c r="BB58" s="11"/>
      <c r="BC58" s="280">
        <f t="shared" si="20"/>
        <v>3</v>
      </c>
      <c r="BD58" s="277">
        <f t="shared" si="21"/>
        <v>3</v>
      </c>
      <c r="BE58" s="278">
        <v>0</v>
      </c>
      <c r="BF58" s="278">
        <v>0</v>
      </c>
      <c r="BG58" s="279">
        <f t="shared" si="4"/>
        <v>0</v>
      </c>
      <c r="BH58" s="11">
        <v>0</v>
      </c>
      <c r="BI58" s="278"/>
      <c r="BJ58" s="11"/>
      <c r="BK58" s="280">
        <f t="shared" si="22"/>
        <v>3</v>
      </c>
      <c r="BL58" s="277">
        <f t="shared" si="23"/>
        <v>3</v>
      </c>
      <c r="BM58" s="278">
        <v>0</v>
      </c>
      <c r="BN58" s="278">
        <v>0</v>
      </c>
      <c r="BO58" s="279">
        <f t="shared" si="5"/>
        <v>0</v>
      </c>
      <c r="BP58" s="11">
        <v>0</v>
      </c>
      <c r="BQ58" s="278"/>
      <c r="BR58" s="11"/>
      <c r="BS58" s="280">
        <f t="shared" si="24"/>
        <v>3</v>
      </c>
      <c r="BT58" s="277">
        <f t="shared" si="25"/>
        <v>3</v>
      </c>
      <c r="BU58" s="278">
        <v>0</v>
      </c>
      <c r="BV58" s="278">
        <v>0</v>
      </c>
      <c r="BW58" s="279">
        <f t="shared" si="6"/>
        <v>0</v>
      </c>
      <c r="BX58" s="11">
        <v>0</v>
      </c>
      <c r="BY58" s="278"/>
      <c r="BZ58" s="11"/>
      <c r="CA58" s="280">
        <f t="shared" si="26"/>
        <v>3</v>
      </c>
      <c r="CB58" s="277">
        <f t="shared" si="27"/>
        <v>3</v>
      </c>
      <c r="CC58" s="278">
        <v>0</v>
      </c>
      <c r="CD58" s="278">
        <v>0</v>
      </c>
      <c r="CE58" s="279">
        <f t="shared" si="7"/>
        <v>0</v>
      </c>
      <c r="CF58" s="11">
        <v>0</v>
      </c>
      <c r="CG58" s="278"/>
      <c r="CH58" s="11"/>
      <c r="CI58" s="280">
        <f t="shared" si="28"/>
        <v>3</v>
      </c>
      <c r="CJ58" s="277">
        <f t="shared" si="29"/>
        <v>3</v>
      </c>
      <c r="CK58" s="278">
        <v>0</v>
      </c>
      <c r="CL58" s="278">
        <v>0</v>
      </c>
      <c r="CM58" s="279">
        <f t="shared" si="8"/>
        <v>0</v>
      </c>
      <c r="CN58" s="11">
        <v>0</v>
      </c>
      <c r="CO58" s="278"/>
      <c r="CP58" s="277"/>
      <c r="CQ58" s="280">
        <f t="shared" si="30"/>
        <v>3</v>
      </c>
      <c r="CR58" s="277">
        <f t="shared" si="31"/>
        <v>3</v>
      </c>
      <c r="CS58" s="278">
        <v>0</v>
      </c>
      <c r="CT58" s="278">
        <v>0</v>
      </c>
      <c r="CU58" s="279">
        <f t="shared" si="9"/>
        <v>0</v>
      </c>
      <c r="CV58" s="11">
        <v>0</v>
      </c>
      <c r="CW58" s="278"/>
      <c r="CX58" s="277"/>
      <c r="CY58" s="280">
        <f t="shared" si="32"/>
        <v>3</v>
      </c>
      <c r="CZ58" s="277">
        <f t="shared" si="33"/>
        <v>3</v>
      </c>
    </row>
    <row r="59" spans="1:104" ht="17.25" customHeight="1">
      <c r="A59" s="28" t="s">
        <v>636</v>
      </c>
      <c r="B59" s="382"/>
      <c r="C59" s="27"/>
      <c r="D59" s="28" t="str">
        <f>_xlfn.XLOOKUP(A59,'ABC-XYZ분석 (2)'!C:C,'ABC-XYZ분석 (2)'!I:I)</f>
        <v>사계절</v>
      </c>
      <c r="E59" s="28" t="str">
        <f>_xlfn.XLOOKUP(A59,'ABC-XYZ분석 (2)'!C:C,'ABC-XYZ분석 (2)'!AC:AC)</f>
        <v>B</v>
      </c>
      <c r="F59" s="3" t="str">
        <f>_xlfn.XLOOKUP(A59,'ABC-XYZ분석 (2)'!C:C,'ABC-XYZ분석 (2)'!AG:AG)</f>
        <v>X</v>
      </c>
      <c r="G59" s="14">
        <f>SUMIF(재고!C:C,PSI_메인!A59,재고!I:I)</f>
        <v>7</v>
      </c>
      <c r="H59" s="277">
        <v>330</v>
      </c>
      <c r="I59" s="278">
        <v>0</v>
      </c>
      <c r="J59" s="278">
        <v>0</v>
      </c>
      <c r="K59" s="279">
        <v>75</v>
      </c>
      <c r="L59" s="11">
        <v>0</v>
      </c>
      <c r="M59" s="9">
        <f>SUMIFS(입항스케줄!J:J,입항스케줄!C:C,PSI_메인!A59,입항스케줄!U:U,"2601")</f>
        <v>0</v>
      </c>
      <c r="N59" s="11">
        <f>SUMIFS(입항스케줄!J:J,입항스케줄!C:C,PSI_메인!A59,입항스케줄!V:V,"2601")</f>
        <v>0</v>
      </c>
      <c r="O59" s="280">
        <f t="shared" si="10"/>
        <v>-68</v>
      </c>
      <c r="P59" s="277">
        <f t="shared" si="11"/>
        <v>7</v>
      </c>
      <c r="Q59" s="278">
        <v>0</v>
      </c>
      <c r="R59" s="278">
        <v>0</v>
      </c>
      <c r="S59" s="10">
        <v>300</v>
      </c>
      <c r="T59" s="11">
        <v>0</v>
      </c>
      <c r="U59" s="9">
        <f>SUMIFS(입항스케줄!J:J,입항스케줄!C:C,PSI_메인!A59,입항스케줄!U:U,"2602")</f>
        <v>0</v>
      </c>
      <c r="V59" s="11">
        <f>SUMIFS(입항스케줄!J:J,입항스케줄!C:C,PSI_메인!A59,입항스케줄!V:V,"2602")</f>
        <v>0</v>
      </c>
      <c r="W59" s="280">
        <f t="shared" si="12"/>
        <v>-293</v>
      </c>
      <c r="X59" s="277">
        <f t="shared" si="13"/>
        <v>7</v>
      </c>
      <c r="Y59" s="278">
        <v>0</v>
      </c>
      <c r="Z59" s="278">
        <v>0</v>
      </c>
      <c r="AA59" s="279">
        <f t="shared" si="0"/>
        <v>0</v>
      </c>
      <c r="AB59" s="11">
        <v>0</v>
      </c>
      <c r="AC59" s="9">
        <f>SUMIFS(입항스케줄!J:J,입항스케줄!C:C,PSI_메인!A59,입항스케줄!U:U,"2603")</f>
        <v>0</v>
      </c>
      <c r="AD59" s="11">
        <f>SUMIFS(입항스케줄!J:J,입항스케줄!C:C,PSI_메인!A59,입항스케줄!V:V,"2603")</f>
        <v>0</v>
      </c>
      <c r="AE59" s="280">
        <f t="shared" si="14"/>
        <v>7</v>
      </c>
      <c r="AF59" s="277">
        <f t="shared" si="15"/>
        <v>7</v>
      </c>
      <c r="AG59" s="278">
        <v>0</v>
      </c>
      <c r="AH59" s="278">
        <v>0</v>
      </c>
      <c r="AI59" s="279">
        <f t="shared" si="1"/>
        <v>0</v>
      </c>
      <c r="AJ59" s="11">
        <v>0</v>
      </c>
      <c r="AK59" s="9">
        <f>SUMIFS(입항스케줄!J:J,입항스케줄!C:C,PSI_메인!A59,입항스케줄!U:U,"2604")</f>
        <v>0</v>
      </c>
      <c r="AL59" s="11">
        <f>SUMIFS(입항스케줄!J:J,입항스케줄!C:C,PSI_메인!A59,입항스케줄!V:V,"2604")</f>
        <v>0</v>
      </c>
      <c r="AM59" s="280">
        <f t="shared" si="16"/>
        <v>7</v>
      </c>
      <c r="AN59" s="277">
        <f t="shared" si="17"/>
        <v>7</v>
      </c>
      <c r="AO59" s="278">
        <v>0</v>
      </c>
      <c r="AP59" s="278">
        <v>0</v>
      </c>
      <c r="AQ59" s="279">
        <f t="shared" si="2"/>
        <v>0</v>
      </c>
      <c r="AR59" s="11">
        <v>0</v>
      </c>
      <c r="AS59" s="9"/>
      <c r="AT59" s="277"/>
      <c r="AU59" s="280">
        <f t="shared" si="18"/>
        <v>7</v>
      </c>
      <c r="AV59" s="277">
        <f t="shared" si="19"/>
        <v>7</v>
      </c>
      <c r="AW59" s="278">
        <v>0</v>
      </c>
      <c r="AX59" s="278">
        <v>0</v>
      </c>
      <c r="AY59" s="279">
        <f t="shared" si="3"/>
        <v>0</v>
      </c>
      <c r="AZ59" s="11">
        <v>0</v>
      </c>
      <c r="BA59" s="9"/>
      <c r="BB59" s="11"/>
      <c r="BC59" s="280">
        <f t="shared" si="20"/>
        <v>7</v>
      </c>
      <c r="BD59" s="277">
        <f t="shared" si="21"/>
        <v>7</v>
      </c>
      <c r="BE59" s="278">
        <v>0</v>
      </c>
      <c r="BF59" s="278">
        <v>0</v>
      </c>
      <c r="BG59" s="279">
        <f t="shared" si="4"/>
        <v>0</v>
      </c>
      <c r="BH59" s="11">
        <v>0</v>
      </c>
      <c r="BI59" s="278"/>
      <c r="BJ59" s="11"/>
      <c r="BK59" s="280">
        <f t="shared" si="22"/>
        <v>7</v>
      </c>
      <c r="BL59" s="277">
        <f t="shared" si="23"/>
        <v>7</v>
      </c>
      <c r="BM59" s="278">
        <v>0</v>
      </c>
      <c r="BN59" s="278">
        <v>0</v>
      </c>
      <c r="BO59" s="279">
        <f t="shared" si="5"/>
        <v>0</v>
      </c>
      <c r="BP59" s="11">
        <v>0</v>
      </c>
      <c r="BQ59" s="278"/>
      <c r="BR59" s="11"/>
      <c r="BS59" s="280">
        <f t="shared" si="24"/>
        <v>7</v>
      </c>
      <c r="BT59" s="277">
        <f t="shared" si="25"/>
        <v>7</v>
      </c>
      <c r="BU59" s="278">
        <v>0</v>
      </c>
      <c r="BV59" s="278">
        <v>0</v>
      </c>
      <c r="BW59" s="279">
        <f t="shared" si="6"/>
        <v>0</v>
      </c>
      <c r="BX59" s="11">
        <v>0</v>
      </c>
      <c r="BY59" s="278"/>
      <c r="BZ59" s="11"/>
      <c r="CA59" s="280">
        <f t="shared" si="26"/>
        <v>7</v>
      </c>
      <c r="CB59" s="277">
        <f t="shared" si="27"/>
        <v>7</v>
      </c>
      <c r="CC59" s="278">
        <v>0</v>
      </c>
      <c r="CD59" s="278">
        <v>0</v>
      </c>
      <c r="CE59" s="279">
        <f t="shared" si="7"/>
        <v>0</v>
      </c>
      <c r="CF59" s="11">
        <v>0</v>
      </c>
      <c r="CG59" s="278"/>
      <c r="CH59" s="11"/>
      <c r="CI59" s="280">
        <f t="shared" si="28"/>
        <v>7</v>
      </c>
      <c r="CJ59" s="277">
        <f t="shared" si="29"/>
        <v>7</v>
      </c>
      <c r="CK59" s="278">
        <v>0</v>
      </c>
      <c r="CL59" s="278">
        <v>0</v>
      </c>
      <c r="CM59" s="279">
        <f t="shared" si="8"/>
        <v>0</v>
      </c>
      <c r="CN59" s="11">
        <v>0</v>
      </c>
      <c r="CO59" s="278"/>
      <c r="CP59" s="277"/>
      <c r="CQ59" s="280">
        <f t="shared" si="30"/>
        <v>7</v>
      </c>
      <c r="CR59" s="277">
        <f t="shared" si="31"/>
        <v>7</v>
      </c>
      <c r="CS59" s="278">
        <v>0</v>
      </c>
      <c r="CT59" s="278">
        <v>0</v>
      </c>
      <c r="CU59" s="279">
        <f t="shared" si="9"/>
        <v>0</v>
      </c>
      <c r="CV59" s="11">
        <v>0</v>
      </c>
      <c r="CW59" s="278"/>
      <c r="CX59" s="277"/>
      <c r="CY59" s="280">
        <f t="shared" si="32"/>
        <v>7</v>
      </c>
      <c r="CZ59" s="277">
        <f t="shared" si="33"/>
        <v>7</v>
      </c>
    </row>
    <row r="60" spans="1:104" ht="17.25" customHeight="1">
      <c r="A60" s="28" t="s">
        <v>637</v>
      </c>
      <c r="B60" s="382"/>
      <c r="C60" s="27"/>
      <c r="D60" s="28" t="str">
        <f>_xlfn.XLOOKUP(A60,'ABC-XYZ분석 (2)'!C:C,'ABC-XYZ분석 (2)'!I:I)</f>
        <v>사계절</v>
      </c>
      <c r="E60" s="28" t="str">
        <f>_xlfn.XLOOKUP(A60,'ABC-XYZ분석 (2)'!C:C,'ABC-XYZ분석 (2)'!AC:AC)</f>
        <v>B</v>
      </c>
      <c r="F60" s="3" t="str">
        <f>_xlfn.XLOOKUP(A60,'ABC-XYZ분석 (2)'!C:C,'ABC-XYZ분석 (2)'!AG:AG)</f>
        <v>Y</v>
      </c>
      <c r="G60" s="14">
        <f>SUMIF(재고!C:C,PSI_메인!A60,재고!I:I)</f>
        <v>40</v>
      </c>
      <c r="H60" s="277">
        <v>189</v>
      </c>
      <c r="I60" s="278">
        <v>0</v>
      </c>
      <c r="J60" s="278">
        <v>0</v>
      </c>
      <c r="K60" s="279">
        <v>39</v>
      </c>
      <c r="L60" s="11">
        <v>0</v>
      </c>
      <c r="M60" s="9">
        <f>SUMIFS(입항스케줄!J:J,입항스케줄!C:C,PSI_메인!A60,입항스케줄!U:U,"2601")</f>
        <v>0</v>
      </c>
      <c r="N60" s="11">
        <f>SUMIFS(입항스케줄!J:J,입항스케줄!C:C,PSI_메인!A60,입항스케줄!V:V,"2601")</f>
        <v>0</v>
      </c>
      <c r="O60" s="280">
        <f t="shared" si="10"/>
        <v>1</v>
      </c>
      <c r="P60" s="277">
        <f t="shared" si="11"/>
        <v>40</v>
      </c>
      <c r="Q60" s="278">
        <v>0</v>
      </c>
      <c r="R60" s="278">
        <v>0</v>
      </c>
      <c r="S60" s="10">
        <v>0</v>
      </c>
      <c r="T60" s="11">
        <v>0</v>
      </c>
      <c r="U60" s="9">
        <f>SUMIFS(입항스케줄!J:J,입항스케줄!C:C,PSI_메인!A60,입항스케줄!U:U,"2602")</f>
        <v>0</v>
      </c>
      <c r="V60" s="11">
        <f>SUMIFS(입항스케줄!J:J,입항스케줄!C:C,PSI_메인!A60,입항스케줄!V:V,"2602")</f>
        <v>0</v>
      </c>
      <c r="W60" s="280">
        <f t="shared" si="12"/>
        <v>40</v>
      </c>
      <c r="X60" s="277">
        <f t="shared" si="13"/>
        <v>40</v>
      </c>
      <c r="Y60" s="278">
        <v>0</v>
      </c>
      <c r="Z60" s="278">
        <v>0</v>
      </c>
      <c r="AA60" s="279">
        <f t="shared" si="0"/>
        <v>0</v>
      </c>
      <c r="AB60" s="11">
        <v>0</v>
      </c>
      <c r="AC60" s="9">
        <f>SUMIFS(입항스케줄!J:J,입항스케줄!C:C,PSI_메인!A60,입항스케줄!U:U,"2603")</f>
        <v>0</v>
      </c>
      <c r="AD60" s="11">
        <f>SUMIFS(입항스케줄!J:J,입항스케줄!C:C,PSI_메인!A60,입항스케줄!V:V,"2603")</f>
        <v>0</v>
      </c>
      <c r="AE60" s="280">
        <f t="shared" si="14"/>
        <v>40</v>
      </c>
      <c r="AF60" s="277">
        <f t="shared" si="15"/>
        <v>40</v>
      </c>
      <c r="AG60" s="278">
        <v>0</v>
      </c>
      <c r="AH60" s="278">
        <v>0</v>
      </c>
      <c r="AI60" s="279">
        <f t="shared" si="1"/>
        <v>0</v>
      </c>
      <c r="AJ60" s="11">
        <v>0</v>
      </c>
      <c r="AK60" s="9">
        <f>SUMIFS(입항스케줄!J:J,입항스케줄!C:C,PSI_메인!A60,입항스케줄!U:U,"2604")</f>
        <v>0</v>
      </c>
      <c r="AL60" s="11">
        <f>SUMIFS(입항스케줄!J:J,입항스케줄!C:C,PSI_메인!A60,입항스케줄!V:V,"2604")</f>
        <v>0</v>
      </c>
      <c r="AM60" s="280">
        <f t="shared" si="16"/>
        <v>40</v>
      </c>
      <c r="AN60" s="277">
        <f t="shared" si="17"/>
        <v>40</v>
      </c>
      <c r="AO60" s="278">
        <v>0</v>
      </c>
      <c r="AP60" s="278">
        <v>0</v>
      </c>
      <c r="AQ60" s="279">
        <f t="shared" si="2"/>
        <v>0</v>
      </c>
      <c r="AR60" s="11">
        <v>0</v>
      </c>
      <c r="AS60" s="9"/>
      <c r="AT60" s="277"/>
      <c r="AU60" s="280">
        <f t="shared" si="18"/>
        <v>40</v>
      </c>
      <c r="AV60" s="277">
        <f t="shared" si="19"/>
        <v>40</v>
      </c>
      <c r="AW60" s="278">
        <v>0</v>
      </c>
      <c r="AX60" s="278">
        <v>0</v>
      </c>
      <c r="AY60" s="279">
        <f t="shared" si="3"/>
        <v>0</v>
      </c>
      <c r="AZ60" s="11">
        <v>0</v>
      </c>
      <c r="BA60" s="9"/>
      <c r="BB60" s="11"/>
      <c r="BC60" s="280">
        <f t="shared" si="20"/>
        <v>40</v>
      </c>
      <c r="BD60" s="277">
        <f t="shared" si="21"/>
        <v>40</v>
      </c>
      <c r="BE60" s="278">
        <v>0</v>
      </c>
      <c r="BF60" s="278">
        <v>0</v>
      </c>
      <c r="BG60" s="279">
        <f t="shared" si="4"/>
        <v>0</v>
      </c>
      <c r="BH60" s="11">
        <v>0</v>
      </c>
      <c r="BI60" s="278"/>
      <c r="BJ60" s="11"/>
      <c r="BK60" s="280">
        <f t="shared" si="22"/>
        <v>40</v>
      </c>
      <c r="BL60" s="277">
        <f t="shared" si="23"/>
        <v>40</v>
      </c>
      <c r="BM60" s="278">
        <v>0</v>
      </c>
      <c r="BN60" s="278">
        <v>0</v>
      </c>
      <c r="BO60" s="279">
        <f t="shared" si="5"/>
        <v>0</v>
      </c>
      <c r="BP60" s="11">
        <v>0</v>
      </c>
      <c r="BQ60" s="278"/>
      <c r="BR60" s="11"/>
      <c r="BS60" s="280">
        <f t="shared" si="24"/>
        <v>40</v>
      </c>
      <c r="BT60" s="277">
        <f t="shared" si="25"/>
        <v>40</v>
      </c>
      <c r="BU60" s="278">
        <v>0</v>
      </c>
      <c r="BV60" s="278">
        <v>0</v>
      </c>
      <c r="BW60" s="279">
        <f t="shared" si="6"/>
        <v>0</v>
      </c>
      <c r="BX60" s="11">
        <v>0</v>
      </c>
      <c r="BY60" s="278"/>
      <c r="BZ60" s="11"/>
      <c r="CA60" s="280">
        <f t="shared" si="26"/>
        <v>40</v>
      </c>
      <c r="CB60" s="277">
        <f t="shared" si="27"/>
        <v>40</v>
      </c>
      <c r="CC60" s="278">
        <v>0</v>
      </c>
      <c r="CD60" s="278">
        <v>0</v>
      </c>
      <c r="CE60" s="279">
        <f t="shared" si="7"/>
        <v>0</v>
      </c>
      <c r="CF60" s="11">
        <v>0</v>
      </c>
      <c r="CG60" s="278"/>
      <c r="CH60" s="11"/>
      <c r="CI60" s="280">
        <f t="shared" si="28"/>
        <v>40</v>
      </c>
      <c r="CJ60" s="277">
        <f t="shared" si="29"/>
        <v>40</v>
      </c>
      <c r="CK60" s="278">
        <v>0</v>
      </c>
      <c r="CL60" s="278">
        <v>0</v>
      </c>
      <c r="CM60" s="279">
        <f t="shared" si="8"/>
        <v>0</v>
      </c>
      <c r="CN60" s="11">
        <v>0</v>
      </c>
      <c r="CO60" s="278"/>
      <c r="CP60" s="277"/>
      <c r="CQ60" s="280">
        <f t="shared" si="30"/>
        <v>40</v>
      </c>
      <c r="CR60" s="277">
        <f t="shared" si="31"/>
        <v>40</v>
      </c>
      <c r="CS60" s="278">
        <v>0</v>
      </c>
      <c r="CT60" s="278">
        <v>0</v>
      </c>
      <c r="CU60" s="279">
        <f t="shared" si="9"/>
        <v>0</v>
      </c>
      <c r="CV60" s="11">
        <v>0</v>
      </c>
      <c r="CW60" s="278"/>
      <c r="CX60" s="277"/>
      <c r="CY60" s="280">
        <f t="shared" si="32"/>
        <v>40</v>
      </c>
      <c r="CZ60" s="277">
        <f t="shared" si="33"/>
        <v>40</v>
      </c>
    </row>
    <row r="61" spans="1:104" ht="17.25" customHeight="1">
      <c r="A61" s="28" t="s">
        <v>638</v>
      </c>
      <c r="B61" s="382"/>
      <c r="C61" s="27"/>
      <c r="D61" s="28" t="str">
        <f>_xlfn.XLOOKUP(A61,'ABC-XYZ분석 (2)'!C:C,'ABC-XYZ분석 (2)'!I:I)</f>
        <v>사계절</v>
      </c>
      <c r="E61" s="28" t="str">
        <f>_xlfn.XLOOKUP(A61,'ABC-XYZ분석 (2)'!C:C,'ABC-XYZ분석 (2)'!AC:AC)</f>
        <v>B</v>
      </c>
      <c r="F61" s="3" t="str">
        <f>_xlfn.XLOOKUP(A61,'ABC-XYZ분석 (2)'!C:C,'ABC-XYZ분석 (2)'!AG:AG)</f>
        <v>Y</v>
      </c>
      <c r="G61" s="14">
        <f>SUMIF(재고!C:C,PSI_메인!A61,재고!I:I)</f>
        <v>129</v>
      </c>
      <c r="H61" s="277">
        <v>725</v>
      </c>
      <c r="I61" s="278">
        <v>0</v>
      </c>
      <c r="J61" s="278">
        <v>0</v>
      </c>
      <c r="K61" s="279">
        <v>300</v>
      </c>
      <c r="L61" s="11">
        <v>0</v>
      </c>
      <c r="M61" s="9">
        <f>SUMIFS(입항스케줄!J:J,입항스케줄!C:C,PSI_메인!A61,입항스케줄!U:U,"2601")</f>
        <v>0</v>
      </c>
      <c r="N61" s="11">
        <f>SUMIFS(입항스케줄!J:J,입항스케줄!C:C,PSI_메인!A61,입항스케줄!V:V,"2601")</f>
        <v>0</v>
      </c>
      <c r="O61" s="280">
        <f t="shared" si="10"/>
        <v>-171</v>
      </c>
      <c r="P61" s="277">
        <f t="shared" si="11"/>
        <v>129</v>
      </c>
      <c r="Q61" s="278">
        <v>0</v>
      </c>
      <c r="R61" s="278">
        <v>0</v>
      </c>
      <c r="S61" s="10">
        <v>300</v>
      </c>
      <c r="T61" s="11">
        <v>0</v>
      </c>
      <c r="U61" s="9">
        <f>SUMIFS(입항스케줄!J:J,입항스케줄!C:C,PSI_메인!A61,입항스케줄!U:U,"2602")</f>
        <v>0</v>
      </c>
      <c r="V61" s="11">
        <f>SUMIFS(입항스케줄!J:J,입항스케줄!C:C,PSI_메인!A61,입항스케줄!V:V,"2602")</f>
        <v>0</v>
      </c>
      <c r="W61" s="280">
        <f t="shared" si="12"/>
        <v>-171</v>
      </c>
      <c r="X61" s="277">
        <f t="shared" si="13"/>
        <v>129</v>
      </c>
      <c r="Y61" s="278">
        <v>0</v>
      </c>
      <c r="Z61" s="278">
        <v>0</v>
      </c>
      <c r="AA61" s="279">
        <f t="shared" si="0"/>
        <v>0</v>
      </c>
      <c r="AB61" s="11">
        <v>0</v>
      </c>
      <c r="AC61" s="9">
        <f>SUMIFS(입항스케줄!J:J,입항스케줄!C:C,PSI_메인!A61,입항스케줄!U:U,"2603")</f>
        <v>0</v>
      </c>
      <c r="AD61" s="11">
        <f>SUMIFS(입항스케줄!J:J,입항스케줄!C:C,PSI_메인!A61,입항스케줄!V:V,"2603")</f>
        <v>0</v>
      </c>
      <c r="AE61" s="280">
        <f t="shared" si="14"/>
        <v>129</v>
      </c>
      <c r="AF61" s="277">
        <f t="shared" si="15"/>
        <v>129</v>
      </c>
      <c r="AG61" s="278">
        <v>0</v>
      </c>
      <c r="AH61" s="278">
        <v>0</v>
      </c>
      <c r="AI61" s="279">
        <f t="shared" si="1"/>
        <v>0</v>
      </c>
      <c r="AJ61" s="11">
        <v>0</v>
      </c>
      <c r="AK61" s="9">
        <f>SUMIFS(입항스케줄!J:J,입항스케줄!C:C,PSI_메인!A61,입항스케줄!U:U,"2604")</f>
        <v>0</v>
      </c>
      <c r="AL61" s="11">
        <f>SUMIFS(입항스케줄!J:J,입항스케줄!C:C,PSI_메인!A61,입항스케줄!V:V,"2604")</f>
        <v>0</v>
      </c>
      <c r="AM61" s="280">
        <f t="shared" si="16"/>
        <v>129</v>
      </c>
      <c r="AN61" s="277">
        <f t="shared" si="17"/>
        <v>129</v>
      </c>
      <c r="AO61" s="278">
        <v>0</v>
      </c>
      <c r="AP61" s="278">
        <v>0</v>
      </c>
      <c r="AQ61" s="279">
        <f t="shared" si="2"/>
        <v>0</v>
      </c>
      <c r="AR61" s="11">
        <v>0</v>
      </c>
      <c r="AS61" s="9"/>
      <c r="AT61" s="277"/>
      <c r="AU61" s="280">
        <f t="shared" si="18"/>
        <v>129</v>
      </c>
      <c r="AV61" s="277">
        <f t="shared" si="19"/>
        <v>129</v>
      </c>
      <c r="AW61" s="278">
        <v>0</v>
      </c>
      <c r="AX61" s="278">
        <v>0</v>
      </c>
      <c r="AY61" s="279">
        <f t="shared" si="3"/>
        <v>0</v>
      </c>
      <c r="AZ61" s="11">
        <v>0</v>
      </c>
      <c r="BA61" s="9"/>
      <c r="BB61" s="11"/>
      <c r="BC61" s="280">
        <f t="shared" si="20"/>
        <v>129</v>
      </c>
      <c r="BD61" s="277">
        <f t="shared" si="21"/>
        <v>129</v>
      </c>
      <c r="BE61" s="278">
        <v>0</v>
      </c>
      <c r="BF61" s="278">
        <v>0</v>
      </c>
      <c r="BG61" s="279">
        <f t="shared" si="4"/>
        <v>0</v>
      </c>
      <c r="BH61" s="11">
        <v>0</v>
      </c>
      <c r="BI61" s="278"/>
      <c r="BJ61" s="11"/>
      <c r="BK61" s="280">
        <f t="shared" si="22"/>
        <v>129</v>
      </c>
      <c r="BL61" s="277">
        <f t="shared" si="23"/>
        <v>129</v>
      </c>
      <c r="BM61" s="278">
        <v>0</v>
      </c>
      <c r="BN61" s="278">
        <v>0</v>
      </c>
      <c r="BO61" s="279">
        <f t="shared" si="5"/>
        <v>0</v>
      </c>
      <c r="BP61" s="11">
        <v>0</v>
      </c>
      <c r="BQ61" s="278"/>
      <c r="BR61" s="11"/>
      <c r="BS61" s="280">
        <f t="shared" si="24"/>
        <v>129</v>
      </c>
      <c r="BT61" s="277">
        <f t="shared" si="25"/>
        <v>129</v>
      </c>
      <c r="BU61" s="278">
        <v>0</v>
      </c>
      <c r="BV61" s="278">
        <v>0</v>
      </c>
      <c r="BW61" s="279">
        <f t="shared" si="6"/>
        <v>0</v>
      </c>
      <c r="BX61" s="11">
        <v>0</v>
      </c>
      <c r="BY61" s="278"/>
      <c r="BZ61" s="11"/>
      <c r="CA61" s="280">
        <f t="shared" si="26"/>
        <v>129</v>
      </c>
      <c r="CB61" s="277">
        <f t="shared" si="27"/>
        <v>129</v>
      </c>
      <c r="CC61" s="278">
        <v>0</v>
      </c>
      <c r="CD61" s="278">
        <v>0</v>
      </c>
      <c r="CE61" s="279">
        <f t="shared" si="7"/>
        <v>0</v>
      </c>
      <c r="CF61" s="11">
        <v>0</v>
      </c>
      <c r="CG61" s="278"/>
      <c r="CH61" s="11"/>
      <c r="CI61" s="280">
        <f t="shared" si="28"/>
        <v>129</v>
      </c>
      <c r="CJ61" s="277">
        <f t="shared" si="29"/>
        <v>129</v>
      </c>
      <c r="CK61" s="278">
        <v>0</v>
      </c>
      <c r="CL61" s="278">
        <v>0</v>
      </c>
      <c r="CM61" s="279">
        <f t="shared" si="8"/>
        <v>0</v>
      </c>
      <c r="CN61" s="11">
        <v>0</v>
      </c>
      <c r="CO61" s="278"/>
      <c r="CP61" s="277"/>
      <c r="CQ61" s="280">
        <f t="shared" si="30"/>
        <v>129</v>
      </c>
      <c r="CR61" s="277">
        <f t="shared" si="31"/>
        <v>129</v>
      </c>
      <c r="CS61" s="278">
        <v>0</v>
      </c>
      <c r="CT61" s="278">
        <v>0</v>
      </c>
      <c r="CU61" s="279">
        <f t="shared" si="9"/>
        <v>0</v>
      </c>
      <c r="CV61" s="11">
        <v>0</v>
      </c>
      <c r="CW61" s="278"/>
      <c r="CX61" s="277"/>
      <c r="CY61" s="280">
        <f t="shared" si="32"/>
        <v>129</v>
      </c>
      <c r="CZ61" s="277">
        <f t="shared" si="33"/>
        <v>129</v>
      </c>
    </row>
    <row r="62" spans="1:104" ht="17.25" customHeight="1">
      <c r="A62" s="28" t="s">
        <v>639</v>
      </c>
      <c r="B62" s="382"/>
      <c r="C62" s="27"/>
      <c r="D62" s="28" t="str">
        <f>_xlfn.XLOOKUP(A62,'ABC-XYZ분석 (2)'!C:C,'ABC-XYZ분석 (2)'!I:I)</f>
        <v>사계절</v>
      </c>
      <c r="E62" s="28" t="str">
        <f>_xlfn.XLOOKUP(A62,'ABC-XYZ분석 (2)'!C:C,'ABC-XYZ분석 (2)'!AC:AC)</f>
        <v>B</v>
      </c>
      <c r="F62" s="3" t="str">
        <f>_xlfn.XLOOKUP(A62,'ABC-XYZ분석 (2)'!C:C,'ABC-XYZ분석 (2)'!AG:AG)</f>
        <v>Y</v>
      </c>
      <c r="G62" s="14">
        <f>SUMIF(재고!C:C,PSI_메인!A62,재고!I:I)</f>
        <v>60</v>
      </c>
      <c r="H62" s="277">
        <v>80</v>
      </c>
      <c r="I62" s="278">
        <v>0</v>
      </c>
      <c r="J62" s="278">
        <v>0</v>
      </c>
      <c r="K62" s="279">
        <v>112.5</v>
      </c>
      <c r="L62" s="11">
        <v>0</v>
      </c>
      <c r="M62" s="9">
        <f>SUMIFS(입항스케줄!J:J,입항스케줄!C:C,PSI_메인!A62,입항스케줄!U:U,"2601")</f>
        <v>0</v>
      </c>
      <c r="N62" s="11">
        <f>SUMIFS(입항스케줄!J:J,입항스케줄!C:C,PSI_메인!A62,입항스케줄!V:V,"2601")</f>
        <v>0</v>
      </c>
      <c r="O62" s="280">
        <f t="shared" si="10"/>
        <v>-52.5</v>
      </c>
      <c r="P62" s="277">
        <f t="shared" si="11"/>
        <v>60</v>
      </c>
      <c r="Q62" s="278">
        <v>0</v>
      </c>
      <c r="R62" s="278">
        <v>0</v>
      </c>
      <c r="S62" s="10">
        <v>300</v>
      </c>
      <c r="T62" s="11">
        <v>0</v>
      </c>
      <c r="U62" s="9">
        <f>SUMIFS(입항스케줄!J:J,입항스케줄!C:C,PSI_메인!A62,입항스케줄!U:U,"2602")</f>
        <v>0</v>
      </c>
      <c r="V62" s="11">
        <f>SUMIFS(입항스케줄!J:J,입항스케줄!C:C,PSI_메인!A62,입항스케줄!V:V,"2602")</f>
        <v>0</v>
      </c>
      <c r="W62" s="280">
        <f t="shared" si="12"/>
        <v>-240</v>
      </c>
      <c r="X62" s="277">
        <f t="shared" si="13"/>
        <v>60</v>
      </c>
      <c r="Y62" s="278">
        <v>0</v>
      </c>
      <c r="Z62" s="278">
        <v>0</v>
      </c>
      <c r="AA62" s="279">
        <f t="shared" si="0"/>
        <v>0</v>
      </c>
      <c r="AB62" s="11">
        <v>0</v>
      </c>
      <c r="AC62" s="9">
        <f>SUMIFS(입항스케줄!J:J,입항스케줄!C:C,PSI_메인!A62,입항스케줄!U:U,"2603")</f>
        <v>0</v>
      </c>
      <c r="AD62" s="11">
        <f>SUMIFS(입항스케줄!J:J,입항스케줄!C:C,PSI_메인!A62,입항스케줄!V:V,"2603")</f>
        <v>0</v>
      </c>
      <c r="AE62" s="280">
        <f t="shared" si="14"/>
        <v>60</v>
      </c>
      <c r="AF62" s="277">
        <f t="shared" si="15"/>
        <v>60</v>
      </c>
      <c r="AG62" s="278">
        <v>0</v>
      </c>
      <c r="AH62" s="278">
        <v>0</v>
      </c>
      <c r="AI62" s="279">
        <f t="shared" si="1"/>
        <v>0</v>
      </c>
      <c r="AJ62" s="11">
        <v>0</v>
      </c>
      <c r="AK62" s="9">
        <f>SUMIFS(입항스케줄!J:J,입항스케줄!C:C,PSI_메인!A62,입항스케줄!U:U,"2604")</f>
        <v>0</v>
      </c>
      <c r="AL62" s="11">
        <f>SUMIFS(입항스케줄!J:J,입항스케줄!C:C,PSI_메인!A62,입항스케줄!V:V,"2604")</f>
        <v>0</v>
      </c>
      <c r="AM62" s="280">
        <f t="shared" si="16"/>
        <v>60</v>
      </c>
      <c r="AN62" s="277">
        <f t="shared" si="17"/>
        <v>60</v>
      </c>
      <c r="AO62" s="278">
        <v>0</v>
      </c>
      <c r="AP62" s="278">
        <v>0</v>
      </c>
      <c r="AQ62" s="279">
        <f t="shared" si="2"/>
        <v>0</v>
      </c>
      <c r="AR62" s="11">
        <v>0</v>
      </c>
      <c r="AS62" s="9"/>
      <c r="AT62" s="277"/>
      <c r="AU62" s="280">
        <f t="shared" si="18"/>
        <v>60</v>
      </c>
      <c r="AV62" s="277">
        <f t="shared" si="19"/>
        <v>60</v>
      </c>
      <c r="AW62" s="278">
        <v>0</v>
      </c>
      <c r="AX62" s="278">
        <v>0</v>
      </c>
      <c r="AY62" s="279">
        <f t="shared" si="3"/>
        <v>0</v>
      </c>
      <c r="AZ62" s="11">
        <v>0</v>
      </c>
      <c r="BA62" s="9"/>
      <c r="BB62" s="11"/>
      <c r="BC62" s="280">
        <f t="shared" si="20"/>
        <v>60</v>
      </c>
      <c r="BD62" s="277">
        <f t="shared" si="21"/>
        <v>60</v>
      </c>
      <c r="BE62" s="278">
        <v>0</v>
      </c>
      <c r="BF62" s="278">
        <v>0</v>
      </c>
      <c r="BG62" s="279">
        <f t="shared" si="4"/>
        <v>0</v>
      </c>
      <c r="BH62" s="11">
        <v>0</v>
      </c>
      <c r="BI62" s="278"/>
      <c r="BJ62" s="11"/>
      <c r="BK62" s="280">
        <f t="shared" si="22"/>
        <v>60</v>
      </c>
      <c r="BL62" s="277">
        <f t="shared" si="23"/>
        <v>60</v>
      </c>
      <c r="BM62" s="278">
        <v>0</v>
      </c>
      <c r="BN62" s="278">
        <v>0</v>
      </c>
      <c r="BO62" s="279">
        <f t="shared" si="5"/>
        <v>0</v>
      </c>
      <c r="BP62" s="11">
        <v>0</v>
      </c>
      <c r="BQ62" s="278"/>
      <c r="BR62" s="11"/>
      <c r="BS62" s="280">
        <f t="shared" si="24"/>
        <v>60</v>
      </c>
      <c r="BT62" s="277">
        <f t="shared" si="25"/>
        <v>60</v>
      </c>
      <c r="BU62" s="278">
        <v>0</v>
      </c>
      <c r="BV62" s="278">
        <v>0</v>
      </c>
      <c r="BW62" s="279">
        <f t="shared" si="6"/>
        <v>0</v>
      </c>
      <c r="BX62" s="11">
        <v>0</v>
      </c>
      <c r="BY62" s="278"/>
      <c r="BZ62" s="11"/>
      <c r="CA62" s="280">
        <f t="shared" si="26"/>
        <v>60</v>
      </c>
      <c r="CB62" s="277">
        <f t="shared" si="27"/>
        <v>60</v>
      </c>
      <c r="CC62" s="278">
        <v>0</v>
      </c>
      <c r="CD62" s="278">
        <v>0</v>
      </c>
      <c r="CE62" s="279">
        <f t="shared" si="7"/>
        <v>0</v>
      </c>
      <c r="CF62" s="11">
        <v>0</v>
      </c>
      <c r="CG62" s="278"/>
      <c r="CH62" s="11"/>
      <c r="CI62" s="280">
        <f t="shared" si="28"/>
        <v>60</v>
      </c>
      <c r="CJ62" s="277">
        <f t="shared" si="29"/>
        <v>60</v>
      </c>
      <c r="CK62" s="278">
        <v>0</v>
      </c>
      <c r="CL62" s="278">
        <v>0</v>
      </c>
      <c r="CM62" s="279">
        <f t="shared" si="8"/>
        <v>0</v>
      </c>
      <c r="CN62" s="11">
        <v>0</v>
      </c>
      <c r="CO62" s="278"/>
      <c r="CP62" s="277"/>
      <c r="CQ62" s="280">
        <f t="shared" si="30"/>
        <v>60</v>
      </c>
      <c r="CR62" s="277">
        <f t="shared" si="31"/>
        <v>60</v>
      </c>
      <c r="CS62" s="278">
        <v>0</v>
      </c>
      <c r="CT62" s="278">
        <v>0</v>
      </c>
      <c r="CU62" s="279">
        <f t="shared" si="9"/>
        <v>0</v>
      </c>
      <c r="CV62" s="11">
        <v>0</v>
      </c>
      <c r="CW62" s="278"/>
      <c r="CX62" s="277"/>
      <c r="CY62" s="280">
        <f t="shared" si="32"/>
        <v>60</v>
      </c>
      <c r="CZ62" s="277">
        <f t="shared" si="33"/>
        <v>60</v>
      </c>
    </row>
    <row r="63" spans="1:104" ht="17.25" customHeight="1">
      <c r="A63" s="28" t="s">
        <v>640</v>
      </c>
      <c r="B63" s="382"/>
      <c r="C63" s="27"/>
      <c r="D63" s="28" t="str">
        <f>_xlfn.XLOOKUP(A63,'ABC-XYZ분석 (2)'!C:C,'ABC-XYZ분석 (2)'!I:I)</f>
        <v>겨울</v>
      </c>
      <c r="E63" s="28" t="str">
        <f>_xlfn.XLOOKUP(A63,'ABC-XYZ분석 (2)'!C:C,'ABC-XYZ분석 (2)'!AC:AC)</f>
        <v>B</v>
      </c>
      <c r="F63" s="3" t="str">
        <f>_xlfn.XLOOKUP(A63,'ABC-XYZ분석 (2)'!C:C,'ABC-XYZ분석 (2)'!AG:AG)</f>
        <v>Z</v>
      </c>
      <c r="G63" s="14">
        <f>SUMIF(재고!C:C,PSI_메인!A63,재고!I:I)</f>
        <v>115</v>
      </c>
      <c r="H63" s="277">
        <v>1157</v>
      </c>
      <c r="I63" s="278">
        <v>0</v>
      </c>
      <c r="J63" s="278">
        <v>0</v>
      </c>
      <c r="K63" s="279">
        <v>0</v>
      </c>
      <c r="L63" s="11">
        <v>0</v>
      </c>
      <c r="M63" s="9">
        <f>SUMIFS(입항스케줄!J:J,입항스케줄!C:C,PSI_메인!A63,입항스케줄!U:U,"2601")</f>
        <v>0</v>
      </c>
      <c r="N63" s="11">
        <f>SUMIFS(입항스케줄!J:J,입항스케줄!C:C,PSI_메인!A63,입항스케줄!V:V,"2601")</f>
        <v>0</v>
      </c>
      <c r="O63" s="280">
        <f t="shared" si="10"/>
        <v>115</v>
      </c>
      <c r="P63" s="277">
        <f t="shared" si="11"/>
        <v>115</v>
      </c>
      <c r="Q63" s="278">
        <v>0</v>
      </c>
      <c r="R63" s="278">
        <v>0</v>
      </c>
      <c r="S63" s="10">
        <v>0</v>
      </c>
      <c r="T63" s="11">
        <v>0</v>
      </c>
      <c r="U63" s="9">
        <f>SUMIFS(입항스케줄!J:J,입항스케줄!C:C,PSI_메인!A63,입항스케줄!U:U,"2602")</f>
        <v>0</v>
      </c>
      <c r="V63" s="11">
        <f>SUMIFS(입항스케줄!J:J,입항스케줄!C:C,PSI_메인!A63,입항스케줄!V:V,"2602")</f>
        <v>0</v>
      </c>
      <c r="W63" s="280">
        <f t="shared" si="12"/>
        <v>115</v>
      </c>
      <c r="X63" s="277">
        <f t="shared" si="13"/>
        <v>115</v>
      </c>
      <c r="Y63" s="278">
        <v>0</v>
      </c>
      <c r="Z63" s="278">
        <v>0</v>
      </c>
      <c r="AA63" s="279">
        <f t="shared" si="0"/>
        <v>0</v>
      </c>
      <c r="AB63" s="11">
        <v>0</v>
      </c>
      <c r="AC63" s="9">
        <f>SUMIFS(입항스케줄!J:J,입항스케줄!C:C,PSI_메인!A63,입항스케줄!U:U,"2603")</f>
        <v>0</v>
      </c>
      <c r="AD63" s="11">
        <f>SUMIFS(입항스케줄!J:J,입항스케줄!C:C,PSI_메인!A63,입항스케줄!V:V,"2603")</f>
        <v>0</v>
      </c>
      <c r="AE63" s="280">
        <f t="shared" si="14"/>
        <v>115</v>
      </c>
      <c r="AF63" s="277">
        <f t="shared" si="15"/>
        <v>115</v>
      </c>
      <c r="AG63" s="278">
        <v>0</v>
      </c>
      <c r="AH63" s="278">
        <v>0</v>
      </c>
      <c r="AI63" s="279">
        <f t="shared" si="1"/>
        <v>0</v>
      </c>
      <c r="AJ63" s="11">
        <v>0</v>
      </c>
      <c r="AK63" s="9">
        <f>SUMIFS(입항스케줄!J:J,입항스케줄!C:C,PSI_메인!A63,입항스케줄!U:U,"2604")</f>
        <v>0</v>
      </c>
      <c r="AL63" s="11">
        <f>SUMIFS(입항스케줄!J:J,입항스케줄!C:C,PSI_메인!A63,입항스케줄!V:V,"2604")</f>
        <v>0</v>
      </c>
      <c r="AM63" s="280">
        <f t="shared" si="16"/>
        <v>115</v>
      </c>
      <c r="AN63" s="277">
        <f t="shared" si="17"/>
        <v>115</v>
      </c>
      <c r="AO63" s="278">
        <v>0</v>
      </c>
      <c r="AP63" s="278">
        <v>0</v>
      </c>
      <c r="AQ63" s="279">
        <f t="shared" si="2"/>
        <v>0</v>
      </c>
      <c r="AR63" s="11">
        <v>0</v>
      </c>
      <c r="AS63" s="9"/>
      <c r="AT63" s="277"/>
      <c r="AU63" s="280">
        <f t="shared" si="18"/>
        <v>115</v>
      </c>
      <c r="AV63" s="277">
        <f t="shared" si="19"/>
        <v>115</v>
      </c>
      <c r="AW63" s="278">
        <v>0</v>
      </c>
      <c r="AX63" s="278">
        <v>0</v>
      </c>
      <c r="AY63" s="279">
        <f t="shared" si="3"/>
        <v>0</v>
      </c>
      <c r="AZ63" s="11">
        <v>0</v>
      </c>
      <c r="BA63" s="9"/>
      <c r="BB63" s="11"/>
      <c r="BC63" s="280">
        <f t="shared" si="20"/>
        <v>115</v>
      </c>
      <c r="BD63" s="277">
        <f t="shared" si="21"/>
        <v>115</v>
      </c>
      <c r="BE63" s="278">
        <v>0</v>
      </c>
      <c r="BF63" s="278">
        <v>0</v>
      </c>
      <c r="BG63" s="279">
        <f t="shared" si="4"/>
        <v>0</v>
      </c>
      <c r="BH63" s="11">
        <v>0</v>
      </c>
      <c r="BI63" s="278"/>
      <c r="BJ63" s="11"/>
      <c r="BK63" s="280">
        <f t="shared" si="22"/>
        <v>115</v>
      </c>
      <c r="BL63" s="277">
        <f t="shared" si="23"/>
        <v>115</v>
      </c>
      <c r="BM63" s="278">
        <v>0</v>
      </c>
      <c r="BN63" s="278">
        <v>0</v>
      </c>
      <c r="BO63" s="279">
        <f t="shared" si="5"/>
        <v>0</v>
      </c>
      <c r="BP63" s="11">
        <v>0</v>
      </c>
      <c r="BQ63" s="278"/>
      <c r="BR63" s="11"/>
      <c r="BS63" s="280">
        <f t="shared" si="24"/>
        <v>115</v>
      </c>
      <c r="BT63" s="277">
        <f t="shared" si="25"/>
        <v>115</v>
      </c>
      <c r="BU63" s="278">
        <v>0</v>
      </c>
      <c r="BV63" s="278">
        <v>0</v>
      </c>
      <c r="BW63" s="279">
        <f t="shared" si="6"/>
        <v>0</v>
      </c>
      <c r="BX63" s="11">
        <v>0</v>
      </c>
      <c r="BY63" s="278"/>
      <c r="BZ63" s="11"/>
      <c r="CA63" s="280">
        <f t="shared" si="26"/>
        <v>115</v>
      </c>
      <c r="CB63" s="277">
        <f t="shared" si="27"/>
        <v>115</v>
      </c>
      <c r="CC63" s="278">
        <v>0</v>
      </c>
      <c r="CD63" s="278">
        <v>0</v>
      </c>
      <c r="CE63" s="279">
        <f t="shared" si="7"/>
        <v>0</v>
      </c>
      <c r="CF63" s="11">
        <v>0</v>
      </c>
      <c r="CG63" s="278"/>
      <c r="CH63" s="11"/>
      <c r="CI63" s="280">
        <f t="shared" si="28"/>
        <v>115</v>
      </c>
      <c r="CJ63" s="277">
        <f t="shared" si="29"/>
        <v>115</v>
      </c>
      <c r="CK63" s="278">
        <v>0</v>
      </c>
      <c r="CL63" s="278">
        <v>0</v>
      </c>
      <c r="CM63" s="279">
        <f t="shared" si="8"/>
        <v>0</v>
      </c>
      <c r="CN63" s="11">
        <v>0</v>
      </c>
      <c r="CO63" s="278"/>
      <c r="CP63" s="277"/>
      <c r="CQ63" s="280">
        <f t="shared" si="30"/>
        <v>115</v>
      </c>
      <c r="CR63" s="277">
        <f t="shared" si="31"/>
        <v>115</v>
      </c>
      <c r="CS63" s="278">
        <v>0</v>
      </c>
      <c r="CT63" s="278">
        <v>0</v>
      </c>
      <c r="CU63" s="279">
        <f t="shared" si="9"/>
        <v>0</v>
      </c>
      <c r="CV63" s="11">
        <v>0</v>
      </c>
      <c r="CW63" s="278"/>
      <c r="CX63" s="277"/>
      <c r="CY63" s="280">
        <f t="shared" si="32"/>
        <v>115</v>
      </c>
      <c r="CZ63" s="277">
        <f t="shared" si="33"/>
        <v>115</v>
      </c>
    </row>
    <row r="64" spans="1:104" ht="17.25" customHeight="1">
      <c r="A64" s="28" t="s">
        <v>641</v>
      </c>
      <c r="B64" s="382"/>
      <c r="C64" s="27"/>
      <c r="D64" s="28" t="str">
        <f>_xlfn.XLOOKUP(A64,'ABC-XYZ분석 (2)'!C:C,'ABC-XYZ분석 (2)'!I:I)</f>
        <v>여름</v>
      </c>
      <c r="E64" s="28" t="str">
        <f>_xlfn.XLOOKUP(A64,'ABC-XYZ분석 (2)'!C:C,'ABC-XYZ분석 (2)'!AC:AC)</f>
        <v>B</v>
      </c>
      <c r="F64" s="3" t="str">
        <f>_xlfn.XLOOKUP(A64,'ABC-XYZ분석 (2)'!C:C,'ABC-XYZ분석 (2)'!AG:AG)</f>
        <v>Z</v>
      </c>
      <c r="G64" s="14">
        <f>SUMIF(재고!C:C,PSI_메인!A64,재고!I:I)</f>
        <v>0</v>
      </c>
      <c r="H64" s="277">
        <v>3771</v>
      </c>
      <c r="I64" s="278">
        <v>0</v>
      </c>
      <c r="J64" s="278">
        <v>0</v>
      </c>
      <c r="K64" s="279">
        <v>0</v>
      </c>
      <c r="L64" s="11">
        <v>0</v>
      </c>
      <c r="M64" s="9">
        <f>SUMIFS(입항스케줄!J:J,입항스케줄!C:C,PSI_메인!A64,입항스케줄!U:U,"2601")</f>
        <v>0</v>
      </c>
      <c r="N64" s="11">
        <f>SUMIFS(입항스케줄!J:J,입항스케줄!C:C,PSI_메인!A64,입항스케줄!V:V,"2601")</f>
        <v>0</v>
      </c>
      <c r="O64" s="280">
        <f t="shared" si="10"/>
        <v>0</v>
      </c>
      <c r="P64" s="277">
        <f t="shared" si="11"/>
        <v>0</v>
      </c>
      <c r="Q64" s="278">
        <v>0</v>
      </c>
      <c r="R64" s="278">
        <v>0</v>
      </c>
      <c r="S64" s="10">
        <v>0</v>
      </c>
      <c r="T64" s="11">
        <v>0</v>
      </c>
      <c r="U64" s="9">
        <f>SUMIFS(입항스케줄!J:J,입항스케줄!C:C,PSI_메인!A64,입항스케줄!U:U,"2602")</f>
        <v>0</v>
      </c>
      <c r="V64" s="11">
        <f>SUMIFS(입항스케줄!J:J,입항스케줄!C:C,PSI_메인!A64,입항스케줄!V:V,"2602")</f>
        <v>0</v>
      </c>
      <c r="W64" s="280">
        <f t="shared" si="12"/>
        <v>0</v>
      </c>
      <c r="X64" s="277">
        <f t="shared" si="13"/>
        <v>0</v>
      </c>
      <c r="Y64" s="278">
        <v>0</v>
      </c>
      <c r="Z64" s="278">
        <v>0</v>
      </c>
      <c r="AA64" s="279">
        <f t="shared" si="0"/>
        <v>0</v>
      </c>
      <c r="AB64" s="11">
        <v>0</v>
      </c>
      <c r="AC64" s="9">
        <f>SUMIFS(입항스케줄!J:J,입항스케줄!C:C,PSI_메인!A64,입항스케줄!U:U,"2603")</f>
        <v>0</v>
      </c>
      <c r="AD64" s="11">
        <f>SUMIFS(입항스케줄!J:J,입항스케줄!C:C,PSI_메인!A64,입항스케줄!V:V,"2603")</f>
        <v>0</v>
      </c>
      <c r="AE64" s="280">
        <f t="shared" si="14"/>
        <v>0</v>
      </c>
      <c r="AF64" s="277">
        <f t="shared" si="15"/>
        <v>0</v>
      </c>
      <c r="AG64" s="278">
        <v>0</v>
      </c>
      <c r="AH64" s="278">
        <v>0</v>
      </c>
      <c r="AI64" s="279">
        <f t="shared" si="1"/>
        <v>0</v>
      </c>
      <c r="AJ64" s="11">
        <v>0</v>
      </c>
      <c r="AK64" s="9">
        <f>SUMIFS(입항스케줄!J:J,입항스케줄!C:C,PSI_메인!A64,입항스케줄!U:U,"2604")</f>
        <v>0</v>
      </c>
      <c r="AL64" s="11">
        <f>SUMIFS(입항스케줄!J:J,입항스케줄!C:C,PSI_메인!A64,입항스케줄!V:V,"2604")</f>
        <v>0</v>
      </c>
      <c r="AM64" s="280">
        <f t="shared" si="16"/>
        <v>0</v>
      </c>
      <c r="AN64" s="277">
        <f t="shared" si="17"/>
        <v>0</v>
      </c>
      <c r="AO64" s="278">
        <v>0</v>
      </c>
      <c r="AP64" s="278">
        <v>0</v>
      </c>
      <c r="AQ64" s="279">
        <f t="shared" si="2"/>
        <v>0</v>
      </c>
      <c r="AR64" s="11">
        <v>0</v>
      </c>
      <c r="AS64" s="9"/>
      <c r="AT64" s="277"/>
      <c r="AU64" s="280">
        <f t="shared" si="18"/>
        <v>0</v>
      </c>
      <c r="AV64" s="277">
        <f t="shared" si="19"/>
        <v>0</v>
      </c>
      <c r="AW64" s="278">
        <v>0</v>
      </c>
      <c r="AX64" s="278">
        <v>0</v>
      </c>
      <c r="AY64" s="279">
        <f t="shared" si="3"/>
        <v>0</v>
      </c>
      <c r="AZ64" s="11">
        <v>0</v>
      </c>
      <c r="BA64" s="9"/>
      <c r="BB64" s="11"/>
      <c r="BC64" s="280">
        <f t="shared" si="20"/>
        <v>0</v>
      </c>
      <c r="BD64" s="277">
        <f t="shared" si="21"/>
        <v>0</v>
      </c>
      <c r="BE64" s="278">
        <v>0</v>
      </c>
      <c r="BF64" s="278">
        <v>0</v>
      </c>
      <c r="BG64" s="279">
        <f t="shared" si="4"/>
        <v>0</v>
      </c>
      <c r="BH64" s="11">
        <v>0</v>
      </c>
      <c r="BI64" s="278"/>
      <c r="BJ64" s="11"/>
      <c r="BK64" s="280">
        <f t="shared" si="22"/>
        <v>0</v>
      </c>
      <c r="BL64" s="277">
        <f t="shared" si="23"/>
        <v>0</v>
      </c>
      <c r="BM64" s="278">
        <v>0</v>
      </c>
      <c r="BN64" s="278">
        <v>0</v>
      </c>
      <c r="BO64" s="279">
        <f t="shared" si="5"/>
        <v>0</v>
      </c>
      <c r="BP64" s="11">
        <v>0</v>
      </c>
      <c r="BQ64" s="278"/>
      <c r="BR64" s="11"/>
      <c r="BS64" s="280">
        <f t="shared" si="24"/>
        <v>0</v>
      </c>
      <c r="BT64" s="277">
        <f t="shared" si="25"/>
        <v>0</v>
      </c>
      <c r="BU64" s="278">
        <v>0</v>
      </c>
      <c r="BV64" s="278">
        <v>0</v>
      </c>
      <c r="BW64" s="279">
        <f t="shared" si="6"/>
        <v>0</v>
      </c>
      <c r="BX64" s="11">
        <v>0</v>
      </c>
      <c r="BY64" s="278"/>
      <c r="BZ64" s="11"/>
      <c r="CA64" s="280">
        <f t="shared" si="26"/>
        <v>0</v>
      </c>
      <c r="CB64" s="277">
        <f t="shared" si="27"/>
        <v>0</v>
      </c>
      <c r="CC64" s="278">
        <v>0</v>
      </c>
      <c r="CD64" s="278">
        <v>0</v>
      </c>
      <c r="CE64" s="279">
        <f t="shared" si="7"/>
        <v>0</v>
      </c>
      <c r="CF64" s="11">
        <v>0</v>
      </c>
      <c r="CG64" s="278"/>
      <c r="CH64" s="11"/>
      <c r="CI64" s="280">
        <f t="shared" si="28"/>
        <v>0</v>
      </c>
      <c r="CJ64" s="277">
        <f t="shared" si="29"/>
        <v>0</v>
      </c>
      <c r="CK64" s="278">
        <v>0</v>
      </c>
      <c r="CL64" s="278">
        <v>0</v>
      </c>
      <c r="CM64" s="279">
        <f t="shared" si="8"/>
        <v>0</v>
      </c>
      <c r="CN64" s="11">
        <v>0</v>
      </c>
      <c r="CO64" s="278"/>
      <c r="CP64" s="277"/>
      <c r="CQ64" s="280">
        <f t="shared" si="30"/>
        <v>0</v>
      </c>
      <c r="CR64" s="277">
        <f t="shared" si="31"/>
        <v>0</v>
      </c>
      <c r="CS64" s="278">
        <v>0</v>
      </c>
      <c r="CT64" s="278">
        <v>0</v>
      </c>
      <c r="CU64" s="279">
        <f t="shared" si="9"/>
        <v>0</v>
      </c>
      <c r="CV64" s="11">
        <v>0</v>
      </c>
      <c r="CW64" s="278"/>
      <c r="CX64" s="277"/>
      <c r="CY64" s="280">
        <f t="shared" si="32"/>
        <v>0</v>
      </c>
      <c r="CZ64" s="277">
        <f t="shared" si="33"/>
        <v>0</v>
      </c>
    </row>
    <row r="65" spans="1:104" ht="17.25" customHeight="1">
      <c r="A65" s="28" t="s">
        <v>642</v>
      </c>
      <c r="B65" s="382"/>
      <c r="C65" s="27"/>
      <c r="D65" s="28" t="str">
        <f>_xlfn.XLOOKUP(A65,'ABC-XYZ분석 (2)'!C:C,'ABC-XYZ분석 (2)'!I:I)</f>
        <v>여름</v>
      </c>
      <c r="E65" s="28" t="str">
        <f>_xlfn.XLOOKUP(A65,'ABC-XYZ분석 (2)'!C:C,'ABC-XYZ분석 (2)'!AC:AC)</f>
        <v>B</v>
      </c>
      <c r="F65" s="3" t="str">
        <f>_xlfn.XLOOKUP(A65,'ABC-XYZ분석 (2)'!C:C,'ABC-XYZ분석 (2)'!AG:AG)</f>
        <v>Y</v>
      </c>
      <c r="G65" s="14">
        <f>SUMIF(재고!C:C,PSI_메인!A65,재고!I:I)</f>
        <v>0</v>
      </c>
      <c r="H65" s="277">
        <v>471</v>
      </c>
      <c r="I65" s="278">
        <v>0</v>
      </c>
      <c r="J65" s="278">
        <v>0</v>
      </c>
      <c r="K65" s="279">
        <v>250</v>
      </c>
      <c r="L65" s="11">
        <v>0</v>
      </c>
      <c r="M65" s="9">
        <f>SUMIFS(입항스케줄!J:J,입항스케줄!C:C,PSI_메인!A65,입항스케줄!U:U,"2601")</f>
        <v>0</v>
      </c>
      <c r="N65" s="11">
        <f>SUMIFS(입항스케줄!J:J,입항스케줄!C:C,PSI_메인!A65,입항스케줄!V:V,"2601")</f>
        <v>0</v>
      </c>
      <c r="O65" s="280">
        <f t="shared" si="10"/>
        <v>-250</v>
      </c>
      <c r="P65" s="277">
        <f t="shared" si="11"/>
        <v>0</v>
      </c>
      <c r="Q65" s="278">
        <v>0</v>
      </c>
      <c r="R65" s="278">
        <v>0</v>
      </c>
      <c r="S65" s="10">
        <v>300</v>
      </c>
      <c r="T65" s="11">
        <v>0</v>
      </c>
      <c r="U65" s="9">
        <f>SUMIFS(입항스케줄!J:J,입항스케줄!C:C,PSI_메인!A65,입항스케줄!U:U,"2602")</f>
        <v>0</v>
      </c>
      <c r="V65" s="11">
        <f>SUMIFS(입항스케줄!J:J,입항스케줄!C:C,PSI_메인!A65,입항스케줄!V:V,"2602")</f>
        <v>0</v>
      </c>
      <c r="W65" s="280">
        <f t="shared" si="12"/>
        <v>-300</v>
      </c>
      <c r="X65" s="277">
        <f t="shared" si="13"/>
        <v>0</v>
      </c>
      <c r="Y65" s="278">
        <v>0</v>
      </c>
      <c r="Z65" s="278">
        <v>0</v>
      </c>
      <c r="AA65" s="279">
        <f t="shared" si="0"/>
        <v>0</v>
      </c>
      <c r="AB65" s="11">
        <v>0</v>
      </c>
      <c r="AC65" s="9">
        <f>SUMIFS(입항스케줄!J:J,입항스케줄!C:C,PSI_메인!A65,입항스케줄!U:U,"2603")</f>
        <v>0</v>
      </c>
      <c r="AD65" s="11">
        <f>SUMIFS(입항스케줄!J:J,입항스케줄!C:C,PSI_메인!A65,입항스케줄!V:V,"2603")</f>
        <v>0</v>
      </c>
      <c r="AE65" s="280">
        <f t="shared" si="14"/>
        <v>0</v>
      </c>
      <c r="AF65" s="277">
        <f t="shared" si="15"/>
        <v>0</v>
      </c>
      <c r="AG65" s="278">
        <v>0</v>
      </c>
      <c r="AH65" s="278">
        <v>0</v>
      </c>
      <c r="AI65" s="279">
        <f t="shared" si="1"/>
        <v>0</v>
      </c>
      <c r="AJ65" s="11">
        <v>0</v>
      </c>
      <c r="AK65" s="9">
        <f>SUMIFS(입항스케줄!J:J,입항스케줄!C:C,PSI_메인!A65,입항스케줄!U:U,"2604")</f>
        <v>0</v>
      </c>
      <c r="AL65" s="11">
        <f>SUMIFS(입항스케줄!J:J,입항스케줄!C:C,PSI_메인!A65,입항스케줄!V:V,"2604")</f>
        <v>0</v>
      </c>
      <c r="AM65" s="280">
        <f t="shared" si="16"/>
        <v>0</v>
      </c>
      <c r="AN65" s="277">
        <f t="shared" si="17"/>
        <v>0</v>
      </c>
      <c r="AO65" s="278">
        <v>0</v>
      </c>
      <c r="AP65" s="278">
        <v>0</v>
      </c>
      <c r="AQ65" s="279">
        <f t="shared" si="2"/>
        <v>0</v>
      </c>
      <c r="AR65" s="11">
        <v>0</v>
      </c>
      <c r="AS65" s="9"/>
      <c r="AT65" s="277"/>
      <c r="AU65" s="280">
        <f t="shared" si="18"/>
        <v>0</v>
      </c>
      <c r="AV65" s="277">
        <f t="shared" si="19"/>
        <v>0</v>
      </c>
      <c r="AW65" s="278">
        <v>0</v>
      </c>
      <c r="AX65" s="278">
        <v>0</v>
      </c>
      <c r="AY65" s="279">
        <f t="shared" si="3"/>
        <v>0</v>
      </c>
      <c r="AZ65" s="11">
        <v>0</v>
      </c>
      <c r="BA65" s="9"/>
      <c r="BB65" s="11"/>
      <c r="BC65" s="280">
        <f t="shared" si="20"/>
        <v>0</v>
      </c>
      <c r="BD65" s="277">
        <f t="shared" si="21"/>
        <v>0</v>
      </c>
      <c r="BE65" s="278">
        <v>0</v>
      </c>
      <c r="BF65" s="278">
        <v>0</v>
      </c>
      <c r="BG65" s="279">
        <f t="shared" si="4"/>
        <v>0</v>
      </c>
      <c r="BH65" s="11">
        <v>0</v>
      </c>
      <c r="BI65" s="278"/>
      <c r="BJ65" s="11"/>
      <c r="BK65" s="280">
        <f t="shared" si="22"/>
        <v>0</v>
      </c>
      <c r="BL65" s="277">
        <f t="shared" si="23"/>
        <v>0</v>
      </c>
      <c r="BM65" s="278">
        <v>0</v>
      </c>
      <c r="BN65" s="278">
        <v>0</v>
      </c>
      <c r="BO65" s="279">
        <f t="shared" si="5"/>
        <v>0</v>
      </c>
      <c r="BP65" s="11">
        <v>0</v>
      </c>
      <c r="BQ65" s="278"/>
      <c r="BR65" s="11"/>
      <c r="BS65" s="280">
        <f t="shared" si="24"/>
        <v>0</v>
      </c>
      <c r="BT65" s="277">
        <f t="shared" si="25"/>
        <v>0</v>
      </c>
      <c r="BU65" s="278">
        <v>0</v>
      </c>
      <c r="BV65" s="278">
        <v>0</v>
      </c>
      <c r="BW65" s="279">
        <f t="shared" si="6"/>
        <v>0</v>
      </c>
      <c r="BX65" s="11">
        <v>0</v>
      </c>
      <c r="BY65" s="278"/>
      <c r="BZ65" s="11"/>
      <c r="CA65" s="280">
        <f t="shared" si="26"/>
        <v>0</v>
      </c>
      <c r="CB65" s="277">
        <f t="shared" si="27"/>
        <v>0</v>
      </c>
      <c r="CC65" s="278">
        <v>0</v>
      </c>
      <c r="CD65" s="278">
        <v>0</v>
      </c>
      <c r="CE65" s="279">
        <f t="shared" si="7"/>
        <v>0</v>
      </c>
      <c r="CF65" s="11">
        <v>0</v>
      </c>
      <c r="CG65" s="278"/>
      <c r="CH65" s="11"/>
      <c r="CI65" s="280">
        <f t="shared" si="28"/>
        <v>0</v>
      </c>
      <c r="CJ65" s="277">
        <f t="shared" si="29"/>
        <v>0</v>
      </c>
      <c r="CK65" s="278">
        <v>0</v>
      </c>
      <c r="CL65" s="278">
        <v>0</v>
      </c>
      <c r="CM65" s="279">
        <f t="shared" si="8"/>
        <v>0</v>
      </c>
      <c r="CN65" s="11">
        <v>0</v>
      </c>
      <c r="CO65" s="278"/>
      <c r="CP65" s="277"/>
      <c r="CQ65" s="280">
        <f t="shared" si="30"/>
        <v>0</v>
      </c>
      <c r="CR65" s="277">
        <f t="shared" si="31"/>
        <v>0</v>
      </c>
      <c r="CS65" s="278">
        <v>0</v>
      </c>
      <c r="CT65" s="278">
        <v>0</v>
      </c>
      <c r="CU65" s="279">
        <f t="shared" si="9"/>
        <v>0</v>
      </c>
      <c r="CV65" s="11">
        <v>0</v>
      </c>
      <c r="CW65" s="278"/>
      <c r="CX65" s="277"/>
      <c r="CY65" s="280">
        <f t="shared" si="32"/>
        <v>0</v>
      </c>
      <c r="CZ65" s="277">
        <f t="shared" si="33"/>
        <v>0</v>
      </c>
    </row>
    <row r="66" spans="1:104" ht="17.25" customHeight="1">
      <c r="A66" s="28" t="s">
        <v>643</v>
      </c>
      <c r="B66" s="382"/>
      <c r="C66" s="27"/>
      <c r="D66" s="28" t="str">
        <f>_xlfn.XLOOKUP(A66,'ABC-XYZ분석 (2)'!C:C,'ABC-XYZ분석 (2)'!I:I)</f>
        <v>사계절</v>
      </c>
      <c r="E66" s="28" t="str">
        <f>_xlfn.XLOOKUP(A66,'ABC-XYZ분석 (2)'!C:C,'ABC-XYZ분석 (2)'!AC:AC)</f>
        <v>B</v>
      </c>
      <c r="F66" s="3" t="str">
        <f>_xlfn.XLOOKUP(A66,'ABC-XYZ분석 (2)'!C:C,'ABC-XYZ분석 (2)'!AG:AG)</f>
        <v>Y</v>
      </c>
      <c r="G66" s="14">
        <f>SUMIF(재고!C:C,PSI_메인!A66,재고!I:I)</f>
        <v>0</v>
      </c>
      <c r="H66" s="277">
        <v>4743</v>
      </c>
      <c r="I66" s="278">
        <v>0</v>
      </c>
      <c r="J66" s="278">
        <v>0</v>
      </c>
      <c r="K66" s="279">
        <v>0</v>
      </c>
      <c r="L66" s="11">
        <v>0</v>
      </c>
      <c r="M66" s="9">
        <f>SUMIFS(입항스케줄!J:J,입항스케줄!C:C,PSI_메인!A66,입항스케줄!U:U,"2601")</f>
        <v>0</v>
      </c>
      <c r="N66" s="11">
        <f>SUMIFS(입항스케줄!J:J,입항스케줄!C:C,PSI_메인!A66,입항스케줄!V:V,"2601")</f>
        <v>0</v>
      </c>
      <c r="O66" s="280">
        <f t="shared" si="10"/>
        <v>0</v>
      </c>
      <c r="P66" s="277">
        <f t="shared" si="11"/>
        <v>0</v>
      </c>
      <c r="Q66" s="278">
        <v>0</v>
      </c>
      <c r="R66" s="278">
        <v>0</v>
      </c>
      <c r="S66" s="10">
        <v>0</v>
      </c>
      <c r="T66" s="11">
        <v>0</v>
      </c>
      <c r="U66" s="9">
        <f>SUMIFS(입항스케줄!J:J,입항스케줄!C:C,PSI_메인!A66,입항스케줄!U:U,"2602")</f>
        <v>0</v>
      </c>
      <c r="V66" s="11">
        <f>SUMIFS(입항스케줄!J:J,입항스케줄!C:C,PSI_메인!A66,입항스케줄!V:V,"2602")</f>
        <v>0</v>
      </c>
      <c r="W66" s="280">
        <f t="shared" si="12"/>
        <v>0</v>
      </c>
      <c r="X66" s="277">
        <f t="shared" si="13"/>
        <v>0</v>
      </c>
      <c r="Y66" s="278">
        <v>0</v>
      </c>
      <c r="Z66" s="278">
        <v>0</v>
      </c>
      <c r="AA66" s="279">
        <f t="shared" si="0"/>
        <v>0</v>
      </c>
      <c r="AB66" s="11">
        <v>0</v>
      </c>
      <c r="AC66" s="9">
        <f>SUMIFS(입항스케줄!J:J,입항스케줄!C:C,PSI_메인!A66,입항스케줄!U:U,"2603")</f>
        <v>0</v>
      </c>
      <c r="AD66" s="11">
        <f>SUMIFS(입항스케줄!J:J,입항스케줄!C:C,PSI_메인!A66,입항스케줄!V:V,"2603")</f>
        <v>0</v>
      </c>
      <c r="AE66" s="280">
        <f t="shared" si="14"/>
        <v>0</v>
      </c>
      <c r="AF66" s="277">
        <f t="shared" si="15"/>
        <v>0</v>
      </c>
      <c r="AG66" s="278">
        <v>0</v>
      </c>
      <c r="AH66" s="278">
        <v>0</v>
      </c>
      <c r="AI66" s="279">
        <f t="shared" si="1"/>
        <v>0</v>
      </c>
      <c r="AJ66" s="11">
        <v>0</v>
      </c>
      <c r="AK66" s="9">
        <f>SUMIFS(입항스케줄!J:J,입항스케줄!C:C,PSI_메인!A66,입항스케줄!U:U,"2604")</f>
        <v>0</v>
      </c>
      <c r="AL66" s="11">
        <f>SUMIFS(입항스케줄!J:J,입항스케줄!C:C,PSI_메인!A66,입항스케줄!V:V,"2604")</f>
        <v>0</v>
      </c>
      <c r="AM66" s="280">
        <f t="shared" si="16"/>
        <v>0</v>
      </c>
      <c r="AN66" s="277">
        <f t="shared" si="17"/>
        <v>0</v>
      </c>
      <c r="AO66" s="278">
        <v>0</v>
      </c>
      <c r="AP66" s="278">
        <v>0</v>
      </c>
      <c r="AQ66" s="279">
        <f t="shared" si="2"/>
        <v>0</v>
      </c>
      <c r="AR66" s="11">
        <v>0</v>
      </c>
      <c r="AS66" s="9"/>
      <c r="AT66" s="277"/>
      <c r="AU66" s="280">
        <f t="shared" si="18"/>
        <v>0</v>
      </c>
      <c r="AV66" s="277">
        <f t="shared" si="19"/>
        <v>0</v>
      </c>
      <c r="AW66" s="278">
        <v>0</v>
      </c>
      <c r="AX66" s="278">
        <v>0</v>
      </c>
      <c r="AY66" s="279">
        <f t="shared" si="3"/>
        <v>0</v>
      </c>
      <c r="AZ66" s="11">
        <v>0</v>
      </c>
      <c r="BA66" s="9"/>
      <c r="BB66" s="11"/>
      <c r="BC66" s="280">
        <f t="shared" si="20"/>
        <v>0</v>
      </c>
      <c r="BD66" s="277">
        <f t="shared" si="21"/>
        <v>0</v>
      </c>
      <c r="BE66" s="278">
        <v>0</v>
      </c>
      <c r="BF66" s="278">
        <v>0</v>
      </c>
      <c r="BG66" s="279">
        <f t="shared" si="4"/>
        <v>0</v>
      </c>
      <c r="BH66" s="11">
        <v>0</v>
      </c>
      <c r="BI66" s="278"/>
      <c r="BJ66" s="11"/>
      <c r="BK66" s="280">
        <f t="shared" si="22"/>
        <v>0</v>
      </c>
      <c r="BL66" s="277">
        <f t="shared" si="23"/>
        <v>0</v>
      </c>
      <c r="BM66" s="278">
        <v>0</v>
      </c>
      <c r="BN66" s="278">
        <v>0</v>
      </c>
      <c r="BO66" s="279">
        <f t="shared" si="5"/>
        <v>0</v>
      </c>
      <c r="BP66" s="11">
        <v>0</v>
      </c>
      <c r="BQ66" s="278"/>
      <c r="BR66" s="11"/>
      <c r="BS66" s="280">
        <f t="shared" si="24"/>
        <v>0</v>
      </c>
      <c r="BT66" s="277">
        <f t="shared" si="25"/>
        <v>0</v>
      </c>
      <c r="BU66" s="278">
        <v>0</v>
      </c>
      <c r="BV66" s="278">
        <v>0</v>
      </c>
      <c r="BW66" s="279">
        <f t="shared" si="6"/>
        <v>0</v>
      </c>
      <c r="BX66" s="11">
        <v>0</v>
      </c>
      <c r="BY66" s="278"/>
      <c r="BZ66" s="11"/>
      <c r="CA66" s="280">
        <f t="shared" si="26"/>
        <v>0</v>
      </c>
      <c r="CB66" s="277">
        <f t="shared" si="27"/>
        <v>0</v>
      </c>
      <c r="CC66" s="278">
        <v>0</v>
      </c>
      <c r="CD66" s="278">
        <v>0</v>
      </c>
      <c r="CE66" s="279">
        <f t="shared" si="7"/>
        <v>0</v>
      </c>
      <c r="CF66" s="11">
        <v>0</v>
      </c>
      <c r="CG66" s="278"/>
      <c r="CH66" s="11"/>
      <c r="CI66" s="280">
        <f t="shared" si="28"/>
        <v>0</v>
      </c>
      <c r="CJ66" s="277">
        <f t="shared" si="29"/>
        <v>0</v>
      </c>
      <c r="CK66" s="278">
        <v>0</v>
      </c>
      <c r="CL66" s="278">
        <v>0</v>
      </c>
      <c r="CM66" s="279">
        <f t="shared" si="8"/>
        <v>0</v>
      </c>
      <c r="CN66" s="11">
        <v>0</v>
      </c>
      <c r="CO66" s="278"/>
      <c r="CP66" s="277"/>
      <c r="CQ66" s="280">
        <f t="shared" si="30"/>
        <v>0</v>
      </c>
      <c r="CR66" s="277">
        <f t="shared" si="31"/>
        <v>0</v>
      </c>
      <c r="CS66" s="278">
        <v>0</v>
      </c>
      <c r="CT66" s="278">
        <v>0</v>
      </c>
      <c r="CU66" s="279">
        <f t="shared" si="9"/>
        <v>0</v>
      </c>
      <c r="CV66" s="11">
        <v>0</v>
      </c>
      <c r="CW66" s="278"/>
      <c r="CX66" s="277"/>
      <c r="CY66" s="280">
        <f t="shared" si="32"/>
        <v>0</v>
      </c>
      <c r="CZ66" s="277">
        <f t="shared" si="33"/>
        <v>0</v>
      </c>
    </row>
    <row r="67" spans="1:104" ht="17.25" customHeight="1">
      <c r="A67" s="28" t="s">
        <v>644</v>
      </c>
      <c r="B67" s="382"/>
      <c r="C67" s="27"/>
      <c r="D67" s="28" t="str">
        <f>_xlfn.XLOOKUP(A67,'ABC-XYZ분석 (2)'!C:C,'ABC-XYZ분석 (2)'!I:I)</f>
        <v>사계절</v>
      </c>
      <c r="E67" s="28" t="str">
        <f>_xlfn.XLOOKUP(A67,'ABC-XYZ분석 (2)'!C:C,'ABC-XYZ분석 (2)'!AC:AC)</f>
        <v>B</v>
      </c>
      <c r="F67" s="3" t="str">
        <f>_xlfn.XLOOKUP(A67,'ABC-XYZ분석 (2)'!C:C,'ABC-XYZ분석 (2)'!AG:AG)</f>
        <v>Z</v>
      </c>
      <c r="G67" s="14">
        <f>SUMIF(재고!C:C,PSI_메인!A67,재고!I:I)</f>
        <v>0</v>
      </c>
      <c r="H67" s="277">
        <v>5750</v>
      </c>
      <c r="I67" s="278">
        <v>0</v>
      </c>
      <c r="J67" s="278">
        <v>0</v>
      </c>
      <c r="K67" s="279">
        <v>100</v>
      </c>
      <c r="L67" s="11">
        <v>0</v>
      </c>
      <c r="M67" s="9">
        <f>SUMIFS(입항스케줄!J:J,입항스케줄!C:C,PSI_메인!A67,입항스케줄!U:U,"2601")</f>
        <v>0</v>
      </c>
      <c r="N67" s="11">
        <f>SUMIFS(입항스케줄!J:J,입항스케줄!C:C,PSI_메인!A67,입항스케줄!V:V,"2601")</f>
        <v>0</v>
      </c>
      <c r="O67" s="280">
        <f t="shared" si="10"/>
        <v>-100</v>
      </c>
      <c r="P67" s="277">
        <f t="shared" si="11"/>
        <v>0</v>
      </c>
      <c r="Q67" s="278">
        <v>0</v>
      </c>
      <c r="R67" s="278">
        <v>0</v>
      </c>
      <c r="S67" s="10">
        <v>0</v>
      </c>
      <c r="T67" s="11">
        <v>0</v>
      </c>
      <c r="U67" s="9">
        <f>SUMIFS(입항스케줄!J:J,입항스케줄!C:C,PSI_메인!A67,입항스케줄!U:U,"2602")</f>
        <v>0</v>
      </c>
      <c r="V67" s="11">
        <f>SUMIFS(입항스케줄!J:J,입항스케줄!C:C,PSI_메인!A67,입항스케줄!V:V,"2602")</f>
        <v>0</v>
      </c>
      <c r="W67" s="280">
        <f t="shared" si="12"/>
        <v>0</v>
      </c>
      <c r="X67" s="277">
        <f t="shared" si="13"/>
        <v>0</v>
      </c>
      <c r="Y67" s="278">
        <v>0</v>
      </c>
      <c r="Z67" s="278">
        <v>0</v>
      </c>
      <c r="AA67" s="279">
        <f t="shared" si="0"/>
        <v>0</v>
      </c>
      <c r="AB67" s="11">
        <v>0</v>
      </c>
      <c r="AC67" s="9">
        <f>SUMIFS(입항스케줄!J:J,입항스케줄!C:C,PSI_메인!A67,입항스케줄!U:U,"2603")</f>
        <v>0</v>
      </c>
      <c r="AD67" s="11">
        <f>SUMIFS(입항스케줄!J:J,입항스케줄!C:C,PSI_메인!A67,입항스케줄!V:V,"2603")</f>
        <v>0</v>
      </c>
      <c r="AE67" s="280">
        <f t="shared" si="14"/>
        <v>0</v>
      </c>
      <c r="AF67" s="277">
        <f t="shared" si="15"/>
        <v>0</v>
      </c>
      <c r="AG67" s="278">
        <v>0</v>
      </c>
      <c r="AH67" s="278">
        <v>0</v>
      </c>
      <c r="AI67" s="279">
        <f t="shared" si="1"/>
        <v>0</v>
      </c>
      <c r="AJ67" s="11">
        <v>0</v>
      </c>
      <c r="AK67" s="9">
        <f>SUMIFS(입항스케줄!J:J,입항스케줄!C:C,PSI_메인!A67,입항스케줄!U:U,"2604")</f>
        <v>0</v>
      </c>
      <c r="AL67" s="11">
        <f>SUMIFS(입항스케줄!J:J,입항스케줄!C:C,PSI_메인!A67,입항스케줄!V:V,"2604")</f>
        <v>0</v>
      </c>
      <c r="AM67" s="280">
        <f t="shared" si="16"/>
        <v>0</v>
      </c>
      <c r="AN67" s="277">
        <f t="shared" si="17"/>
        <v>0</v>
      </c>
      <c r="AO67" s="278">
        <v>0</v>
      </c>
      <c r="AP67" s="278">
        <v>0</v>
      </c>
      <c r="AQ67" s="279">
        <f t="shared" si="2"/>
        <v>0</v>
      </c>
      <c r="AR67" s="11">
        <v>0</v>
      </c>
      <c r="AS67" s="9"/>
      <c r="AT67" s="277"/>
      <c r="AU67" s="280">
        <f t="shared" si="18"/>
        <v>0</v>
      </c>
      <c r="AV67" s="277">
        <f t="shared" si="19"/>
        <v>0</v>
      </c>
      <c r="AW67" s="278">
        <v>0</v>
      </c>
      <c r="AX67" s="278">
        <v>0</v>
      </c>
      <c r="AY67" s="279">
        <f t="shared" si="3"/>
        <v>0</v>
      </c>
      <c r="AZ67" s="11">
        <v>0</v>
      </c>
      <c r="BA67" s="9"/>
      <c r="BB67" s="11"/>
      <c r="BC67" s="280">
        <f t="shared" si="20"/>
        <v>0</v>
      </c>
      <c r="BD67" s="277">
        <f t="shared" si="21"/>
        <v>0</v>
      </c>
      <c r="BE67" s="278">
        <v>0</v>
      </c>
      <c r="BF67" s="278">
        <v>0</v>
      </c>
      <c r="BG67" s="279">
        <f t="shared" si="4"/>
        <v>0</v>
      </c>
      <c r="BH67" s="11">
        <v>0</v>
      </c>
      <c r="BI67" s="278"/>
      <c r="BJ67" s="11"/>
      <c r="BK67" s="280">
        <f t="shared" si="22"/>
        <v>0</v>
      </c>
      <c r="BL67" s="277">
        <f t="shared" si="23"/>
        <v>0</v>
      </c>
      <c r="BM67" s="278">
        <v>0</v>
      </c>
      <c r="BN67" s="278">
        <v>0</v>
      </c>
      <c r="BO67" s="279">
        <f t="shared" si="5"/>
        <v>0</v>
      </c>
      <c r="BP67" s="11">
        <v>0</v>
      </c>
      <c r="BQ67" s="278"/>
      <c r="BR67" s="11"/>
      <c r="BS67" s="280">
        <f t="shared" si="24"/>
        <v>0</v>
      </c>
      <c r="BT67" s="277">
        <f t="shared" si="25"/>
        <v>0</v>
      </c>
      <c r="BU67" s="278">
        <v>0</v>
      </c>
      <c r="BV67" s="278">
        <v>0</v>
      </c>
      <c r="BW67" s="279">
        <f t="shared" si="6"/>
        <v>0</v>
      </c>
      <c r="BX67" s="11">
        <v>0</v>
      </c>
      <c r="BY67" s="278"/>
      <c r="BZ67" s="11"/>
      <c r="CA67" s="280">
        <f t="shared" si="26"/>
        <v>0</v>
      </c>
      <c r="CB67" s="277">
        <f t="shared" si="27"/>
        <v>0</v>
      </c>
      <c r="CC67" s="278">
        <v>0</v>
      </c>
      <c r="CD67" s="278">
        <v>0</v>
      </c>
      <c r="CE67" s="279">
        <f t="shared" si="7"/>
        <v>0</v>
      </c>
      <c r="CF67" s="11">
        <v>0</v>
      </c>
      <c r="CG67" s="278"/>
      <c r="CH67" s="11"/>
      <c r="CI67" s="280">
        <f t="shared" si="28"/>
        <v>0</v>
      </c>
      <c r="CJ67" s="277">
        <f t="shared" si="29"/>
        <v>0</v>
      </c>
      <c r="CK67" s="278">
        <v>0</v>
      </c>
      <c r="CL67" s="278">
        <v>0</v>
      </c>
      <c r="CM67" s="279">
        <f t="shared" si="8"/>
        <v>0</v>
      </c>
      <c r="CN67" s="11">
        <v>0</v>
      </c>
      <c r="CO67" s="278"/>
      <c r="CP67" s="277"/>
      <c r="CQ67" s="280">
        <f t="shared" si="30"/>
        <v>0</v>
      </c>
      <c r="CR67" s="277">
        <f t="shared" si="31"/>
        <v>0</v>
      </c>
      <c r="CS67" s="278">
        <v>0</v>
      </c>
      <c r="CT67" s="278">
        <v>0</v>
      </c>
      <c r="CU67" s="279">
        <f t="shared" si="9"/>
        <v>0</v>
      </c>
      <c r="CV67" s="11">
        <v>0</v>
      </c>
      <c r="CW67" s="278"/>
      <c r="CX67" s="277"/>
      <c r="CY67" s="280">
        <f t="shared" si="32"/>
        <v>0</v>
      </c>
      <c r="CZ67" s="277">
        <f t="shared" si="33"/>
        <v>0</v>
      </c>
    </row>
    <row r="68" spans="1:104" ht="17.25" customHeight="1">
      <c r="A68" s="28" t="s">
        <v>645</v>
      </c>
      <c r="B68" s="382"/>
      <c r="C68" s="27"/>
      <c r="D68" s="28" t="str">
        <f>_xlfn.XLOOKUP(A68,'ABC-XYZ분석 (2)'!C:C,'ABC-XYZ분석 (2)'!I:I)</f>
        <v>사계절</v>
      </c>
      <c r="E68" s="28" t="str">
        <f>_xlfn.XLOOKUP(A68,'ABC-XYZ분석 (2)'!C:C,'ABC-XYZ분석 (2)'!AC:AC)</f>
        <v>B</v>
      </c>
      <c r="F68" s="3" t="str">
        <f>_xlfn.XLOOKUP(A68,'ABC-XYZ분석 (2)'!C:C,'ABC-XYZ분석 (2)'!AG:AG)</f>
        <v>X</v>
      </c>
      <c r="G68" s="14">
        <f>SUMIF(재고!C:C,PSI_메인!A68,재고!I:I)</f>
        <v>0</v>
      </c>
      <c r="H68" s="277">
        <v>1205</v>
      </c>
      <c r="I68" s="278">
        <v>0</v>
      </c>
      <c r="J68" s="278">
        <v>0</v>
      </c>
      <c r="K68" s="279">
        <v>100</v>
      </c>
      <c r="L68" s="11">
        <v>0</v>
      </c>
      <c r="M68" s="9">
        <f>SUMIFS(입항스케줄!J:J,입항스케줄!C:C,PSI_메인!A68,입항스케줄!U:U,"2601")</f>
        <v>0</v>
      </c>
      <c r="N68" s="11">
        <f>SUMIFS(입항스케줄!J:J,입항스케줄!C:C,PSI_메인!A68,입항스케줄!V:V,"2601")</f>
        <v>0</v>
      </c>
      <c r="O68" s="280">
        <f t="shared" si="10"/>
        <v>-100</v>
      </c>
      <c r="P68" s="277">
        <f t="shared" si="11"/>
        <v>0</v>
      </c>
      <c r="Q68" s="278">
        <v>0</v>
      </c>
      <c r="R68" s="278">
        <v>0</v>
      </c>
      <c r="S68" s="10">
        <v>600</v>
      </c>
      <c r="T68" s="11">
        <v>0</v>
      </c>
      <c r="U68" s="9">
        <f>SUMIFS(입항스케줄!J:J,입항스케줄!C:C,PSI_메인!A68,입항스케줄!U:U,"2602")</f>
        <v>0</v>
      </c>
      <c r="V68" s="11">
        <f>SUMIFS(입항스케줄!J:J,입항스케줄!C:C,PSI_메인!A68,입항스케줄!V:V,"2602")</f>
        <v>0</v>
      </c>
      <c r="W68" s="280">
        <f t="shared" si="12"/>
        <v>-600</v>
      </c>
      <c r="X68" s="277">
        <f t="shared" si="13"/>
        <v>0</v>
      </c>
      <c r="Y68" s="278">
        <v>0</v>
      </c>
      <c r="Z68" s="278">
        <v>0</v>
      </c>
      <c r="AA68" s="279">
        <f t="shared" ref="AA68:AA100" si="34">ROUND((Y68+Z68)/2,0)</f>
        <v>0</v>
      </c>
      <c r="AB68" s="11">
        <v>0</v>
      </c>
      <c r="AC68" s="9">
        <f>SUMIFS(입항스케줄!J:J,입항스케줄!C:C,PSI_메인!A68,입항스케줄!U:U,"2603")</f>
        <v>0</v>
      </c>
      <c r="AD68" s="11">
        <f>SUMIFS(입항스케줄!J:J,입항스케줄!C:C,PSI_메인!A68,입항스케줄!V:V,"2603")</f>
        <v>0</v>
      </c>
      <c r="AE68" s="280">
        <f t="shared" si="14"/>
        <v>0</v>
      </c>
      <c r="AF68" s="277">
        <f t="shared" si="15"/>
        <v>0</v>
      </c>
      <c r="AG68" s="278">
        <v>0</v>
      </c>
      <c r="AH68" s="278">
        <v>0</v>
      </c>
      <c r="AI68" s="279">
        <f t="shared" ref="AI68:AI100" si="35">ROUND((AG68+AH68)/2,0)</f>
        <v>0</v>
      </c>
      <c r="AJ68" s="11">
        <v>0</v>
      </c>
      <c r="AK68" s="9">
        <f>SUMIFS(입항스케줄!J:J,입항스케줄!C:C,PSI_메인!A68,입항스케줄!U:U,"2604")</f>
        <v>0</v>
      </c>
      <c r="AL68" s="11">
        <f>SUMIFS(입항스케줄!J:J,입항스케줄!C:C,PSI_메인!A68,입항스케줄!V:V,"2604")</f>
        <v>0</v>
      </c>
      <c r="AM68" s="280">
        <f t="shared" si="16"/>
        <v>0</v>
      </c>
      <c r="AN68" s="277">
        <f t="shared" si="17"/>
        <v>0</v>
      </c>
      <c r="AO68" s="278">
        <v>0</v>
      </c>
      <c r="AP68" s="278">
        <v>0</v>
      </c>
      <c r="AQ68" s="279">
        <f t="shared" ref="AQ68:AQ100" si="36">ROUND((AO68+AP68)/2,0)</f>
        <v>0</v>
      </c>
      <c r="AR68" s="11">
        <v>0</v>
      </c>
      <c r="AS68" s="9"/>
      <c r="AT68" s="277"/>
      <c r="AU68" s="280">
        <f t="shared" si="18"/>
        <v>0</v>
      </c>
      <c r="AV68" s="277">
        <f t="shared" si="19"/>
        <v>0</v>
      </c>
      <c r="AW68" s="278">
        <v>0</v>
      </c>
      <c r="AX68" s="278">
        <v>0</v>
      </c>
      <c r="AY68" s="279">
        <f t="shared" ref="AY68:AY100" si="37">ROUND((AW68+AX68)/2,0)</f>
        <v>0</v>
      </c>
      <c r="AZ68" s="11">
        <v>0</v>
      </c>
      <c r="BA68" s="9"/>
      <c r="BB68" s="11"/>
      <c r="BC68" s="280">
        <f t="shared" si="20"/>
        <v>0</v>
      </c>
      <c r="BD68" s="277">
        <f t="shared" si="21"/>
        <v>0</v>
      </c>
      <c r="BE68" s="278">
        <v>0</v>
      </c>
      <c r="BF68" s="278">
        <v>0</v>
      </c>
      <c r="BG68" s="279">
        <f t="shared" ref="BG68:BG100" si="38">ROUND((BE68+BF68)/2,0)</f>
        <v>0</v>
      </c>
      <c r="BH68" s="11">
        <v>0</v>
      </c>
      <c r="BI68" s="278"/>
      <c r="BJ68" s="11"/>
      <c r="BK68" s="280">
        <f t="shared" si="22"/>
        <v>0</v>
      </c>
      <c r="BL68" s="277">
        <f t="shared" si="23"/>
        <v>0</v>
      </c>
      <c r="BM68" s="278">
        <v>0</v>
      </c>
      <c r="BN68" s="278">
        <v>0</v>
      </c>
      <c r="BO68" s="279">
        <f t="shared" ref="BO68:BO100" si="39">ROUND((BM68+BN68)/2,0)</f>
        <v>0</v>
      </c>
      <c r="BP68" s="11">
        <v>0</v>
      </c>
      <c r="BQ68" s="278"/>
      <c r="BR68" s="11"/>
      <c r="BS68" s="280">
        <f t="shared" si="24"/>
        <v>0</v>
      </c>
      <c r="BT68" s="277">
        <f t="shared" si="25"/>
        <v>0</v>
      </c>
      <c r="BU68" s="278">
        <v>0</v>
      </c>
      <c r="BV68" s="278">
        <v>0</v>
      </c>
      <c r="BW68" s="279">
        <f t="shared" ref="BW68:BW100" si="40">ROUND((BU68+BV68)/2,0)</f>
        <v>0</v>
      </c>
      <c r="BX68" s="11">
        <v>0</v>
      </c>
      <c r="BY68" s="278"/>
      <c r="BZ68" s="11"/>
      <c r="CA68" s="280">
        <f t="shared" si="26"/>
        <v>0</v>
      </c>
      <c r="CB68" s="277">
        <f t="shared" si="27"/>
        <v>0</v>
      </c>
      <c r="CC68" s="278">
        <v>0</v>
      </c>
      <c r="CD68" s="278">
        <v>0</v>
      </c>
      <c r="CE68" s="279">
        <f t="shared" ref="CE68:CE100" si="41">ROUND((CC68+CD68)/2,0)</f>
        <v>0</v>
      </c>
      <c r="CF68" s="11">
        <v>0</v>
      </c>
      <c r="CG68" s="278"/>
      <c r="CH68" s="11"/>
      <c r="CI68" s="280">
        <f t="shared" si="28"/>
        <v>0</v>
      </c>
      <c r="CJ68" s="277">
        <f t="shared" si="29"/>
        <v>0</v>
      </c>
      <c r="CK68" s="278">
        <v>0</v>
      </c>
      <c r="CL68" s="278">
        <v>0</v>
      </c>
      <c r="CM68" s="279">
        <f t="shared" ref="CM68:CM100" si="42">ROUND((CK68+CL68)/2,0)</f>
        <v>0</v>
      </c>
      <c r="CN68" s="11">
        <v>0</v>
      </c>
      <c r="CO68" s="278"/>
      <c r="CP68" s="277"/>
      <c r="CQ68" s="280">
        <f t="shared" si="30"/>
        <v>0</v>
      </c>
      <c r="CR68" s="277">
        <f t="shared" si="31"/>
        <v>0</v>
      </c>
      <c r="CS68" s="278">
        <v>0</v>
      </c>
      <c r="CT68" s="278">
        <v>0</v>
      </c>
      <c r="CU68" s="279">
        <f t="shared" ref="CU68:CU100" si="43">ROUND((CS68+CT68)/2,0)</f>
        <v>0</v>
      </c>
      <c r="CV68" s="11">
        <v>0</v>
      </c>
      <c r="CW68" s="278"/>
      <c r="CX68" s="277"/>
      <c r="CY68" s="280">
        <f t="shared" si="32"/>
        <v>0</v>
      </c>
      <c r="CZ68" s="277">
        <f t="shared" si="33"/>
        <v>0</v>
      </c>
    </row>
    <row r="69" spans="1:104" ht="17.25" customHeight="1">
      <c r="A69" s="28" t="s">
        <v>646</v>
      </c>
      <c r="B69" s="382"/>
      <c r="C69" s="27"/>
      <c r="D69" s="28" t="str">
        <f>_xlfn.XLOOKUP(A69,'ABC-XYZ분석 (2)'!C:C,'ABC-XYZ분석 (2)'!I:I)</f>
        <v>사계절</v>
      </c>
      <c r="E69" s="28" t="str">
        <f>_xlfn.XLOOKUP(A69,'ABC-XYZ분석 (2)'!C:C,'ABC-XYZ분석 (2)'!AC:AC)</f>
        <v>B</v>
      </c>
      <c r="F69" s="3" t="str">
        <f>_xlfn.XLOOKUP(A69,'ABC-XYZ분석 (2)'!C:C,'ABC-XYZ분석 (2)'!AG:AG)</f>
        <v>Z</v>
      </c>
      <c r="G69" s="14">
        <f>SUMIF(재고!C:C,PSI_메인!A69,재고!I:I)</f>
        <v>0</v>
      </c>
      <c r="H69" s="277">
        <v>787</v>
      </c>
      <c r="I69" s="278">
        <v>0</v>
      </c>
      <c r="J69" s="278">
        <v>0</v>
      </c>
      <c r="K69" s="279">
        <v>250</v>
      </c>
      <c r="L69" s="11">
        <v>0</v>
      </c>
      <c r="M69" s="9">
        <f>SUMIFS(입항스케줄!J:J,입항스케줄!C:C,PSI_메인!A69,입항스케줄!U:U,"2601")</f>
        <v>0</v>
      </c>
      <c r="N69" s="11">
        <f>SUMIFS(입항스케줄!J:J,입항스케줄!C:C,PSI_메인!A69,입항스케줄!V:V,"2601")</f>
        <v>0</v>
      </c>
      <c r="O69" s="280">
        <f t="shared" si="10"/>
        <v>-250</v>
      </c>
      <c r="P69" s="277">
        <f t="shared" si="11"/>
        <v>0</v>
      </c>
      <c r="Q69" s="278">
        <v>0</v>
      </c>
      <c r="R69" s="278">
        <v>0</v>
      </c>
      <c r="S69" s="10">
        <v>200</v>
      </c>
      <c r="T69" s="11">
        <v>0</v>
      </c>
      <c r="U69" s="9">
        <f>SUMIFS(입항스케줄!J:J,입항스케줄!C:C,PSI_메인!A69,입항스케줄!U:U,"2602")</f>
        <v>0</v>
      </c>
      <c r="V69" s="11">
        <f>SUMIFS(입항스케줄!J:J,입항스케줄!C:C,PSI_메인!A69,입항스케줄!V:V,"2602")</f>
        <v>0</v>
      </c>
      <c r="W69" s="280">
        <f t="shared" si="12"/>
        <v>-200</v>
      </c>
      <c r="X69" s="277">
        <f t="shared" si="13"/>
        <v>0</v>
      </c>
      <c r="Y69" s="278">
        <v>0</v>
      </c>
      <c r="Z69" s="278">
        <v>0</v>
      </c>
      <c r="AA69" s="279">
        <f t="shared" si="34"/>
        <v>0</v>
      </c>
      <c r="AB69" s="11">
        <v>0</v>
      </c>
      <c r="AC69" s="9">
        <f>SUMIFS(입항스케줄!J:J,입항스케줄!C:C,PSI_메인!A69,입항스케줄!U:U,"2603")</f>
        <v>0</v>
      </c>
      <c r="AD69" s="11">
        <f>SUMIFS(입항스케줄!J:J,입항스케줄!C:C,PSI_메인!A69,입항스케줄!V:V,"2603")</f>
        <v>0</v>
      </c>
      <c r="AE69" s="280">
        <f t="shared" si="14"/>
        <v>0</v>
      </c>
      <c r="AF69" s="277">
        <f t="shared" si="15"/>
        <v>0</v>
      </c>
      <c r="AG69" s="278">
        <v>0</v>
      </c>
      <c r="AH69" s="278">
        <v>0</v>
      </c>
      <c r="AI69" s="279">
        <f t="shared" si="35"/>
        <v>0</v>
      </c>
      <c r="AJ69" s="11">
        <v>0</v>
      </c>
      <c r="AK69" s="9">
        <f>SUMIFS(입항스케줄!J:J,입항스케줄!C:C,PSI_메인!A69,입항스케줄!U:U,"2604")</f>
        <v>0</v>
      </c>
      <c r="AL69" s="11">
        <f>SUMIFS(입항스케줄!J:J,입항스케줄!C:C,PSI_메인!A69,입항스케줄!V:V,"2604")</f>
        <v>0</v>
      </c>
      <c r="AM69" s="280">
        <f t="shared" si="16"/>
        <v>0</v>
      </c>
      <c r="AN69" s="277">
        <f t="shared" si="17"/>
        <v>0</v>
      </c>
      <c r="AO69" s="278">
        <v>0</v>
      </c>
      <c r="AP69" s="278">
        <v>0</v>
      </c>
      <c r="AQ69" s="279">
        <f t="shared" si="36"/>
        <v>0</v>
      </c>
      <c r="AR69" s="11">
        <v>0</v>
      </c>
      <c r="AS69" s="9"/>
      <c r="AT69" s="277"/>
      <c r="AU69" s="280">
        <f t="shared" si="18"/>
        <v>0</v>
      </c>
      <c r="AV69" s="277">
        <f t="shared" si="19"/>
        <v>0</v>
      </c>
      <c r="AW69" s="278">
        <v>0</v>
      </c>
      <c r="AX69" s="278">
        <v>0</v>
      </c>
      <c r="AY69" s="279">
        <f t="shared" si="37"/>
        <v>0</v>
      </c>
      <c r="AZ69" s="11">
        <v>0</v>
      </c>
      <c r="BA69" s="9"/>
      <c r="BB69" s="11"/>
      <c r="BC69" s="280">
        <f t="shared" si="20"/>
        <v>0</v>
      </c>
      <c r="BD69" s="277">
        <f t="shared" si="21"/>
        <v>0</v>
      </c>
      <c r="BE69" s="278">
        <v>0</v>
      </c>
      <c r="BF69" s="278">
        <v>0</v>
      </c>
      <c r="BG69" s="279">
        <f t="shared" si="38"/>
        <v>0</v>
      </c>
      <c r="BH69" s="11">
        <v>0</v>
      </c>
      <c r="BI69" s="278"/>
      <c r="BJ69" s="11"/>
      <c r="BK69" s="280">
        <f t="shared" si="22"/>
        <v>0</v>
      </c>
      <c r="BL69" s="277">
        <f t="shared" si="23"/>
        <v>0</v>
      </c>
      <c r="BM69" s="278">
        <v>0</v>
      </c>
      <c r="BN69" s="278">
        <v>0</v>
      </c>
      <c r="BO69" s="279">
        <f t="shared" si="39"/>
        <v>0</v>
      </c>
      <c r="BP69" s="11">
        <v>0</v>
      </c>
      <c r="BQ69" s="278"/>
      <c r="BR69" s="11"/>
      <c r="BS69" s="280">
        <f t="shared" si="24"/>
        <v>0</v>
      </c>
      <c r="BT69" s="277">
        <f t="shared" si="25"/>
        <v>0</v>
      </c>
      <c r="BU69" s="278">
        <v>0</v>
      </c>
      <c r="BV69" s="278">
        <v>0</v>
      </c>
      <c r="BW69" s="279">
        <f t="shared" si="40"/>
        <v>0</v>
      </c>
      <c r="BX69" s="11">
        <v>0</v>
      </c>
      <c r="BY69" s="278"/>
      <c r="BZ69" s="11"/>
      <c r="CA69" s="280">
        <f t="shared" si="26"/>
        <v>0</v>
      </c>
      <c r="CB69" s="277">
        <f t="shared" si="27"/>
        <v>0</v>
      </c>
      <c r="CC69" s="278">
        <v>0</v>
      </c>
      <c r="CD69" s="278">
        <v>0</v>
      </c>
      <c r="CE69" s="279">
        <f t="shared" si="41"/>
        <v>0</v>
      </c>
      <c r="CF69" s="11">
        <v>0</v>
      </c>
      <c r="CG69" s="278"/>
      <c r="CH69" s="11"/>
      <c r="CI69" s="280">
        <f t="shared" si="28"/>
        <v>0</v>
      </c>
      <c r="CJ69" s="277">
        <f t="shared" si="29"/>
        <v>0</v>
      </c>
      <c r="CK69" s="278">
        <v>0</v>
      </c>
      <c r="CL69" s="278">
        <v>0</v>
      </c>
      <c r="CM69" s="279">
        <f t="shared" si="42"/>
        <v>0</v>
      </c>
      <c r="CN69" s="11">
        <v>0</v>
      </c>
      <c r="CO69" s="278"/>
      <c r="CP69" s="277"/>
      <c r="CQ69" s="280">
        <f t="shared" si="30"/>
        <v>0</v>
      </c>
      <c r="CR69" s="277">
        <f t="shared" si="31"/>
        <v>0</v>
      </c>
      <c r="CS69" s="278">
        <v>0</v>
      </c>
      <c r="CT69" s="278">
        <v>0</v>
      </c>
      <c r="CU69" s="279">
        <f t="shared" si="43"/>
        <v>0</v>
      </c>
      <c r="CV69" s="11">
        <v>0</v>
      </c>
      <c r="CW69" s="278"/>
      <c r="CX69" s="277"/>
      <c r="CY69" s="280">
        <f t="shared" si="32"/>
        <v>0</v>
      </c>
      <c r="CZ69" s="277">
        <f t="shared" si="33"/>
        <v>0</v>
      </c>
    </row>
    <row r="70" spans="1:104" ht="17.25" customHeight="1">
      <c r="A70" s="28" t="s">
        <v>647</v>
      </c>
      <c r="B70" s="382"/>
      <c r="C70" s="27"/>
      <c r="D70" s="28" t="str">
        <f>_xlfn.XLOOKUP(A70,'ABC-XYZ분석 (2)'!C:C,'ABC-XYZ분석 (2)'!I:I)</f>
        <v>사계절</v>
      </c>
      <c r="E70" s="28" t="str">
        <f>_xlfn.XLOOKUP(A70,'ABC-XYZ분석 (2)'!C:C,'ABC-XYZ분석 (2)'!AC:AC)</f>
        <v>B</v>
      </c>
      <c r="F70" s="3" t="str">
        <f>_xlfn.XLOOKUP(A70,'ABC-XYZ분석 (2)'!C:C,'ABC-XYZ분석 (2)'!AG:AG)</f>
        <v>Z</v>
      </c>
      <c r="G70" s="14">
        <f>SUMIF(재고!C:C,PSI_메인!A70,재고!I:I)</f>
        <v>0</v>
      </c>
      <c r="H70" s="277">
        <v>100</v>
      </c>
      <c r="I70" s="278">
        <v>0</v>
      </c>
      <c r="J70" s="278">
        <v>0</v>
      </c>
      <c r="K70" s="279">
        <v>0</v>
      </c>
      <c r="L70" s="11">
        <v>0</v>
      </c>
      <c r="M70" s="9">
        <f>SUMIFS(입항스케줄!J:J,입항스케줄!C:C,PSI_메인!A70,입항스케줄!U:U,"2601")</f>
        <v>0</v>
      </c>
      <c r="N70" s="11">
        <f>SUMIFS(입항스케줄!J:J,입항스케줄!C:C,PSI_메인!A70,입항스케줄!V:V,"2601")</f>
        <v>0</v>
      </c>
      <c r="O70" s="280">
        <f t="shared" si="10"/>
        <v>0</v>
      </c>
      <c r="P70" s="277">
        <f t="shared" si="11"/>
        <v>0</v>
      </c>
      <c r="Q70" s="278">
        <v>0</v>
      </c>
      <c r="R70" s="278">
        <v>0</v>
      </c>
      <c r="S70" s="10">
        <v>50</v>
      </c>
      <c r="T70" s="11">
        <v>0</v>
      </c>
      <c r="U70" s="9">
        <f>SUMIFS(입항스케줄!J:J,입항스케줄!C:C,PSI_메인!A70,입항스케줄!U:U,"2602")</f>
        <v>0</v>
      </c>
      <c r="V70" s="11">
        <f>SUMIFS(입항스케줄!J:J,입항스케줄!C:C,PSI_메인!A70,입항스케줄!V:V,"2602")</f>
        <v>0</v>
      </c>
      <c r="W70" s="280">
        <f t="shared" si="12"/>
        <v>-50</v>
      </c>
      <c r="X70" s="277">
        <f t="shared" si="13"/>
        <v>0</v>
      </c>
      <c r="Y70" s="278">
        <v>0</v>
      </c>
      <c r="Z70" s="278">
        <v>0</v>
      </c>
      <c r="AA70" s="279">
        <f t="shared" si="34"/>
        <v>0</v>
      </c>
      <c r="AB70" s="11">
        <v>0</v>
      </c>
      <c r="AC70" s="9">
        <f>SUMIFS(입항스케줄!J:J,입항스케줄!C:C,PSI_메인!A70,입항스케줄!U:U,"2603")</f>
        <v>0</v>
      </c>
      <c r="AD70" s="11">
        <f>SUMIFS(입항스케줄!J:J,입항스케줄!C:C,PSI_메인!A70,입항스케줄!V:V,"2603")</f>
        <v>0</v>
      </c>
      <c r="AE70" s="280">
        <f t="shared" si="14"/>
        <v>0</v>
      </c>
      <c r="AF70" s="277">
        <f t="shared" si="15"/>
        <v>0</v>
      </c>
      <c r="AG70" s="278">
        <v>0</v>
      </c>
      <c r="AH70" s="278">
        <v>0</v>
      </c>
      <c r="AI70" s="279">
        <f t="shared" si="35"/>
        <v>0</v>
      </c>
      <c r="AJ70" s="11">
        <v>0</v>
      </c>
      <c r="AK70" s="9">
        <f>SUMIFS(입항스케줄!J:J,입항스케줄!C:C,PSI_메인!A70,입항스케줄!U:U,"2604")</f>
        <v>0</v>
      </c>
      <c r="AL70" s="11">
        <f>SUMIFS(입항스케줄!J:J,입항스케줄!C:C,PSI_메인!A70,입항스케줄!V:V,"2604")</f>
        <v>0</v>
      </c>
      <c r="AM70" s="280">
        <f t="shared" si="16"/>
        <v>0</v>
      </c>
      <c r="AN70" s="277">
        <f t="shared" si="17"/>
        <v>0</v>
      </c>
      <c r="AO70" s="278">
        <v>0</v>
      </c>
      <c r="AP70" s="278">
        <v>0</v>
      </c>
      <c r="AQ70" s="279">
        <f t="shared" si="36"/>
        <v>0</v>
      </c>
      <c r="AR70" s="11">
        <v>0</v>
      </c>
      <c r="AS70" s="9"/>
      <c r="AT70" s="277"/>
      <c r="AU70" s="280">
        <f t="shared" si="18"/>
        <v>0</v>
      </c>
      <c r="AV70" s="277">
        <f t="shared" si="19"/>
        <v>0</v>
      </c>
      <c r="AW70" s="278">
        <v>0</v>
      </c>
      <c r="AX70" s="278">
        <v>0</v>
      </c>
      <c r="AY70" s="279">
        <f t="shared" si="37"/>
        <v>0</v>
      </c>
      <c r="AZ70" s="11">
        <v>0</v>
      </c>
      <c r="BA70" s="9"/>
      <c r="BB70" s="11"/>
      <c r="BC70" s="280">
        <f t="shared" si="20"/>
        <v>0</v>
      </c>
      <c r="BD70" s="277">
        <f t="shared" si="21"/>
        <v>0</v>
      </c>
      <c r="BE70" s="278">
        <v>0</v>
      </c>
      <c r="BF70" s="278">
        <v>0</v>
      </c>
      <c r="BG70" s="279">
        <f t="shared" si="38"/>
        <v>0</v>
      </c>
      <c r="BH70" s="11">
        <v>0</v>
      </c>
      <c r="BI70" s="278"/>
      <c r="BJ70" s="11"/>
      <c r="BK70" s="280">
        <f t="shared" si="22"/>
        <v>0</v>
      </c>
      <c r="BL70" s="277">
        <f t="shared" si="23"/>
        <v>0</v>
      </c>
      <c r="BM70" s="278">
        <v>0</v>
      </c>
      <c r="BN70" s="278">
        <v>0</v>
      </c>
      <c r="BO70" s="279">
        <f t="shared" si="39"/>
        <v>0</v>
      </c>
      <c r="BP70" s="11">
        <v>0</v>
      </c>
      <c r="BQ70" s="278"/>
      <c r="BR70" s="11"/>
      <c r="BS70" s="280">
        <f t="shared" si="24"/>
        <v>0</v>
      </c>
      <c r="BT70" s="277">
        <f t="shared" si="25"/>
        <v>0</v>
      </c>
      <c r="BU70" s="278">
        <v>0</v>
      </c>
      <c r="BV70" s="278">
        <v>0</v>
      </c>
      <c r="BW70" s="279">
        <f t="shared" si="40"/>
        <v>0</v>
      </c>
      <c r="BX70" s="11">
        <v>0</v>
      </c>
      <c r="BY70" s="278"/>
      <c r="BZ70" s="11"/>
      <c r="CA70" s="280">
        <f t="shared" si="26"/>
        <v>0</v>
      </c>
      <c r="CB70" s="277">
        <f t="shared" si="27"/>
        <v>0</v>
      </c>
      <c r="CC70" s="278">
        <v>0</v>
      </c>
      <c r="CD70" s="278">
        <v>0</v>
      </c>
      <c r="CE70" s="279">
        <f t="shared" si="41"/>
        <v>0</v>
      </c>
      <c r="CF70" s="11">
        <v>0</v>
      </c>
      <c r="CG70" s="278"/>
      <c r="CH70" s="11"/>
      <c r="CI70" s="280">
        <f t="shared" si="28"/>
        <v>0</v>
      </c>
      <c r="CJ70" s="277">
        <f t="shared" si="29"/>
        <v>0</v>
      </c>
      <c r="CK70" s="278">
        <v>0</v>
      </c>
      <c r="CL70" s="278">
        <v>0</v>
      </c>
      <c r="CM70" s="279">
        <f t="shared" si="42"/>
        <v>0</v>
      </c>
      <c r="CN70" s="11">
        <v>0</v>
      </c>
      <c r="CO70" s="278"/>
      <c r="CP70" s="277"/>
      <c r="CQ70" s="280">
        <f t="shared" si="30"/>
        <v>0</v>
      </c>
      <c r="CR70" s="277">
        <f t="shared" si="31"/>
        <v>0</v>
      </c>
      <c r="CS70" s="278">
        <v>0</v>
      </c>
      <c r="CT70" s="278">
        <v>0</v>
      </c>
      <c r="CU70" s="279">
        <f t="shared" si="43"/>
        <v>0</v>
      </c>
      <c r="CV70" s="11">
        <v>0</v>
      </c>
      <c r="CW70" s="278"/>
      <c r="CX70" s="277"/>
      <c r="CY70" s="280">
        <f t="shared" si="32"/>
        <v>0</v>
      </c>
      <c r="CZ70" s="277">
        <f t="shared" si="33"/>
        <v>0</v>
      </c>
    </row>
    <row r="71" spans="1:104" ht="17.25" customHeight="1">
      <c r="A71" s="28" t="s">
        <v>648</v>
      </c>
      <c r="B71" s="382"/>
      <c r="C71" s="27"/>
      <c r="D71" s="28" t="str">
        <f>_xlfn.XLOOKUP(A71,'ABC-XYZ분석 (2)'!C:C,'ABC-XYZ분석 (2)'!I:I)</f>
        <v>사계절</v>
      </c>
      <c r="E71" s="28" t="str">
        <f>_xlfn.XLOOKUP(A71,'ABC-XYZ분석 (2)'!C:C,'ABC-XYZ분석 (2)'!AC:AC)</f>
        <v>B</v>
      </c>
      <c r="F71" s="3" t="str">
        <f>_xlfn.XLOOKUP(A71,'ABC-XYZ분석 (2)'!C:C,'ABC-XYZ분석 (2)'!AG:AG)</f>
        <v>Y</v>
      </c>
      <c r="G71" s="14">
        <f>SUMIF(재고!C:C,PSI_메인!A71,재고!I:I)</f>
        <v>0</v>
      </c>
      <c r="H71" s="277">
        <v>2962</v>
      </c>
      <c r="I71" s="278">
        <v>0</v>
      </c>
      <c r="J71" s="278">
        <v>0</v>
      </c>
      <c r="K71" s="279">
        <v>656.25</v>
      </c>
      <c r="L71" s="11">
        <v>0</v>
      </c>
      <c r="M71" s="9">
        <f>SUMIFS(입항스케줄!J:J,입항스케줄!C:C,PSI_메인!A71,입항스케줄!U:U,"2601")</f>
        <v>0</v>
      </c>
      <c r="N71" s="11">
        <f>SUMIFS(입항스케줄!J:J,입항스케줄!C:C,PSI_메인!A71,입항스케줄!V:V,"2601")</f>
        <v>0</v>
      </c>
      <c r="O71" s="280">
        <f t="shared" si="10"/>
        <v>-656.25</v>
      </c>
      <c r="P71" s="277">
        <f t="shared" si="11"/>
        <v>0</v>
      </c>
      <c r="Q71" s="278">
        <v>0</v>
      </c>
      <c r="R71" s="278">
        <v>0</v>
      </c>
      <c r="S71" s="10">
        <v>300</v>
      </c>
      <c r="T71" s="11">
        <v>0</v>
      </c>
      <c r="U71" s="9">
        <f>SUMIFS(입항스케줄!J:J,입항스케줄!C:C,PSI_메인!A71,입항스케줄!U:U,"2602")</f>
        <v>0</v>
      </c>
      <c r="V71" s="11">
        <f>SUMIFS(입항스케줄!J:J,입항스케줄!C:C,PSI_메인!A71,입항스케줄!V:V,"2602")</f>
        <v>0</v>
      </c>
      <c r="W71" s="280">
        <f t="shared" si="12"/>
        <v>-300</v>
      </c>
      <c r="X71" s="277">
        <f t="shared" si="13"/>
        <v>0</v>
      </c>
      <c r="Y71" s="278">
        <v>0</v>
      </c>
      <c r="Z71" s="278">
        <v>0</v>
      </c>
      <c r="AA71" s="279">
        <f t="shared" si="34"/>
        <v>0</v>
      </c>
      <c r="AB71" s="11">
        <v>0</v>
      </c>
      <c r="AC71" s="9">
        <f>SUMIFS(입항스케줄!J:J,입항스케줄!C:C,PSI_메인!A71,입항스케줄!U:U,"2603")</f>
        <v>78</v>
      </c>
      <c r="AD71" s="11">
        <f>SUMIFS(입항스케줄!J:J,입항스케줄!C:C,PSI_메인!A71,입항스케줄!V:V,"2603")</f>
        <v>78</v>
      </c>
      <c r="AE71" s="280">
        <f t="shared" si="14"/>
        <v>78</v>
      </c>
      <c r="AF71" s="277">
        <f t="shared" si="15"/>
        <v>78</v>
      </c>
      <c r="AG71" s="278">
        <v>0</v>
      </c>
      <c r="AH71" s="278">
        <v>0</v>
      </c>
      <c r="AI71" s="279">
        <f t="shared" si="35"/>
        <v>0</v>
      </c>
      <c r="AJ71" s="11">
        <v>0</v>
      </c>
      <c r="AK71" s="9">
        <f>SUMIFS(입항스케줄!J:J,입항스케줄!C:C,PSI_메인!A71,입항스케줄!U:U,"2604")</f>
        <v>0</v>
      </c>
      <c r="AL71" s="11">
        <f>SUMIFS(입항스케줄!J:J,입항스케줄!C:C,PSI_메인!A71,입항스케줄!V:V,"2604")</f>
        <v>0</v>
      </c>
      <c r="AM71" s="280">
        <f t="shared" si="16"/>
        <v>0</v>
      </c>
      <c r="AN71" s="277">
        <f t="shared" si="17"/>
        <v>0</v>
      </c>
      <c r="AO71" s="278">
        <v>0</v>
      </c>
      <c r="AP71" s="278">
        <v>0</v>
      </c>
      <c r="AQ71" s="279">
        <f t="shared" si="36"/>
        <v>0</v>
      </c>
      <c r="AR71" s="11">
        <v>0</v>
      </c>
      <c r="AS71" s="9"/>
      <c r="AT71" s="277"/>
      <c r="AU71" s="280">
        <f t="shared" si="18"/>
        <v>0</v>
      </c>
      <c r="AV71" s="277">
        <f t="shared" si="19"/>
        <v>0</v>
      </c>
      <c r="AW71" s="278">
        <v>0</v>
      </c>
      <c r="AX71" s="278">
        <v>0</v>
      </c>
      <c r="AY71" s="279">
        <f t="shared" si="37"/>
        <v>0</v>
      </c>
      <c r="AZ71" s="11">
        <v>0</v>
      </c>
      <c r="BA71" s="9"/>
      <c r="BB71" s="11"/>
      <c r="BC71" s="280">
        <f t="shared" si="20"/>
        <v>0</v>
      </c>
      <c r="BD71" s="277">
        <f t="shared" si="21"/>
        <v>0</v>
      </c>
      <c r="BE71" s="278">
        <v>0</v>
      </c>
      <c r="BF71" s="278">
        <v>0</v>
      </c>
      <c r="BG71" s="279">
        <f t="shared" si="38"/>
        <v>0</v>
      </c>
      <c r="BH71" s="11">
        <v>0</v>
      </c>
      <c r="BI71" s="278"/>
      <c r="BJ71" s="11"/>
      <c r="BK71" s="280">
        <f t="shared" si="22"/>
        <v>0</v>
      </c>
      <c r="BL71" s="277">
        <f t="shared" si="23"/>
        <v>0</v>
      </c>
      <c r="BM71" s="278">
        <v>0</v>
      </c>
      <c r="BN71" s="278">
        <v>0</v>
      </c>
      <c r="BO71" s="279">
        <f t="shared" si="39"/>
        <v>0</v>
      </c>
      <c r="BP71" s="11">
        <v>0</v>
      </c>
      <c r="BQ71" s="278"/>
      <c r="BR71" s="11"/>
      <c r="BS71" s="280">
        <f t="shared" si="24"/>
        <v>0</v>
      </c>
      <c r="BT71" s="277">
        <f t="shared" si="25"/>
        <v>0</v>
      </c>
      <c r="BU71" s="278">
        <v>0</v>
      </c>
      <c r="BV71" s="278">
        <v>0</v>
      </c>
      <c r="BW71" s="279">
        <f t="shared" si="40"/>
        <v>0</v>
      </c>
      <c r="BX71" s="11">
        <v>0</v>
      </c>
      <c r="BY71" s="278"/>
      <c r="BZ71" s="11"/>
      <c r="CA71" s="280">
        <f t="shared" si="26"/>
        <v>0</v>
      </c>
      <c r="CB71" s="277">
        <f t="shared" si="27"/>
        <v>0</v>
      </c>
      <c r="CC71" s="278">
        <v>0</v>
      </c>
      <c r="CD71" s="278">
        <v>0</v>
      </c>
      <c r="CE71" s="279">
        <f t="shared" si="41"/>
        <v>0</v>
      </c>
      <c r="CF71" s="11">
        <v>0</v>
      </c>
      <c r="CG71" s="278"/>
      <c r="CH71" s="11"/>
      <c r="CI71" s="280">
        <f t="shared" si="28"/>
        <v>0</v>
      </c>
      <c r="CJ71" s="277">
        <f t="shared" si="29"/>
        <v>0</v>
      </c>
      <c r="CK71" s="278">
        <v>0</v>
      </c>
      <c r="CL71" s="278">
        <v>0</v>
      </c>
      <c r="CM71" s="279">
        <f t="shared" si="42"/>
        <v>0</v>
      </c>
      <c r="CN71" s="11">
        <v>0</v>
      </c>
      <c r="CO71" s="278"/>
      <c r="CP71" s="277"/>
      <c r="CQ71" s="280">
        <f t="shared" si="30"/>
        <v>0</v>
      </c>
      <c r="CR71" s="277">
        <f t="shared" si="31"/>
        <v>0</v>
      </c>
      <c r="CS71" s="278">
        <v>0</v>
      </c>
      <c r="CT71" s="278">
        <v>0</v>
      </c>
      <c r="CU71" s="279">
        <f t="shared" si="43"/>
        <v>0</v>
      </c>
      <c r="CV71" s="11">
        <v>0</v>
      </c>
      <c r="CW71" s="278"/>
      <c r="CX71" s="277"/>
      <c r="CY71" s="280">
        <f t="shared" si="32"/>
        <v>0</v>
      </c>
      <c r="CZ71" s="277">
        <f t="shared" si="33"/>
        <v>0</v>
      </c>
    </row>
    <row r="72" spans="1:104" ht="17.25" customHeight="1">
      <c r="A72" s="28" t="s">
        <v>649</v>
      </c>
      <c r="B72" s="382"/>
      <c r="C72" s="27"/>
      <c r="D72" s="28" t="str">
        <f>_xlfn.XLOOKUP(A72,'ABC-XYZ분석 (2)'!C:C,'ABC-XYZ분석 (2)'!I:I)</f>
        <v>사계절</v>
      </c>
      <c r="E72" s="28" t="str">
        <f>_xlfn.XLOOKUP(A72,'ABC-XYZ분석 (2)'!C:C,'ABC-XYZ분석 (2)'!AC:AC)</f>
        <v>B</v>
      </c>
      <c r="F72" s="3" t="str">
        <f>_xlfn.XLOOKUP(A72,'ABC-XYZ분석 (2)'!C:C,'ABC-XYZ분석 (2)'!AG:AG)</f>
        <v>Y</v>
      </c>
      <c r="G72" s="14">
        <f>SUMIF(재고!C:C,PSI_메인!A72,재고!I:I)</f>
        <v>0</v>
      </c>
      <c r="H72" s="277">
        <v>185</v>
      </c>
      <c r="I72" s="278">
        <v>0</v>
      </c>
      <c r="J72" s="278">
        <v>0</v>
      </c>
      <c r="K72" s="279">
        <v>0</v>
      </c>
      <c r="L72" s="11">
        <v>0</v>
      </c>
      <c r="M72" s="9">
        <f>SUMIFS(입항스케줄!J:J,입항스케줄!C:C,PSI_메인!A72,입항스케줄!U:U,"2601")</f>
        <v>0</v>
      </c>
      <c r="N72" s="11">
        <f>SUMIFS(입항스케줄!J:J,입항스케줄!C:C,PSI_메인!A72,입항스케줄!V:V,"2601")</f>
        <v>0</v>
      </c>
      <c r="O72" s="280">
        <f t="shared" si="10"/>
        <v>0</v>
      </c>
      <c r="P72" s="277">
        <f t="shared" si="11"/>
        <v>0</v>
      </c>
      <c r="Q72" s="278">
        <v>0</v>
      </c>
      <c r="R72" s="278">
        <v>0</v>
      </c>
      <c r="S72" s="10">
        <v>0</v>
      </c>
      <c r="T72" s="11">
        <v>0</v>
      </c>
      <c r="U72" s="9">
        <f>SUMIFS(입항스케줄!J:J,입항스케줄!C:C,PSI_메인!A72,입항스케줄!U:U,"2602")</f>
        <v>0</v>
      </c>
      <c r="V72" s="11">
        <f>SUMIFS(입항스케줄!J:J,입항스케줄!C:C,PSI_메인!A72,입항스케줄!V:V,"2602")</f>
        <v>0</v>
      </c>
      <c r="W72" s="280">
        <f t="shared" si="12"/>
        <v>0</v>
      </c>
      <c r="X72" s="277">
        <f t="shared" si="13"/>
        <v>0</v>
      </c>
      <c r="Y72" s="278">
        <v>0</v>
      </c>
      <c r="Z72" s="278">
        <v>0</v>
      </c>
      <c r="AA72" s="279">
        <f t="shared" si="34"/>
        <v>0</v>
      </c>
      <c r="AB72" s="11">
        <v>0</v>
      </c>
      <c r="AC72" s="9">
        <f>SUMIFS(입항스케줄!J:J,입항스케줄!C:C,PSI_메인!A72,입항스케줄!U:U,"2603")</f>
        <v>0</v>
      </c>
      <c r="AD72" s="11">
        <f>SUMIFS(입항스케줄!J:J,입항스케줄!C:C,PSI_메인!A72,입항스케줄!V:V,"2603")</f>
        <v>0</v>
      </c>
      <c r="AE72" s="280">
        <f t="shared" si="14"/>
        <v>0</v>
      </c>
      <c r="AF72" s="277">
        <f t="shared" si="15"/>
        <v>0</v>
      </c>
      <c r="AG72" s="278">
        <v>0</v>
      </c>
      <c r="AH72" s="278">
        <v>0</v>
      </c>
      <c r="AI72" s="279">
        <f t="shared" si="35"/>
        <v>0</v>
      </c>
      <c r="AJ72" s="11">
        <v>0</v>
      </c>
      <c r="AK72" s="9">
        <f>SUMIFS(입항스케줄!J:J,입항스케줄!C:C,PSI_메인!A72,입항스케줄!U:U,"2604")</f>
        <v>0</v>
      </c>
      <c r="AL72" s="11">
        <f>SUMIFS(입항스케줄!J:J,입항스케줄!C:C,PSI_메인!A72,입항스케줄!V:V,"2604")</f>
        <v>0</v>
      </c>
      <c r="AM72" s="280">
        <f t="shared" si="16"/>
        <v>0</v>
      </c>
      <c r="AN72" s="277">
        <f t="shared" si="17"/>
        <v>0</v>
      </c>
      <c r="AO72" s="278">
        <v>0</v>
      </c>
      <c r="AP72" s="278">
        <v>0</v>
      </c>
      <c r="AQ72" s="279">
        <f t="shared" si="36"/>
        <v>0</v>
      </c>
      <c r="AR72" s="11">
        <v>0</v>
      </c>
      <c r="AS72" s="9"/>
      <c r="AT72" s="277"/>
      <c r="AU72" s="280">
        <f t="shared" si="18"/>
        <v>0</v>
      </c>
      <c r="AV72" s="277">
        <f t="shared" si="19"/>
        <v>0</v>
      </c>
      <c r="AW72" s="278">
        <v>0</v>
      </c>
      <c r="AX72" s="278">
        <v>0</v>
      </c>
      <c r="AY72" s="279">
        <f t="shared" si="37"/>
        <v>0</v>
      </c>
      <c r="AZ72" s="11">
        <v>0</v>
      </c>
      <c r="BA72" s="9"/>
      <c r="BB72" s="11"/>
      <c r="BC72" s="280">
        <f t="shared" si="20"/>
        <v>0</v>
      </c>
      <c r="BD72" s="277">
        <f t="shared" si="21"/>
        <v>0</v>
      </c>
      <c r="BE72" s="278">
        <v>0</v>
      </c>
      <c r="BF72" s="278">
        <v>0</v>
      </c>
      <c r="BG72" s="279">
        <f t="shared" si="38"/>
        <v>0</v>
      </c>
      <c r="BH72" s="11">
        <v>0</v>
      </c>
      <c r="BI72" s="278"/>
      <c r="BJ72" s="11"/>
      <c r="BK72" s="280">
        <f t="shared" si="22"/>
        <v>0</v>
      </c>
      <c r="BL72" s="277">
        <f t="shared" si="23"/>
        <v>0</v>
      </c>
      <c r="BM72" s="278">
        <v>0</v>
      </c>
      <c r="BN72" s="278">
        <v>0</v>
      </c>
      <c r="BO72" s="279">
        <f t="shared" si="39"/>
        <v>0</v>
      </c>
      <c r="BP72" s="11">
        <v>0</v>
      </c>
      <c r="BQ72" s="278"/>
      <c r="BR72" s="11"/>
      <c r="BS72" s="280">
        <f t="shared" si="24"/>
        <v>0</v>
      </c>
      <c r="BT72" s="277">
        <f t="shared" si="25"/>
        <v>0</v>
      </c>
      <c r="BU72" s="278">
        <v>0</v>
      </c>
      <c r="BV72" s="278">
        <v>0</v>
      </c>
      <c r="BW72" s="279">
        <f t="shared" si="40"/>
        <v>0</v>
      </c>
      <c r="BX72" s="11">
        <v>0</v>
      </c>
      <c r="BY72" s="278"/>
      <c r="BZ72" s="11"/>
      <c r="CA72" s="280">
        <f t="shared" si="26"/>
        <v>0</v>
      </c>
      <c r="CB72" s="277">
        <f t="shared" si="27"/>
        <v>0</v>
      </c>
      <c r="CC72" s="278">
        <v>0</v>
      </c>
      <c r="CD72" s="278">
        <v>0</v>
      </c>
      <c r="CE72" s="279">
        <f t="shared" si="41"/>
        <v>0</v>
      </c>
      <c r="CF72" s="11">
        <v>0</v>
      </c>
      <c r="CG72" s="278"/>
      <c r="CH72" s="11"/>
      <c r="CI72" s="280">
        <f t="shared" si="28"/>
        <v>0</v>
      </c>
      <c r="CJ72" s="277">
        <f t="shared" si="29"/>
        <v>0</v>
      </c>
      <c r="CK72" s="278">
        <v>0</v>
      </c>
      <c r="CL72" s="278">
        <v>0</v>
      </c>
      <c r="CM72" s="279">
        <f t="shared" si="42"/>
        <v>0</v>
      </c>
      <c r="CN72" s="11">
        <v>0</v>
      </c>
      <c r="CO72" s="278"/>
      <c r="CP72" s="277"/>
      <c r="CQ72" s="280">
        <f t="shared" si="30"/>
        <v>0</v>
      </c>
      <c r="CR72" s="277">
        <f t="shared" si="31"/>
        <v>0</v>
      </c>
      <c r="CS72" s="278">
        <v>0</v>
      </c>
      <c r="CT72" s="278">
        <v>0</v>
      </c>
      <c r="CU72" s="279">
        <f t="shared" si="43"/>
        <v>0</v>
      </c>
      <c r="CV72" s="11">
        <v>0</v>
      </c>
      <c r="CW72" s="278"/>
      <c r="CX72" s="277"/>
      <c r="CY72" s="280">
        <f t="shared" si="32"/>
        <v>0</v>
      </c>
      <c r="CZ72" s="277">
        <f t="shared" si="33"/>
        <v>0</v>
      </c>
    </row>
    <row r="73" spans="1:104" ht="17.25" customHeight="1">
      <c r="A73" s="28" t="s">
        <v>650</v>
      </c>
      <c r="B73" s="382"/>
      <c r="C73" s="27"/>
      <c r="D73" s="28" t="str">
        <f>_xlfn.XLOOKUP(A73,'ABC-XYZ분석 (2)'!C:C,'ABC-XYZ분석 (2)'!I:I)</f>
        <v>사계절</v>
      </c>
      <c r="E73" s="28" t="str">
        <f>_xlfn.XLOOKUP(A73,'ABC-XYZ분석 (2)'!C:C,'ABC-XYZ분석 (2)'!AC:AC)</f>
        <v>B</v>
      </c>
      <c r="F73" s="3" t="str">
        <f>_xlfn.XLOOKUP(A73,'ABC-XYZ분석 (2)'!C:C,'ABC-XYZ분석 (2)'!AG:AG)</f>
        <v>Z</v>
      </c>
      <c r="G73" s="14">
        <f>SUMIF(재고!C:C,PSI_메인!A73,재고!I:I)</f>
        <v>7</v>
      </c>
      <c r="H73" s="277">
        <v>807</v>
      </c>
      <c r="I73" s="278">
        <v>0</v>
      </c>
      <c r="J73" s="278">
        <v>0</v>
      </c>
      <c r="K73" s="279">
        <v>150</v>
      </c>
      <c r="L73" s="11">
        <v>0</v>
      </c>
      <c r="M73" s="9">
        <f>SUMIFS(입항스케줄!J:J,입항스케줄!C:C,PSI_메인!A73,입항스케줄!U:U,"2601")</f>
        <v>0</v>
      </c>
      <c r="N73" s="11">
        <f>SUMIFS(입항스케줄!J:J,입항스케줄!C:C,PSI_메인!A73,입항스케줄!V:V,"2601")</f>
        <v>0</v>
      </c>
      <c r="O73" s="280">
        <f t="shared" ref="O73:O100" si="44">$G73+M73-K73</f>
        <v>-143</v>
      </c>
      <c r="P73" s="277">
        <f t="shared" ref="P73:P100" si="45">$G73+N73-L73</f>
        <v>7</v>
      </c>
      <c r="Q73" s="278">
        <v>0</v>
      </c>
      <c r="R73" s="278">
        <v>0</v>
      </c>
      <c r="S73" s="10">
        <v>200</v>
      </c>
      <c r="T73" s="11">
        <v>0</v>
      </c>
      <c r="U73" s="9">
        <f>SUMIFS(입항스케줄!J:J,입항스케줄!C:C,PSI_메인!A73,입항스케줄!U:U,"2602")</f>
        <v>0</v>
      </c>
      <c r="V73" s="11">
        <f>SUMIFS(입항스케줄!J:J,입항스케줄!C:C,PSI_메인!A73,입항스케줄!V:V,"2602")</f>
        <v>0</v>
      </c>
      <c r="W73" s="280">
        <f t="shared" ref="W73:W100" si="46">$G73+U73-S73</f>
        <v>-193</v>
      </c>
      <c r="X73" s="277">
        <f t="shared" ref="X73:X100" si="47">$G73+V73-T73</f>
        <v>7</v>
      </c>
      <c r="Y73" s="278">
        <v>0</v>
      </c>
      <c r="Z73" s="278">
        <v>0</v>
      </c>
      <c r="AA73" s="279">
        <f t="shared" si="34"/>
        <v>0</v>
      </c>
      <c r="AB73" s="11">
        <v>0</v>
      </c>
      <c r="AC73" s="9">
        <f>SUMIFS(입항스케줄!J:J,입항스케줄!C:C,PSI_메인!A73,입항스케줄!U:U,"2603")</f>
        <v>0</v>
      </c>
      <c r="AD73" s="11">
        <f>SUMIFS(입항스케줄!J:J,입항스케줄!C:C,PSI_메인!A73,입항스케줄!V:V,"2603")</f>
        <v>0</v>
      </c>
      <c r="AE73" s="280">
        <f t="shared" ref="AE73:AE100" si="48">$G73+AC73-AA73</f>
        <v>7</v>
      </c>
      <c r="AF73" s="277">
        <f t="shared" ref="AF73:AF100" si="49">$G73+AD73-AB73</f>
        <v>7</v>
      </c>
      <c r="AG73" s="278">
        <v>0</v>
      </c>
      <c r="AH73" s="278">
        <v>0</v>
      </c>
      <c r="AI73" s="279">
        <f t="shared" si="35"/>
        <v>0</v>
      </c>
      <c r="AJ73" s="11">
        <v>0</v>
      </c>
      <c r="AK73" s="9">
        <f>SUMIFS(입항스케줄!J:J,입항스케줄!C:C,PSI_메인!A73,입항스케줄!U:U,"2604")</f>
        <v>0</v>
      </c>
      <c r="AL73" s="11">
        <f>SUMIFS(입항스케줄!J:J,입항스케줄!C:C,PSI_메인!A73,입항스케줄!V:V,"2604")</f>
        <v>0</v>
      </c>
      <c r="AM73" s="280">
        <f t="shared" ref="AM73:AM100" si="50">$G73+AK73-AI73</f>
        <v>7</v>
      </c>
      <c r="AN73" s="277">
        <f t="shared" ref="AN73:AN100" si="51">$G73+AL73-AJ73</f>
        <v>7</v>
      </c>
      <c r="AO73" s="278">
        <v>0</v>
      </c>
      <c r="AP73" s="278">
        <v>0</v>
      </c>
      <c r="AQ73" s="279">
        <f t="shared" si="36"/>
        <v>0</v>
      </c>
      <c r="AR73" s="11">
        <v>0</v>
      </c>
      <c r="AS73" s="9"/>
      <c r="AT73" s="277"/>
      <c r="AU73" s="280">
        <f t="shared" ref="AU73:AU100" si="52">$G73+AS73-AQ73</f>
        <v>7</v>
      </c>
      <c r="AV73" s="277">
        <f t="shared" ref="AV73:AV100" si="53">$G73+AT73-AR73</f>
        <v>7</v>
      </c>
      <c r="AW73" s="278">
        <v>0</v>
      </c>
      <c r="AX73" s="278">
        <v>0</v>
      </c>
      <c r="AY73" s="279">
        <f t="shared" si="37"/>
        <v>0</v>
      </c>
      <c r="AZ73" s="11">
        <v>0</v>
      </c>
      <c r="BA73" s="9"/>
      <c r="BB73" s="11"/>
      <c r="BC73" s="280">
        <f t="shared" ref="BC73:BC100" si="54">$G73+BA73-AY73</f>
        <v>7</v>
      </c>
      <c r="BD73" s="277">
        <f t="shared" ref="BD73:BD100" si="55">$G73+BB73-AZ73</f>
        <v>7</v>
      </c>
      <c r="BE73" s="278">
        <v>0</v>
      </c>
      <c r="BF73" s="278">
        <v>0</v>
      </c>
      <c r="BG73" s="279">
        <f t="shared" si="38"/>
        <v>0</v>
      </c>
      <c r="BH73" s="11">
        <v>0</v>
      </c>
      <c r="BI73" s="278"/>
      <c r="BJ73" s="11"/>
      <c r="BK73" s="280">
        <f t="shared" ref="BK73:BK100" si="56">$G73+BI73-BG73</f>
        <v>7</v>
      </c>
      <c r="BL73" s="277">
        <f t="shared" ref="BL73:BL100" si="57">$G73+BJ73-BH73</f>
        <v>7</v>
      </c>
      <c r="BM73" s="278">
        <v>0</v>
      </c>
      <c r="BN73" s="278">
        <v>0</v>
      </c>
      <c r="BO73" s="279">
        <f t="shared" si="39"/>
        <v>0</v>
      </c>
      <c r="BP73" s="11">
        <v>0</v>
      </c>
      <c r="BQ73" s="278"/>
      <c r="BR73" s="11"/>
      <c r="BS73" s="280">
        <f t="shared" ref="BS73:BS100" si="58">$G73+BQ73-BO73</f>
        <v>7</v>
      </c>
      <c r="BT73" s="277">
        <f t="shared" ref="BT73:BT100" si="59">$G73+BR73-BP73</f>
        <v>7</v>
      </c>
      <c r="BU73" s="278">
        <v>0</v>
      </c>
      <c r="BV73" s="278">
        <v>0</v>
      </c>
      <c r="BW73" s="279">
        <f t="shared" si="40"/>
        <v>0</v>
      </c>
      <c r="BX73" s="11">
        <v>0</v>
      </c>
      <c r="BY73" s="278"/>
      <c r="BZ73" s="11"/>
      <c r="CA73" s="280">
        <f t="shared" ref="CA73:CA100" si="60">$G73+BY73-BW73</f>
        <v>7</v>
      </c>
      <c r="CB73" s="277">
        <f t="shared" ref="CB73:CB100" si="61">$G73+BZ73-BX73</f>
        <v>7</v>
      </c>
      <c r="CC73" s="278">
        <v>0</v>
      </c>
      <c r="CD73" s="278">
        <v>0</v>
      </c>
      <c r="CE73" s="279">
        <f t="shared" si="41"/>
        <v>0</v>
      </c>
      <c r="CF73" s="11">
        <v>0</v>
      </c>
      <c r="CG73" s="278"/>
      <c r="CH73" s="11"/>
      <c r="CI73" s="280">
        <f t="shared" ref="CI73:CI100" si="62">$G73+CG73-CE73</f>
        <v>7</v>
      </c>
      <c r="CJ73" s="277">
        <f t="shared" ref="CJ73:CJ100" si="63">$G73+CH73-CF73</f>
        <v>7</v>
      </c>
      <c r="CK73" s="278">
        <v>0</v>
      </c>
      <c r="CL73" s="278">
        <v>0</v>
      </c>
      <c r="CM73" s="279">
        <f t="shared" si="42"/>
        <v>0</v>
      </c>
      <c r="CN73" s="11">
        <v>0</v>
      </c>
      <c r="CO73" s="278"/>
      <c r="CP73" s="277"/>
      <c r="CQ73" s="280">
        <f t="shared" ref="CQ73:CQ100" si="64">$G73+CO73-CM73</f>
        <v>7</v>
      </c>
      <c r="CR73" s="277">
        <f t="shared" ref="CR73:CR100" si="65">$G73+CP73-CN73</f>
        <v>7</v>
      </c>
      <c r="CS73" s="278">
        <v>0</v>
      </c>
      <c r="CT73" s="278">
        <v>0</v>
      </c>
      <c r="CU73" s="279">
        <f t="shared" si="43"/>
        <v>0</v>
      </c>
      <c r="CV73" s="11">
        <v>0</v>
      </c>
      <c r="CW73" s="278"/>
      <c r="CX73" s="277"/>
      <c r="CY73" s="280">
        <f t="shared" ref="CY73:CY100" si="66">$G73+CW73-CU73</f>
        <v>7</v>
      </c>
      <c r="CZ73" s="277">
        <f t="shared" ref="CZ73:CZ100" si="67">$G73+CX73-CV73</f>
        <v>7</v>
      </c>
    </row>
    <row r="74" spans="1:104" ht="17.25" customHeight="1">
      <c r="A74" s="28" t="s">
        <v>651</v>
      </c>
      <c r="B74" s="382"/>
      <c r="C74" s="27"/>
      <c r="D74" s="28" t="str">
        <f>_xlfn.XLOOKUP(A74,'ABC-XYZ분석 (2)'!C:C,'ABC-XYZ분석 (2)'!I:I)</f>
        <v>사계절</v>
      </c>
      <c r="E74" s="28" t="str">
        <f>_xlfn.XLOOKUP(A74,'ABC-XYZ분석 (2)'!C:C,'ABC-XYZ분석 (2)'!AC:AC)</f>
        <v>B</v>
      </c>
      <c r="F74" s="3" t="str">
        <f>_xlfn.XLOOKUP(A74,'ABC-XYZ분석 (2)'!C:C,'ABC-XYZ분석 (2)'!AG:AG)</f>
        <v>Y</v>
      </c>
      <c r="G74" s="14">
        <f>SUMIF(재고!C:C,PSI_메인!A74,재고!I:I)</f>
        <v>197</v>
      </c>
      <c r="H74" s="277">
        <v>328</v>
      </c>
      <c r="I74" s="278">
        <v>0</v>
      </c>
      <c r="J74" s="278">
        <v>0</v>
      </c>
      <c r="K74" s="279">
        <v>100</v>
      </c>
      <c r="L74" s="11">
        <v>0</v>
      </c>
      <c r="M74" s="9">
        <f>SUMIFS(입항스케줄!J:J,입항스케줄!C:C,PSI_메인!A74,입항스케줄!U:U,"2601")</f>
        <v>0</v>
      </c>
      <c r="N74" s="11">
        <f>SUMIFS(입항스케줄!J:J,입항스케줄!C:C,PSI_메인!A74,입항스케줄!V:V,"2601")</f>
        <v>0</v>
      </c>
      <c r="O74" s="280">
        <f t="shared" si="44"/>
        <v>97</v>
      </c>
      <c r="P74" s="277">
        <f t="shared" si="45"/>
        <v>197</v>
      </c>
      <c r="Q74" s="278">
        <v>0</v>
      </c>
      <c r="R74" s="278">
        <v>0</v>
      </c>
      <c r="S74" s="10">
        <v>50</v>
      </c>
      <c r="T74" s="11">
        <v>0</v>
      </c>
      <c r="U74" s="9">
        <f>SUMIFS(입항스케줄!J:J,입항스케줄!C:C,PSI_메인!A74,입항스케줄!U:U,"2602")</f>
        <v>0</v>
      </c>
      <c r="V74" s="11">
        <f>SUMIFS(입항스케줄!J:J,입항스케줄!C:C,PSI_메인!A74,입항스케줄!V:V,"2602")</f>
        <v>0</v>
      </c>
      <c r="W74" s="280">
        <f t="shared" si="46"/>
        <v>147</v>
      </c>
      <c r="X74" s="277">
        <f t="shared" si="47"/>
        <v>197</v>
      </c>
      <c r="Y74" s="278">
        <v>0</v>
      </c>
      <c r="Z74" s="278">
        <v>0</v>
      </c>
      <c r="AA74" s="279">
        <f t="shared" si="34"/>
        <v>0</v>
      </c>
      <c r="AB74" s="11">
        <v>0</v>
      </c>
      <c r="AC74" s="9">
        <f>SUMIFS(입항스케줄!J:J,입항스케줄!C:C,PSI_메인!A74,입항스케줄!U:U,"2603")</f>
        <v>0</v>
      </c>
      <c r="AD74" s="11">
        <f>SUMIFS(입항스케줄!J:J,입항스케줄!C:C,PSI_메인!A74,입항스케줄!V:V,"2603")</f>
        <v>0</v>
      </c>
      <c r="AE74" s="280">
        <f t="shared" si="48"/>
        <v>197</v>
      </c>
      <c r="AF74" s="277">
        <f t="shared" si="49"/>
        <v>197</v>
      </c>
      <c r="AG74" s="278">
        <v>0</v>
      </c>
      <c r="AH74" s="278">
        <v>0</v>
      </c>
      <c r="AI74" s="279">
        <f t="shared" si="35"/>
        <v>0</v>
      </c>
      <c r="AJ74" s="11">
        <v>0</v>
      </c>
      <c r="AK74" s="9">
        <f>SUMIFS(입항스케줄!J:J,입항스케줄!C:C,PSI_메인!A74,입항스케줄!U:U,"2604")</f>
        <v>0</v>
      </c>
      <c r="AL74" s="11">
        <f>SUMIFS(입항스케줄!J:J,입항스케줄!C:C,PSI_메인!A74,입항스케줄!V:V,"2604")</f>
        <v>0</v>
      </c>
      <c r="AM74" s="280">
        <f t="shared" si="50"/>
        <v>197</v>
      </c>
      <c r="AN74" s="277">
        <f t="shared" si="51"/>
        <v>197</v>
      </c>
      <c r="AO74" s="278">
        <v>0</v>
      </c>
      <c r="AP74" s="278">
        <v>0</v>
      </c>
      <c r="AQ74" s="279">
        <f t="shared" si="36"/>
        <v>0</v>
      </c>
      <c r="AR74" s="11">
        <v>0</v>
      </c>
      <c r="AS74" s="9"/>
      <c r="AT74" s="277"/>
      <c r="AU74" s="280">
        <f t="shared" si="52"/>
        <v>197</v>
      </c>
      <c r="AV74" s="277">
        <f t="shared" si="53"/>
        <v>197</v>
      </c>
      <c r="AW74" s="278">
        <v>0</v>
      </c>
      <c r="AX74" s="278">
        <v>0</v>
      </c>
      <c r="AY74" s="279">
        <f t="shared" si="37"/>
        <v>0</v>
      </c>
      <c r="AZ74" s="11">
        <v>0</v>
      </c>
      <c r="BA74" s="9"/>
      <c r="BB74" s="11"/>
      <c r="BC74" s="280">
        <f t="shared" si="54"/>
        <v>197</v>
      </c>
      <c r="BD74" s="277">
        <f t="shared" si="55"/>
        <v>197</v>
      </c>
      <c r="BE74" s="278">
        <v>0</v>
      </c>
      <c r="BF74" s="278">
        <v>0</v>
      </c>
      <c r="BG74" s="279">
        <f t="shared" si="38"/>
        <v>0</v>
      </c>
      <c r="BH74" s="11">
        <v>0</v>
      </c>
      <c r="BI74" s="278"/>
      <c r="BJ74" s="11"/>
      <c r="BK74" s="280">
        <f t="shared" si="56"/>
        <v>197</v>
      </c>
      <c r="BL74" s="277">
        <f t="shared" si="57"/>
        <v>197</v>
      </c>
      <c r="BM74" s="278">
        <v>0</v>
      </c>
      <c r="BN74" s="278">
        <v>0</v>
      </c>
      <c r="BO74" s="279">
        <f t="shared" si="39"/>
        <v>0</v>
      </c>
      <c r="BP74" s="11">
        <v>0</v>
      </c>
      <c r="BQ74" s="278"/>
      <c r="BR74" s="11"/>
      <c r="BS74" s="280">
        <f t="shared" si="58"/>
        <v>197</v>
      </c>
      <c r="BT74" s="277">
        <f t="shared" si="59"/>
        <v>197</v>
      </c>
      <c r="BU74" s="278">
        <v>0</v>
      </c>
      <c r="BV74" s="278">
        <v>0</v>
      </c>
      <c r="BW74" s="279">
        <f t="shared" si="40"/>
        <v>0</v>
      </c>
      <c r="BX74" s="11">
        <v>0</v>
      </c>
      <c r="BY74" s="278"/>
      <c r="BZ74" s="11"/>
      <c r="CA74" s="280">
        <f t="shared" si="60"/>
        <v>197</v>
      </c>
      <c r="CB74" s="277">
        <f t="shared" si="61"/>
        <v>197</v>
      </c>
      <c r="CC74" s="278">
        <v>0</v>
      </c>
      <c r="CD74" s="278">
        <v>0</v>
      </c>
      <c r="CE74" s="279">
        <f t="shared" si="41"/>
        <v>0</v>
      </c>
      <c r="CF74" s="11">
        <v>0</v>
      </c>
      <c r="CG74" s="278"/>
      <c r="CH74" s="11"/>
      <c r="CI74" s="280">
        <f t="shared" si="62"/>
        <v>197</v>
      </c>
      <c r="CJ74" s="277">
        <f t="shared" si="63"/>
        <v>197</v>
      </c>
      <c r="CK74" s="278">
        <v>0</v>
      </c>
      <c r="CL74" s="278">
        <v>0</v>
      </c>
      <c r="CM74" s="279">
        <f t="shared" si="42"/>
        <v>0</v>
      </c>
      <c r="CN74" s="11">
        <v>0</v>
      </c>
      <c r="CO74" s="278"/>
      <c r="CP74" s="277"/>
      <c r="CQ74" s="280">
        <f t="shared" si="64"/>
        <v>197</v>
      </c>
      <c r="CR74" s="277">
        <f t="shared" si="65"/>
        <v>197</v>
      </c>
      <c r="CS74" s="278">
        <v>0</v>
      </c>
      <c r="CT74" s="278">
        <v>0</v>
      </c>
      <c r="CU74" s="279">
        <f t="shared" si="43"/>
        <v>0</v>
      </c>
      <c r="CV74" s="11">
        <v>0</v>
      </c>
      <c r="CW74" s="278"/>
      <c r="CX74" s="277"/>
      <c r="CY74" s="280">
        <f t="shared" si="66"/>
        <v>197</v>
      </c>
      <c r="CZ74" s="277">
        <f t="shared" si="67"/>
        <v>197</v>
      </c>
    </row>
    <row r="75" spans="1:104" ht="17.25" customHeight="1">
      <c r="A75" s="28" t="s">
        <v>652</v>
      </c>
      <c r="B75" s="382"/>
      <c r="C75" s="27"/>
      <c r="D75" s="28" t="str">
        <f>_xlfn.XLOOKUP(A75,'ABC-XYZ분석 (2)'!C:C,'ABC-XYZ분석 (2)'!I:I)</f>
        <v>사계절</v>
      </c>
      <c r="E75" s="28" t="str">
        <f>_xlfn.XLOOKUP(A75,'ABC-XYZ분석 (2)'!C:C,'ABC-XYZ분석 (2)'!AC:AC)</f>
        <v>C</v>
      </c>
      <c r="F75" s="3" t="str">
        <f>_xlfn.XLOOKUP(A75,'ABC-XYZ분석 (2)'!C:C,'ABC-XYZ분석 (2)'!AG:AG)</f>
        <v>Y</v>
      </c>
      <c r="G75" s="14">
        <f>SUMIF(재고!C:C,PSI_메인!A75,재고!I:I)</f>
        <v>101</v>
      </c>
      <c r="H75" s="277">
        <v>418</v>
      </c>
      <c r="I75" s="278">
        <v>0</v>
      </c>
      <c r="J75" s="278">
        <v>0</v>
      </c>
      <c r="K75" s="279">
        <v>75</v>
      </c>
      <c r="L75" s="11">
        <v>0</v>
      </c>
      <c r="M75" s="9">
        <f>SUMIFS(입항스케줄!J:J,입항스케줄!C:C,PSI_메인!A75,입항스케줄!U:U,"2601")</f>
        <v>0</v>
      </c>
      <c r="N75" s="11">
        <f>SUMIFS(입항스케줄!J:J,입항스케줄!C:C,PSI_메인!A75,입항스케줄!V:V,"2601")</f>
        <v>0</v>
      </c>
      <c r="O75" s="280">
        <f t="shared" si="44"/>
        <v>26</v>
      </c>
      <c r="P75" s="277">
        <f t="shared" si="45"/>
        <v>101</v>
      </c>
      <c r="Q75" s="278">
        <v>0</v>
      </c>
      <c r="R75" s="278">
        <v>0</v>
      </c>
      <c r="S75" s="10">
        <v>150</v>
      </c>
      <c r="T75" s="11">
        <v>0</v>
      </c>
      <c r="U75" s="9">
        <f>SUMIFS(입항스케줄!J:J,입항스케줄!C:C,PSI_메인!A75,입항스케줄!U:U,"2602")</f>
        <v>0</v>
      </c>
      <c r="V75" s="11">
        <f>SUMIFS(입항스케줄!J:J,입항스케줄!C:C,PSI_메인!A75,입항스케줄!V:V,"2602")</f>
        <v>0</v>
      </c>
      <c r="W75" s="280">
        <f t="shared" si="46"/>
        <v>-49</v>
      </c>
      <c r="X75" s="277">
        <f t="shared" si="47"/>
        <v>101</v>
      </c>
      <c r="Y75" s="278">
        <v>0</v>
      </c>
      <c r="Z75" s="278">
        <v>0</v>
      </c>
      <c r="AA75" s="279">
        <f t="shared" si="34"/>
        <v>0</v>
      </c>
      <c r="AB75" s="11">
        <v>0</v>
      </c>
      <c r="AC75" s="9">
        <f>SUMIFS(입항스케줄!J:J,입항스케줄!C:C,PSI_메인!A75,입항스케줄!U:U,"2603")</f>
        <v>0</v>
      </c>
      <c r="AD75" s="11">
        <f>SUMIFS(입항스케줄!J:J,입항스케줄!C:C,PSI_메인!A75,입항스케줄!V:V,"2603")</f>
        <v>0</v>
      </c>
      <c r="AE75" s="280">
        <f t="shared" si="48"/>
        <v>101</v>
      </c>
      <c r="AF75" s="277">
        <f t="shared" si="49"/>
        <v>101</v>
      </c>
      <c r="AG75" s="278">
        <v>0</v>
      </c>
      <c r="AH75" s="278">
        <v>0</v>
      </c>
      <c r="AI75" s="279">
        <f t="shared" si="35"/>
        <v>0</v>
      </c>
      <c r="AJ75" s="11">
        <v>0</v>
      </c>
      <c r="AK75" s="9">
        <f>SUMIFS(입항스케줄!J:J,입항스케줄!C:C,PSI_메인!A75,입항스케줄!U:U,"2604")</f>
        <v>0</v>
      </c>
      <c r="AL75" s="11">
        <f>SUMIFS(입항스케줄!J:J,입항스케줄!C:C,PSI_메인!A75,입항스케줄!V:V,"2604")</f>
        <v>0</v>
      </c>
      <c r="AM75" s="280">
        <f t="shared" si="50"/>
        <v>101</v>
      </c>
      <c r="AN75" s="277">
        <f t="shared" si="51"/>
        <v>101</v>
      </c>
      <c r="AO75" s="278">
        <v>0</v>
      </c>
      <c r="AP75" s="278">
        <v>0</v>
      </c>
      <c r="AQ75" s="279">
        <f t="shared" si="36"/>
        <v>0</v>
      </c>
      <c r="AR75" s="11">
        <v>0</v>
      </c>
      <c r="AS75" s="9"/>
      <c r="AT75" s="277"/>
      <c r="AU75" s="280">
        <f t="shared" si="52"/>
        <v>101</v>
      </c>
      <c r="AV75" s="277">
        <f t="shared" si="53"/>
        <v>101</v>
      </c>
      <c r="AW75" s="278">
        <v>0</v>
      </c>
      <c r="AX75" s="278">
        <v>0</v>
      </c>
      <c r="AY75" s="279">
        <f t="shared" si="37"/>
        <v>0</v>
      </c>
      <c r="AZ75" s="11">
        <v>0</v>
      </c>
      <c r="BA75" s="9"/>
      <c r="BB75" s="11"/>
      <c r="BC75" s="280">
        <f t="shared" si="54"/>
        <v>101</v>
      </c>
      <c r="BD75" s="277">
        <f t="shared" si="55"/>
        <v>101</v>
      </c>
      <c r="BE75" s="278">
        <v>0</v>
      </c>
      <c r="BF75" s="278">
        <v>0</v>
      </c>
      <c r="BG75" s="279">
        <f t="shared" si="38"/>
        <v>0</v>
      </c>
      <c r="BH75" s="11">
        <v>0</v>
      </c>
      <c r="BI75" s="278"/>
      <c r="BJ75" s="11"/>
      <c r="BK75" s="280">
        <f t="shared" si="56"/>
        <v>101</v>
      </c>
      <c r="BL75" s="277">
        <f t="shared" si="57"/>
        <v>101</v>
      </c>
      <c r="BM75" s="278">
        <v>0</v>
      </c>
      <c r="BN75" s="278">
        <v>0</v>
      </c>
      <c r="BO75" s="279">
        <f t="shared" si="39"/>
        <v>0</v>
      </c>
      <c r="BP75" s="11">
        <v>0</v>
      </c>
      <c r="BQ75" s="278"/>
      <c r="BR75" s="11"/>
      <c r="BS75" s="280">
        <f t="shared" si="58"/>
        <v>101</v>
      </c>
      <c r="BT75" s="277">
        <f t="shared" si="59"/>
        <v>101</v>
      </c>
      <c r="BU75" s="278">
        <v>0</v>
      </c>
      <c r="BV75" s="278">
        <v>0</v>
      </c>
      <c r="BW75" s="279">
        <f t="shared" si="40"/>
        <v>0</v>
      </c>
      <c r="BX75" s="11">
        <v>0</v>
      </c>
      <c r="BY75" s="278"/>
      <c r="BZ75" s="11"/>
      <c r="CA75" s="280">
        <f t="shared" si="60"/>
        <v>101</v>
      </c>
      <c r="CB75" s="277">
        <f t="shared" si="61"/>
        <v>101</v>
      </c>
      <c r="CC75" s="278">
        <v>0</v>
      </c>
      <c r="CD75" s="278">
        <v>0</v>
      </c>
      <c r="CE75" s="279">
        <f t="shared" si="41"/>
        <v>0</v>
      </c>
      <c r="CF75" s="11">
        <v>0</v>
      </c>
      <c r="CG75" s="278"/>
      <c r="CH75" s="11"/>
      <c r="CI75" s="280">
        <f t="shared" si="62"/>
        <v>101</v>
      </c>
      <c r="CJ75" s="277">
        <f t="shared" si="63"/>
        <v>101</v>
      </c>
      <c r="CK75" s="278">
        <v>0</v>
      </c>
      <c r="CL75" s="278">
        <v>0</v>
      </c>
      <c r="CM75" s="279">
        <f t="shared" si="42"/>
        <v>0</v>
      </c>
      <c r="CN75" s="11">
        <v>0</v>
      </c>
      <c r="CO75" s="278"/>
      <c r="CP75" s="277"/>
      <c r="CQ75" s="280">
        <f t="shared" si="64"/>
        <v>101</v>
      </c>
      <c r="CR75" s="277">
        <f t="shared" si="65"/>
        <v>101</v>
      </c>
      <c r="CS75" s="278">
        <v>0</v>
      </c>
      <c r="CT75" s="278">
        <v>0</v>
      </c>
      <c r="CU75" s="279">
        <f t="shared" si="43"/>
        <v>0</v>
      </c>
      <c r="CV75" s="11">
        <v>0</v>
      </c>
      <c r="CW75" s="278"/>
      <c r="CX75" s="277"/>
      <c r="CY75" s="280">
        <f t="shared" si="66"/>
        <v>101</v>
      </c>
      <c r="CZ75" s="277">
        <f t="shared" si="67"/>
        <v>101</v>
      </c>
    </row>
    <row r="76" spans="1:104" ht="17.25" customHeight="1">
      <c r="A76" s="28" t="s">
        <v>653</v>
      </c>
      <c r="B76" s="382"/>
      <c r="C76" s="27"/>
      <c r="D76" s="28" t="str">
        <f>_xlfn.XLOOKUP(A76,'ABC-XYZ분석 (2)'!C:C,'ABC-XYZ분석 (2)'!I:I)</f>
        <v>사계절</v>
      </c>
      <c r="E76" s="28" t="str">
        <f>_xlfn.XLOOKUP(A76,'ABC-XYZ분석 (2)'!C:C,'ABC-XYZ분석 (2)'!AC:AC)</f>
        <v>C</v>
      </c>
      <c r="F76" s="3" t="str">
        <f>_xlfn.XLOOKUP(A76,'ABC-XYZ분석 (2)'!C:C,'ABC-XYZ분석 (2)'!AG:AG)</f>
        <v>Z</v>
      </c>
      <c r="G76" s="14">
        <f>SUMIF(재고!C:C,PSI_메인!A76,재고!I:I)</f>
        <v>138</v>
      </c>
      <c r="H76" s="277">
        <v>8</v>
      </c>
      <c r="I76" s="278">
        <v>0</v>
      </c>
      <c r="J76" s="278">
        <v>0</v>
      </c>
      <c r="K76" s="279">
        <v>0</v>
      </c>
      <c r="L76" s="11">
        <v>0</v>
      </c>
      <c r="M76" s="9">
        <f>SUMIFS(입항스케줄!J:J,입항스케줄!C:C,PSI_메인!A76,입항스케줄!U:U,"2601")</f>
        <v>0</v>
      </c>
      <c r="N76" s="11">
        <f>SUMIFS(입항스케줄!J:J,입항스케줄!C:C,PSI_메인!A76,입항스케줄!V:V,"2601")</f>
        <v>0</v>
      </c>
      <c r="O76" s="280">
        <f t="shared" si="44"/>
        <v>138</v>
      </c>
      <c r="P76" s="277">
        <f t="shared" si="45"/>
        <v>138</v>
      </c>
      <c r="Q76" s="278">
        <v>0</v>
      </c>
      <c r="R76" s="278">
        <v>0</v>
      </c>
      <c r="S76" s="10">
        <v>0</v>
      </c>
      <c r="T76" s="11">
        <v>0</v>
      </c>
      <c r="U76" s="9">
        <f>SUMIFS(입항스케줄!J:J,입항스케줄!C:C,PSI_메인!A76,입항스케줄!U:U,"2602")</f>
        <v>0</v>
      </c>
      <c r="V76" s="11">
        <f>SUMIFS(입항스케줄!J:J,입항스케줄!C:C,PSI_메인!A76,입항스케줄!V:V,"2602")</f>
        <v>0</v>
      </c>
      <c r="W76" s="280">
        <f t="shared" si="46"/>
        <v>138</v>
      </c>
      <c r="X76" s="277">
        <f t="shared" si="47"/>
        <v>138</v>
      </c>
      <c r="Y76" s="278">
        <v>0</v>
      </c>
      <c r="Z76" s="278">
        <v>0</v>
      </c>
      <c r="AA76" s="279">
        <f t="shared" si="34"/>
        <v>0</v>
      </c>
      <c r="AB76" s="11">
        <v>0</v>
      </c>
      <c r="AC76" s="9">
        <f>SUMIFS(입항스케줄!J:J,입항스케줄!C:C,PSI_메인!A76,입항스케줄!U:U,"2603")</f>
        <v>0</v>
      </c>
      <c r="AD76" s="11">
        <f>SUMIFS(입항스케줄!J:J,입항스케줄!C:C,PSI_메인!A76,입항스케줄!V:V,"2603")</f>
        <v>0</v>
      </c>
      <c r="AE76" s="280">
        <f t="shared" si="48"/>
        <v>138</v>
      </c>
      <c r="AF76" s="277">
        <f t="shared" si="49"/>
        <v>138</v>
      </c>
      <c r="AG76" s="278">
        <v>0</v>
      </c>
      <c r="AH76" s="278">
        <v>0</v>
      </c>
      <c r="AI76" s="279">
        <f t="shared" si="35"/>
        <v>0</v>
      </c>
      <c r="AJ76" s="11">
        <v>0</v>
      </c>
      <c r="AK76" s="9">
        <f>SUMIFS(입항스케줄!J:J,입항스케줄!C:C,PSI_메인!A76,입항스케줄!U:U,"2604")</f>
        <v>0</v>
      </c>
      <c r="AL76" s="11">
        <f>SUMIFS(입항스케줄!J:J,입항스케줄!C:C,PSI_메인!A76,입항스케줄!V:V,"2604")</f>
        <v>0</v>
      </c>
      <c r="AM76" s="280">
        <f t="shared" si="50"/>
        <v>138</v>
      </c>
      <c r="AN76" s="277">
        <f t="shared" si="51"/>
        <v>138</v>
      </c>
      <c r="AO76" s="278">
        <v>0</v>
      </c>
      <c r="AP76" s="278">
        <v>0</v>
      </c>
      <c r="AQ76" s="279">
        <f t="shared" si="36"/>
        <v>0</v>
      </c>
      <c r="AR76" s="11">
        <v>0</v>
      </c>
      <c r="AS76" s="9"/>
      <c r="AT76" s="277"/>
      <c r="AU76" s="280">
        <f t="shared" si="52"/>
        <v>138</v>
      </c>
      <c r="AV76" s="277">
        <f t="shared" si="53"/>
        <v>138</v>
      </c>
      <c r="AW76" s="278">
        <v>0</v>
      </c>
      <c r="AX76" s="278">
        <v>0</v>
      </c>
      <c r="AY76" s="279">
        <f t="shared" si="37"/>
        <v>0</v>
      </c>
      <c r="AZ76" s="11">
        <v>0</v>
      </c>
      <c r="BA76" s="9"/>
      <c r="BB76" s="11"/>
      <c r="BC76" s="280">
        <f t="shared" si="54"/>
        <v>138</v>
      </c>
      <c r="BD76" s="277">
        <f t="shared" si="55"/>
        <v>138</v>
      </c>
      <c r="BE76" s="278">
        <v>0</v>
      </c>
      <c r="BF76" s="278">
        <v>0</v>
      </c>
      <c r="BG76" s="279">
        <f t="shared" si="38"/>
        <v>0</v>
      </c>
      <c r="BH76" s="11">
        <v>0</v>
      </c>
      <c r="BI76" s="278"/>
      <c r="BJ76" s="11"/>
      <c r="BK76" s="280">
        <f t="shared" si="56"/>
        <v>138</v>
      </c>
      <c r="BL76" s="277">
        <f t="shared" si="57"/>
        <v>138</v>
      </c>
      <c r="BM76" s="278">
        <v>0</v>
      </c>
      <c r="BN76" s="278">
        <v>0</v>
      </c>
      <c r="BO76" s="279">
        <f t="shared" si="39"/>
        <v>0</v>
      </c>
      <c r="BP76" s="11">
        <v>0</v>
      </c>
      <c r="BQ76" s="278"/>
      <c r="BR76" s="11"/>
      <c r="BS76" s="280">
        <f t="shared" si="58"/>
        <v>138</v>
      </c>
      <c r="BT76" s="277">
        <f t="shared" si="59"/>
        <v>138</v>
      </c>
      <c r="BU76" s="278">
        <v>0</v>
      </c>
      <c r="BV76" s="278">
        <v>0</v>
      </c>
      <c r="BW76" s="279">
        <f t="shared" si="40"/>
        <v>0</v>
      </c>
      <c r="BX76" s="11">
        <v>0</v>
      </c>
      <c r="BY76" s="278"/>
      <c r="BZ76" s="11"/>
      <c r="CA76" s="280">
        <f t="shared" si="60"/>
        <v>138</v>
      </c>
      <c r="CB76" s="277">
        <f t="shared" si="61"/>
        <v>138</v>
      </c>
      <c r="CC76" s="278">
        <v>0</v>
      </c>
      <c r="CD76" s="278">
        <v>0</v>
      </c>
      <c r="CE76" s="279">
        <f t="shared" si="41"/>
        <v>0</v>
      </c>
      <c r="CF76" s="11">
        <v>0</v>
      </c>
      <c r="CG76" s="278"/>
      <c r="CH76" s="11"/>
      <c r="CI76" s="280">
        <f t="shared" si="62"/>
        <v>138</v>
      </c>
      <c r="CJ76" s="277">
        <f t="shared" si="63"/>
        <v>138</v>
      </c>
      <c r="CK76" s="278">
        <v>0</v>
      </c>
      <c r="CL76" s="278">
        <v>0</v>
      </c>
      <c r="CM76" s="279">
        <f t="shared" si="42"/>
        <v>0</v>
      </c>
      <c r="CN76" s="11">
        <v>0</v>
      </c>
      <c r="CO76" s="278"/>
      <c r="CP76" s="277"/>
      <c r="CQ76" s="280">
        <f t="shared" si="64"/>
        <v>138</v>
      </c>
      <c r="CR76" s="277">
        <f t="shared" si="65"/>
        <v>138</v>
      </c>
      <c r="CS76" s="278">
        <v>0</v>
      </c>
      <c r="CT76" s="278">
        <v>0</v>
      </c>
      <c r="CU76" s="279">
        <f t="shared" si="43"/>
        <v>0</v>
      </c>
      <c r="CV76" s="11">
        <v>0</v>
      </c>
      <c r="CW76" s="278"/>
      <c r="CX76" s="277"/>
      <c r="CY76" s="280">
        <f t="shared" si="66"/>
        <v>138</v>
      </c>
      <c r="CZ76" s="277">
        <f t="shared" si="67"/>
        <v>138</v>
      </c>
    </row>
    <row r="77" spans="1:104" ht="17.25" customHeight="1">
      <c r="A77" s="28" t="s">
        <v>654</v>
      </c>
      <c r="B77" s="382"/>
      <c r="C77" s="27"/>
      <c r="D77" s="28" t="str">
        <f>_xlfn.XLOOKUP(A77,'ABC-XYZ분석 (2)'!C:C,'ABC-XYZ분석 (2)'!I:I)</f>
        <v>사계절</v>
      </c>
      <c r="E77" s="28" t="str">
        <f>_xlfn.XLOOKUP(A77,'ABC-XYZ분석 (2)'!C:C,'ABC-XYZ분석 (2)'!AC:AC)</f>
        <v>C</v>
      </c>
      <c r="F77" s="3" t="str">
        <f>_xlfn.XLOOKUP(A77,'ABC-XYZ분석 (2)'!C:C,'ABC-XYZ분석 (2)'!AG:AG)</f>
        <v>Y</v>
      </c>
      <c r="G77" s="14">
        <f>SUMIF(재고!C:C,PSI_메인!A77,재고!I:I)</f>
        <v>150</v>
      </c>
      <c r="H77" s="277">
        <v>689</v>
      </c>
      <c r="I77" s="278">
        <v>0</v>
      </c>
      <c r="J77" s="278">
        <v>0</v>
      </c>
      <c r="K77" s="279">
        <v>250</v>
      </c>
      <c r="L77" s="11">
        <v>0</v>
      </c>
      <c r="M77" s="9">
        <f>SUMIFS(입항스케줄!J:J,입항스케줄!C:C,PSI_메인!A77,입항스케줄!U:U,"2601")</f>
        <v>0</v>
      </c>
      <c r="N77" s="11">
        <f>SUMIFS(입항스케줄!J:J,입항스케줄!C:C,PSI_메인!A77,입항스케줄!V:V,"2601")</f>
        <v>0</v>
      </c>
      <c r="O77" s="280">
        <f t="shared" si="44"/>
        <v>-100</v>
      </c>
      <c r="P77" s="277">
        <f t="shared" si="45"/>
        <v>150</v>
      </c>
      <c r="Q77" s="278">
        <v>0</v>
      </c>
      <c r="R77" s="278">
        <v>0</v>
      </c>
      <c r="S77" s="10">
        <v>0</v>
      </c>
      <c r="T77" s="11">
        <v>0</v>
      </c>
      <c r="U77" s="9">
        <f>SUMIFS(입항스케줄!J:J,입항스케줄!C:C,PSI_메인!A77,입항스케줄!U:U,"2602")</f>
        <v>0</v>
      </c>
      <c r="V77" s="11">
        <f>SUMIFS(입항스케줄!J:J,입항스케줄!C:C,PSI_메인!A77,입항스케줄!V:V,"2602")</f>
        <v>0</v>
      </c>
      <c r="W77" s="280">
        <f t="shared" si="46"/>
        <v>150</v>
      </c>
      <c r="X77" s="277">
        <f t="shared" si="47"/>
        <v>150</v>
      </c>
      <c r="Y77" s="278">
        <v>0</v>
      </c>
      <c r="Z77" s="278">
        <v>0</v>
      </c>
      <c r="AA77" s="279">
        <f t="shared" si="34"/>
        <v>0</v>
      </c>
      <c r="AB77" s="11">
        <v>0</v>
      </c>
      <c r="AC77" s="9">
        <f>SUMIFS(입항스케줄!J:J,입항스케줄!C:C,PSI_메인!A77,입항스케줄!U:U,"2603")</f>
        <v>0</v>
      </c>
      <c r="AD77" s="11">
        <f>SUMIFS(입항스케줄!J:J,입항스케줄!C:C,PSI_메인!A77,입항스케줄!V:V,"2603")</f>
        <v>0</v>
      </c>
      <c r="AE77" s="280">
        <f t="shared" si="48"/>
        <v>150</v>
      </c>
      <c r="AF77" s="277">
        <f t="shared" si="49"/>
        <v>150</v>
      </c>
      <c r="AG77" s="278">
        <v>0</v>
      </c>
      <c r="AH77" s="278">
        <v>0</v>
      </c>
      <c r="AI77" s="279">
        <f t="shared" si="35"/>
        <v>0</v>
      </c>
      <c r="AJ77" s="11">
        <v>0</v>
      </c>
      <c r="AK77" s="9">
        <f>SUMIFS(입항스케줄!J:J,입항스케줄!C:C,PSI_메인!A77,입항스케줄!U:U,"2604")</f>
        <v>0</v>
      </c>
      <c r="AL77" s="11">
        <f>SUMIFS(입항스케줄!J:J,입항스케줄!C:C,PSI_메인!A77,입항스케줄!V:V,"2604")</f>
        <v>0</v>
      </c>
      <c r="AM77" s="280">
        <f t="shared" si="50"/>
        <v>150</v>
      </c>
      <c r="AN77" s="277">
        <f t="shared" si="51"/>
        <v>150</v>
      </c>
      <c r="AO77" s="278">
        <v>0</v>
      </c>
      <c r="AP77" s="278">
        <v>0</v>
      </c>
      <c r="AQ77" s="279">
        <f t="shared" si="36"/>
        <v>0</v>
      </c>
      <c r="AR77" s="11">
        <v>0</v>
      </c>
      <c r="AS77" s="9"/>
      <c r="AT77" s="277"/>
      <c r="AU77" s="280">
        <f t="shared" si="52"/>
        <v>150</v>
      </c>
      <c r="AV77" s="277">
        <f t="shared" si="53"/>
        <v>150</v>
      </c>
      <c r="AW77" s="278">
        <v>0</v>
      </c>
      <c r="AX77" s="278">
        <v>0</v>
      </c>
      <c r="AY77" s="279">
        <f t="shared" si="37"/>
        <v>0</v>
      </c>
      <c r="AZ77" s="11">
        <v>0</v>
      </c>
      <c r="BA77" s="9"/>
      <c r="BB77" s="11"/>
      <c r="BC77" s="280">
        <f t="shared" si="54"/>
        <v>150</v>
      </c>
      <c r="BD77" s="277">
        <f t="shared" si="55"/>
        <v>150</v>
      </c>
      <c r="BE77" s="278">
        <v>0</v>
      </c>
      <c r="BF77" s="278">
        <v>0</v>
      </c>
      <c r="BG77" s="279">
        <f t="shared" si="38"/>
        <v>0</v>
      </c>
      <c r="BH77" s="11">
        <v>0</v>
      </c>
      <c r="BI77" s="278"/>
      <c r="BJ77" s="11"/>
      <c r="BK77" s="280">
        <f t="shared" si="56"/>
        <v>150</v>
      </c>
      <c r="BL77" s="277">
        <f t="shared" si="57"/>
        <v>150</v>
      </c>
      <c r="BM77" s="278">
        <v>0</v>
      </c>
      <c r="BN77" s="278">
        <v>0</v>
      </c>
      <c r="BO77" s="279">
        <f t="shared" si="39"/>
        <v>0</v>
      </c>
      <c r="BP77" s="11">
        <v>0</v>
      </c>
      <c r="BQ77" s="278"/>
      <c r="BR77" s="11"/>
      <c r="BS77" s="280">
        <f t="shared" si="58"/>
        <v>150</v>
      </c>
      <c r="BT77" s="277">
        <f t="shared" si="59"/>
        <v>150</v>
      </c>
      <c r="BU77" s="278">
        <v>0</v>
      </c>
      <c r="BV77" s="278">
        <v>0</v>
      </c>
      <c r="BW77" s="279">
        <f t="shared" si="40"/>
        <v>0</v>
      </c>
      <c r="BX77" s="11">
        <v>0</v>
      </c>
      <c r="BY77" s="278"/>
      <c r="BZ77" s="11"/>
      <c r="CA77" s="280">
        <f t="shared" si="60"/>
        <v>150</v>
      </c>
      <c r="CB77" s="277">
        <f t="shared" si="61"/>
        <v>150</v>
      </c>
      <c r="CC77" s="278">
        <v>0</v>
      </c>
      <c r="CD77" s="278">
        <v>0</v>
      </c>
      <c r="CE77" s="279">
        <f t="shared" si="41"/>
        <v>0</v>
      </c>
      <c r="CF77" s="11">
        <v>0</v>
      </c>
      <c r="CG77" s="278"/>
      <c r="CH77" s="11"/>
      <c r="CI77" s="280">
        <f t="shared" si="62"/>
        <v>150</v>
      </c>
      <c r="CJ77" s="277">
        <f t="shared" si="63"/>
        <v>150</v>
      </c>
      <c r="CK77" s="278">
        <v>0</v>
      </c>
      <c r="CL77" s="278">
        <v>0</v>
      </c>
      <c r="CM77" s="279">
        <f t="shared" si="42"/>
        <v>0</v>
      </c>
      <c r="CN77" s="11">
        <v>0</v>
      </c>
      <c r="CO77" s="278"/>
      <c r="CP77" s="277"/>
      <c r="CQ77" s="280">
        <f t="shared" si="64"/>
        <v>150</v>
      </c>
      <c r="CR77" s="277">
        <f t="shared" si="65"/>
        <v>150</v>
      </c>
      <c r="CS77" s="278">
        <v>0</v>
      </c>
      <c r="CT77" s="278">
        <v>0</v>
      </c>
      <c r="CU77" s="279">
        <f t="shared" si="43"/>
        <v>0</v>
      </c>
      <c r="CV77" s="11">
        <v>0</v>
      </c>
      <c r="CW77" s="278"/>
      <c r="CX77" s="277"/>
      <c r="CY77" s="280">
        <f t="shared" si="66"/>
        <v>150</v>
      </c>
      <c r="CZ77" s="277">
        <f t="shared" si="67"/>
        <v>150</v>
      </c>
    </row>
    <row r="78" spans="1:104" ht="17.25" customHeight="1">
      <c r="A78" s="28" t="s">
        <v>655</v>
      </c>
      <c r="B78" s="382"/>
      <c r="C78" s="27"/>
      <c r="D78" s="28" t="str">
        <f>_xlfn.XLOOKUP(A78,'ABC-XYZ분석 (2)'!C:C,'ABC-XYZ분석 (2)'!I:I)</f>
        <v>사계절</v>
      </c>
      <c r="E78" s="28" t="str">
        <f>_xlfn.XLOOKUP(A78,'ABC-XYZ분석 (2)'!C:C,'ABC-XYZ분석 (2)'!AC:AC)</f>
        <v>C</v>
      </c>
      <c r="F78" s="3" t="str">
        <f>_xlfn.XLOOKUP(A78,'ABC-XYZ분석 (2)'!C:C,'ABC-XYZ분석 (2)'!AG:AG)</f>
        <v>Z</v>
      </c>
      <c r="G78" s="14">
        <f>SUMIF(재고!C:C,PSI_메인!A78,재고!I:I)</f>
        <v>34</v>
      </c>
      <c r="H78" s="277">
        <v>77</v>
      </c>
      <c r="I78" s="278">
        <v>0</v>
      </c>
      <c r="J78" s="278">
        <v>0</v>
      </c>
      <c r="K78" s="279">
        <v>0</v>
      </c>
      <c r="L78" s="11">
        <v>0</v>
      </c>
      <c r="M78" s="9">
        <f>SUMIFS(입항스케줄!J:J,입항스케줄!C:C,PSI_메인!A78,입항스케줄!U:U,"2601")</f>
        <v>0</v>
      </c>
      <c r="N78" s="11">
        <f>SUMIFS(입항스케줄!J:J,입항스케줄!C:C,PSI_메인!A78,입항스케줄!V:V,"2601")</f>
        <v>0</v>
      </c>
      <c r="O78" s="280">
        <f t="shared" si="44"/>
        <v>34</v>
      </c>
      <c r="P78" s="277">
        <f t="shared" si="45"/>
        <v>34</v>
      </c>
      <c r="Q78" s="278">
        <v>0</v>
      </c>
      <c r="R78" s="278">
        <v>0</v>
      </c>
      <c r="S78" s="10">
        <v>0</v>
      </c>
      <c r="T78" s="11">
        <v>0</v>
      </c>
      <c r="U78" s="9">
        <f>SUMIFS(입항스케줄!J:J,입항스케줄!C:C,PSI_메인!A78,입항스케줄!U:U,"2602")</f>
        <v>0</v>
      </c>
      <c r="V78" s="11">
        <f>SUMIFS(입항스케줄!J:J,입항스케줄!C:C,PSI_메인!A78,입항스케줄!V:V,"2602")</f>
        <v>0</v>
      </c>
      <c r="W78" s="280">
        <f t="shared" si="46"/>
        <v>34</v>
      </c>
      <c r="X78" s="277">
        <f t="shared" si="47"/>
        <v>34</v>
      </c>
      <c r="Y78" s="278">
        <v>0</v>
      </c>
      <c r="Z78" s="278">
        <v>0</v>
      </c>
      <c r="AA78" s="279">
        <f t="shared" si="34"/>
        <v>0</v>
      </c>
      <c r="AB78" s="11">
        <v>0</v>
      </c>
      <c r="AC78" s="9">
        <f>SUMIFS(입항스케줄!J:J,입항스케줄!C:C,PSI_메인!A78,입항스케줄!U:U,"2603")</f>
        <v>0</v>
      </c>
      <c r="AD78" s="11">
        <f>SUMIFS(입항스케줄!J:J,입항스케줄!C:C,PSI_메인!A78,입항스케줄!V:V,"2603")</f>
        <v>0</v>
      </c>
      <c r="AE78" s="280">
        <f t="shared" si="48"/>
        <v>34</v>
      </c>
      <c r="AF78" s="277">
        <f t="shared" si="49"/>
        <v>34</v>
      </c>
      <c r="AG78" s="278">
        <v>0</v>
      </c>
      <c r="AH78" s="278">
        <v>0</v>
      </c>
      <c r="AI78" s="279">
        <f t="shared" si="35"/>
        <v>0</v>
      </c>
      <c r="AJ78" s="11">
        <v>0</v>
      </c>
      <c r="AK78" s="9">
        <f>SUMIFS(입항스케줄!J:J,입항스케줄!C:C,PSI_메인!A78,입항스케줄!U:U,"2604")</f>
        <v>0</v>
      </c>
      <c r="AL78" s="11">
        <f>SUMIFS(입항스케줄!J:J,입항스케줄!C:C,PSI_메인!A78,입항스케줄!V:V,"2604")</f>
        <v>0</v>
      </c>
      <c r="AM78" s="280">
        <f t="shared" si="50"/>
        <v>34</v>
      </c>
      <c r="AN78" s="277">
        <f t="shared" si="51"/>
        <v>34</v>
      </c>
      <c r="AO78" s="278">
        <v>0</v>
      </c>
      <c r="AP78" s="278">
        <v>0</v>
      </c>
      <c r="AQ78" s="279">
        <f t="shared" si="36"/>
        <v>0</v>
      </c>
      <c r="AR78" s="11">
        <v>0</v>
      </c>
      <c r="AS78" s="9"/>
      <c r="AT78" s="277"/>
      <c r="AU78" s="280">
        <f t="shared" si="52"/>
        <v>34</v>
      </c>
      <c r="AV78" s="277">
        <f t="shared" si="53"/>
        <v>34</v>
      </c>
      <c r="AW78" s="278">
        <v>0</v>
      </c>
      <c r="AX78" s="278">
        <v>0</v>
      </c>
      <c r="AY78" s="279">
        <f t="shared" si="37"/>
        <v>0</v>
      </c>
      <c r="AZ78" s="11">
        <v>0</v>
      </c>
      <c r="BA78" s="9"/>
      <c r="BB78" s="11"/>
      <c r="BC78" s="280">
        <f t="shared" si="54"/>
        <v>34</v>
      </c>
      <c r="BD78" s="277">
        <f t="shared" si="55"/>
        <v>34</v>
      </c>
      <c r="BE78" s="278">
        <v>0</v>
      </c>
      <c r="BF78" s="278">
        <v>0</v>
      </c>
      <c r="BG78" s="279">
        <f t="shared" si="38"/>
        <v>0</v>
      </c>
      <c r="BH78" s="11">
        <v>0</v>
      </c>
      <c r="BI78" s="278"/>
      <c r="BJ78" s="11"/>
      <c r="BK78" s="280">
        <f t="shared" si="56"/>
        <v>34</v>
      </c>
      <c r="BL78" s="277">
        <f t="shared" si="57"/>
        <v>34</v>
      </c>
      <c r="BM78" s="278">
        <v>0</v>
      </c>
      <c r="BN78" s="278">
        <v>0</v>
      </c>
      <c r="BO78" s="279">
        <f t="shared" si="39"/>
        <v>0</v>
      </c>
      <c r="BP78" s="11">
        <v>0</v>
      </c>
      <c r="BQ78" s="278"/>
      <c r="BR78" s="11"/>
      <c r="BS78" s="280">
        <f t="shared" si="58"/>
        <v>34</v>
      </c>
      <c r="BT78" s="277">
        <f t="shared" si="59"/>
        <v>34</v>
      </c>
      <c r="BU78" s="278">
        <v>0</v>
      </c>
      <c r="BV78" s="278">
        <v>0</v>
      </c>
      <c r="BW78" s="279">
        <f t="shared" si="40"/>
        <v>0</v>
      </c>
      <c r="BX78" s="11">
        <v>0</v>
      </c>
      <c r="BY78" s="278"/>
      <c r="BZ78" s="11"/>
      <c r="CA78" s="280">
        <f t="shared" si="60"/>
        <v>34</v>
      </c>
      <c r="CB78" s="277">
        <f t="shared" si="61"/>
        <v>34</v>
      </c>
      <c r="CC78" s="278">
        <v>0</v>
      </c>
      <c r="CD78" s="278">
        <v>0</v>
      </c>
      <c r="CE78" s="279">
        <f t="shared" si="41"/>
        <v>0</v>
      </c>
      <c r="CF78" s="11">
        <v>0</v>
      </c>
      <c r="CG78" s="278"/>
      <c r="CH78" s="11"/>
      <c r="CI78" s="280">
        <f t="shared" si="62"/>
        <v>34</v>
      </c>
      <c r="CJ78" s="277">
        <f t="shared" si="63"/>
        <v>34</v>
      </c>
      <c r="CK78" s="278">
        <v>0</v>
      </c>
      <c r="CL78" s="278">
        <v>0</v>
      </c>
      <c r="CM78" s="279">
        <f t="shared" si="42"/>
        <v>0</v>
      </c>
      <c r="CN78" s="11">
        <v>0</v>
      </c>
      <c r="CO78" s="278"/>
      <c r="CP78" s="277"/>
      <c r="CQ78" s="280">
        <f t="shared" si="64"/>
        <v>34</v>
      </c>
      <c r="CR78" s="277">
        <f t="shared" si="65"/>
        <v>34</v>
      </c>
      <c r="CS78" s="278">
        <v>0</v>
      </c>
      <c r="CT78" s="278">
        <v>0</v>
      </c>
      <c r="CU78" s="279">
        <f t="shared" si="43"/>
        <v>0</v>
      </c>
      <c r="CV78" s="11">
        <v>0</v>
      </c>
      <c r="CW78" s="278"/>
      <c r="CX78" s="277"/>
      <c r="CY78" s="280">
        <f t="shared" si="66"/>
        <v>34</v>
      </c>
      <c r="CZ78" s="277">
        <f t="shared" si="67"/>
        <v>34</v>
      </c>
    </row>
    <row r="79" spans="1:104" ht="17.25" customHeight="1">
      <c r="A79" s="28" t="s">
        <v>656</v>
      </c>
      <c r="B79" s="382"/>
      <c r="C79" s="27"/>
      <c r="D79" s="28" t="str">
        <f>_xlfn.XLOOKUP(A79,'ABC-XYZ분석 (2)'!C:C,'ABC-XYZ분석 (2)'!I:I)</f>
        <v>사계절</v>
      </c>
      <c r="E79" s="28" t="str">
        <f>_xlfn.XLOOKUP(A79,'ABC-XYZ분석 (2)'!C:C,'ABC-XYZ분석 (2)'!AC:AC)</f>
        <v>C</v>
      </c>
      <c r="F79" s="3" t="str">
        <f>_xlfn.XLOOKUP(A79,'ABC-XYZ분석 (2)'!C:C,'ABC-XYZ분석 (2)'!AG:AG)</f>
        <v>Y</v>
      </c>
      <c r="G79" s="14">
        <f>SUMIF(재고!C:C,PSI_메인!A79,재고!I:I)</f>
        <v>45</v>
      </c>
      <c r="H79" s="277">
        <v>5231</v>
      </c>
      <c r="I79" s="278">
        <v>0</v>
      </c>
      <c r="J79" s="278">
        <v>0</v>
      </c>
      <c r="K79" s="279">
        <v>650</v>
      </c>
      <c r="L79" s="11">
        <v>0</v>
      </c>
      <c r="M79" s="9">
        <f>SUMIFS(입항스케줄!J:J,입항스케줄!C:C,PSI_메인!A79,입항스케줄!U:U,"2601")</f>
        <v>0</v>
      </c>
      <c r="N79" s="11">
        <f>SUMIFS(입항스케줄!J:J,입항스케줄!C:C,PSI_메인!A79,입항스케줄!V:V,"2601")</f>
        <v>0</v>
      </c>
      <c r="O79" s="280">
        <f t="shared" si="44"/>
        <v>-605</v>
      </c>
      <c r="P79" s="277">
        <f t="shared" si="45"/>
        <v>45</v>
      </c>
      <c r="Q79" s="278">
        <v>0</v>
      </c>
      <c r="R79" s="278">
        <v>0</v>
      </c>
      <c r="S79" s="10">
        <v>350</v>
      </c>
      <c r="T79" s="11">
        <v>0</v>
      </c>
      <c r="U79" s="9">
        <f>SUMIFS(입항스케줄!J:J,입항스케줄!C:C,PSI_메인!A79,입항스케줄!U:U,"2602")</f>
        <v>0</v>
      </c>
      <c r="V79" s="11">
        <f>SUMIFS(입항스케줄!J:J,입항스케줄!C:C,PSI_메인!A79,입항스케줄!V:V,"2602")</f>
        <v>0</v>
      </c>
      <c r="W79" s="280">
        <f t="shared" si="46"/>
        <v>-305</v>
      </c>
      <c r="X79" s="277">
        <f t="shared" si="47"/>
        <v>45</v>
      </c>
      <c r="Y79" s="278">
        <v>0</v>
      </c>
      <c r="Z79" s="278">
        <v>0</v>
      </c>
      <c r="AA79" s="279">
        <f t="shared" si="34"/>
        <v>0</v>
      </c>
      <c r="AB79" s="11">
        <v>0</v>
      </c>
      <c r="AC79" s="9">
        <f>SUMIFS(입항스케줄!J:J,입항스케줄!C:C,PSI_메인!A79,입항스케줄!U:U,"2603")</f>
        <v>18</v>
      </c>
      <c r="AD79" s="11">
        <f>SUMIFS(입항스케줄!J:J,입항스케줄!C:C,PSI_메인!A79,입항스케줄!V:V,"2603")</f>
        <v>18</v>
      </c>
      <c r="AE79" s="280">
        <f t="shared" si="48"/>
        <v>63</v>
      </c>
      <c r="AF79" s="277">
        <f t="shared" si="49"/>
        <v>63</v>
      </c>
      <c r="AG79" s="278">
        <v>0</v>
      </c>
      <c r="AH79" s="278">
        <v>0</v>
      </c>
      <c r="AI79" s="279">
        <f t="shared" si="35"/>
        <v>0</v>
      </c>
      <c r="AJ79" s="11">
        <v>0</v>
      </c>
      <c r="AK79" s="9">
        <f>SUMIFS(입항스케줄!J:J,입항스케줄!C:C,PSI_메인!A79,입항스케줄!U:U,"2604")</f>
        <v>0</v>
      </c>
      <c r="AL79" s="11">
        <f>SUMIFS(입항스케줄!J:J,입항스케줄!C:C,PSI_메인!A79,입항스케줄!V:V,"2604")</f>
        <v>0</v>
      </c>
      <c r="AM79" s="280">
        <f t="shared" si="50"/>
        <v>45</v>
      </c>
      <c r="AN79" s="277">
        <f t="shared" si="51"/>
        <v>45</v>
      </c>
      <c r="AO79" s="278">
        <v>0</v>
      </c>
      <c r="AP79" s="278">
        <v>0</v>
      </c>
      <c r="AQ79" s="279">
        <f t="shared" si="36"/>
        <v>0</v>
      </c>
      <c r="AR79" s="11">
        <v>0</v>
      </c>
      <c r="AS79" s="9"/>
      <c r="AT79" s="277"/>
      <c r="AU79" s="280">
        <f t="shared" si="52"/>
        <v>45</v>
      </c>
      <c r="AV79" s="277">
        <f t="shared" si="53"/>
        <v>45</v>
      </c>
      <c r="AW79" s="278">
        <v>0</v>
      </c>
      <c r="AX79" s="278">
        <v>0</v>
      </c>
      <c r="AY79" s="279">
        <f t="shared" si="37"/>
        <v>0</v>
      </c>
      <c r="AZ79" s="11">
        <v>0</v>
      </c>
      <c r="BA79" s="9"/>
      <c r="BB79" s="11"/>
      <c r="BC79" s="280">
        <f t="shared" si="54"/>
        <v>45</v>
      </c>
      <c r="BD79" s="277">
        <f t="shared" si="55"/>
        <v>45</v>
      </c>
      <c r="BE79" s="278">
        <v>0</v>
      </c>
      <c r="BF79" s="278">
        <v>0</v>
      </c>
      <c r="BG79" s="279">
        <f t="shared" si="38"/>
        <v>0</v>
      </c>
      <c r="BH79" s="11">
        <v>0</v>
      </c>
      <c r="BI79" s="278"/>
      <c r="BJ79" s="11"/>
      <c r="BK79" s="280">
        <f t="shared" si="56"/>
        <v>45</v>
      </c>
      <c r="BL79" s="277">
        <f t="shared" si="57"/>
        <v>45</v>
      </c>
      <c r="BM79" s="278">
        <v>0</v>
      </c>
      <c r="BN79" s="278">
        <v>0</v>
      </c>
      <c r="BO79" s="279">
        <f t="shared" si="39"/>
        <v>0</v>
      </c>
      <c r="BP79" s="11">
        <v>0</v>
      </c>
      <c r="BQ79" s="278"/>
      <c r="BR79" s="11"/>
      <c r="BS79" s="280">
        <f t="shared" si="58"/>
        <v>45</v>
      </c>
      <c r="BT79" s="277">
        <f t="shared" si="59"/>
        <v>45</v>
      </c>
      <c r="BU79" s="278">
        <v>0</v>
      </c>
      <c r="BV79" s="278">
        <v>0</v>
      </c>
      <c r="BW79" s="279">
        <f t="shared" si="40"/>
        <v>0</v>
      </c>
      <c r="BX79" s="11">
        <v>0</v>
      </c>
      <c r="BY79" s="278"/>
      <c r="BZ79" s="11"/>
      <c r="CA79" s="280">
        <f t="shared" si="60"/>
        <v>45</v>
      </c>
      <c r="CB79" s="277">
        <f t="shared" si="61"/>
        <v>45</v>
      </c>
      <c r="CC79" s="278">
        <v>0</v>
      </c>
      <c r="CD79" s="278">
        <v>0</v>
      </c>
      <c r="CE79" s="279">
        <f t="shared" si="41"/>
        <v>0</v>
      </c>
      <c r="CF79" s="11">
        <v>0</v>
      </c>
      <c r="CG79" s="278"/>
      <c r="CH79" s="11"/>
      <c r="CI79" s="280">
        <f t="shared" si="62"/>
        <v>45</v>
      </c>
      <c r="CJ79" s="277">
        <f t="shared" si="63"/>
        <v>45</v>
      </c>
      <c r="CK79" s="278">
        <v>0</v>
      </c>
      <c r="CL79" s="278">
        <v>0</v>
      </c>
      <c r="CM79" s="279">
        <f t="shared" si="42"/>
        <v>0</v>
      </c>
      <c r="CN79" s="11">
        <v>0</v>
      </c>
      <c r="CO79" s="278"/>
      <c r="CP79" s="277"/>
      <c r="CQ79" s="280">
        <f t="shared" si="64"/>
        <v>45</v>
      </c>
      <c r="CR79" s="277">
        <f t="shared" si="65"/>
        <v>45</v>
      </c>
      <c r="CS79" s="278">
        <v>0</v>
      </c>
      <c r="CT79" s="278">
        <v>0</v>
      </c>
      <c r="CU79" s="279">
        <f t="shared" si="43"/>
        <v>0</v>
      </c>
      <c r="CV79" s="11">
        <v>0</v>
      </c>
      <c r="CW79" s="278"/>
      <c r="CX79" s="277"/>
      <c r="CY79" s="280">
        <f t="shared" si="66"/>
        <v>45</v>
      </c>
      <c r="CZ79" s="277">
        <f t="shared" si="67"/>
        <v>45</v>
      </c>
    </row>
    <row r="80" spans="1:104" ht="17.25" customHeight="1">
      <c r="A80" s="28" t="s">
        <v>657</v>
      </c>
      <c r="B80" s="382"/>
      <c r="C80" s="27"/>
      <c r="D80" s="28" t="str">
        <f>_xlfn.XLOOKUP(A80,'ABC-XYZ분석 (2)'!C:C,'ABC-XYZ분석 (2)'!I:I)</f>
        <v>사계절</v>
      </c>
      <c r="E80" s="28" t="str">
        <f>_xlfn.XLOOKUP(A80,'ABC-XYZ분석 (2)'!C:C,'ABC-XYZ분석 (2)'!AC:AC)</f>
        <v>C</v>
      </c>
      <c r="F80" s="3" t="str">
        <f>_xlfn.XLOOKUP(A80,'ABC-XYZ분석 (2)'!C:C,'ABC-XYZ분석 (2)'!AG:AG)</f>
        <v>X</v>
      </c>
      <c r="G80" s="14">
        <f>SUMIF(재고!C:C,PSI_메인!A80,재고!I:I)</f>
        <v>190</v>
      </c>
      <c r="H80" s="277">
        <v>2086</v>
      </c>
      <c r="I80" s="278">
        <v>0</v>
      </c>
      <c r="J80" s="278">
        <v>0</v>
      </c>
      <c r="K80" s="279">
        <v>2000</v>
      </c>
      <c r="L80" s="11">
        <v>0</v>
      </c>
      <c r="M80" s="9">
        <f>SUMIFS(입항스케줄!J:J,입항스케줄!C:C,PSI_메인!A80,입항스케줄!U:U,"2601")</f>
        <v>0</v>
      </c>
      <c r="N80" s="11">
        <f>SUMIFS(입항스케줄!J:J,입항스케줄!C:C,PSI_메인!A80,입항스케줄!V:V,"2601")</f>
        <v>0</v>
      </c>
      <c r="O80" s="280">
        <f t="shared" si="44"/>
        <v>-1810</v>
      </c>
      <c r="P80" s="277">
        <f t="shared" si="45"/>
        <v>190</v>
      </c>
      <c r="Q80" s="278">
        <v>0</v>
      </c>
      <c r="R80" s="278">
        <v>0</v>
      </c>
      <c r="S80" s="10">
        <v>0</v>
      </c>
      <c r="T80" s="11">
        <v>0</v>
      </c>
      <c r="U80" s="9">
        <f>SUMIFS(입항스케줄!J:J,입항스케줄!C:C,PSI_메인!A80,입항스케줄!U:U,"2602")</f>
        <v>0</v>
      </c>
      <c r="V80" s="11">
        <f>SUMIFS(입항스케줄!J:J,입항스케줄!C:C,PSI_메인!A80,입항스케줄!V:V,"2602")</f>
        <v>0</v>
      </c>
      <c r="W80" s="280">
        <f t="shared" si="46"/>
        <v>190</v>
      </c>
      <c r="X80" s="277">
        <f t="shared" si="47"/>
        <v>190</v>
      </c>
      <c r="Y80" s="278">
        <v>0</v>
      </c>
      <c r="Z80" s="278">
        <v>0</v>
      </c>
      <c r="AA80" s="279">
        <f t="shared" si="34"/>
        <v>0</v>
      </c>
      <c r="AB80" s="11">
        <v>0</v>
      </c>
      <c r="AC80" s="9">
        <f>SUMIFS(입항스케줄!J:J,입항스케줄!C:C,PSI_메인!A80,입항스케줄!U:U,"2603")</f>
        <v>0</v>
      </c>
      <c r="AD80" s="11">
        <f>SUMIFS(입항스케줄!J:J,입항스케줄!C:C,PSI_메인!A80,입항스케줄!V:V,"2603")</f>
        <v>0</v>
      </c>
      <c r="AE80" s="280">
        <f t="shared" si="48"/>
        <v>190</v>
      </c>
      <c r="AF80" s="277">
        <f t="shared" si="49"/>
        <v>190</v>
      </c>
      <c r="AG80" s="278">
        <v>0</v>
      </c>
      <c r="AH80" s="278">
        <v>0</v>
      </c>
      <c r="AI80" s="279">
        <f t="shared" si="35"/>
        <v>0</v>
      </c>
      <c r="AJ80" s="11">
        <v>0</v>
      </c>
      <c r="AK80" s="9">
        <f>SUMIFS(입항스케줄!J:J,입항스케줄!C:C,PSI_메인!A80,입항스케줄!U:U,"2604")</f>
        <v>0</v>
      </c>
      <c r="AL80" s="11">
        <f>SUMIFS(입항스케줄!J:J,입항스케줄!C:C,PSI_메인!A80,입항스케줄!V:V,"2604")</f>
        <v>0</v>
      </c>
      <c r="AM80" s="280">
        <f t="shared" si="50"/>
        <v>190</v>
      </c>
      <c r="AN80" s="277">
        <f t="shared" si="51"/>
        <v>190</v>
      </c>
      <c r="AO80" s="278">
        <v>0</v>
      </c>
      <c r="AP80" s="278">
        <v>0</v>
      </c>
      <c r="AQ80" s="279">
        <f t="shared" si="36"/>
        <v>0</v>
      </c>
      <c r="AR80" s="11">
        <v>0</v>
      </c>
      <c r="AS80" s="9"/>
      <c r="AT80" s="277"/>
      <c r="AU80" s="280">
        <f t="shared" si="52"/>
        <v>190</v>
      </c>
      <c r="AV80" s="277">
        <f t="shared" si="53"/>
        <v>190</v>
      </c>
      <c r="AW80" s="278">
        <v>0</v>
      </c>
      <c r="AX80" s="278">
        <v>0</v>
      </c>
      <c r="AY80" s="279">
        <f t="shared" si="37"/>
        <v>0</v>
      </c>
      <c r="AZ80" s="11">
        <v>0</v>
      </c>
      <c r="BA80" s="9"/>
      <c r="BB80" s="11"/>
      <c r="BC80" s="280">
        <f t="shared" si="54"/>
        <v>190</v>
      </c>
      <c r="BD80" s="277">
        <f t="shared" si="55"/>
        <v>190</v>
      </c>
      <c r="BE80" s="278">
        <v>0</v>
      </c>
      <c r="BF80" s="278">
        <v>0</v>
      </c>
      <c r="BG80" s="279">
        <f t="shared" si="38"/>
        <v>0</v>
      </c>
      <c r="BH80" s="11">
        <v>0</v>
      </c>
      <c r="BI80" s="278"/>
      <c r="BJ80" s="11"/>
      <c r="BK80" s="280">
        <f t="shared" si="56"/>
        <v>190</v>
      </c>
      <c r="BL80" s="277">
        <f t="shared" si="57"/>
        <v>190</v>
      </c>
      <c r="BM80" s="278">
        <v>0</v>
      </c>
      <c r="BN80" s="278">
        <v>0</v>
      </c>
      <c r="BO80" s="279">
        <f t="shared" si="39"/>
        <v>0</v>
      </c>
      <c r="BP80" s="11">
        <v>0</v>
      </c>
      <c r="BQ80" s="278"/>
      <c r="BR80" s="11"/>
      <c r="BS80" s="280">
        <f t="shared" si="58"/>
        <v>190</v>
      </c>
      <c r="BT80" s="277">
        <f t="shared" si="59"/>
        <v>190</v>
      </c>
      <c r="BU80" s="278">
        <v>0</v>
      </c>
      <c r="BV80" s="278">
        <v>0</v>
      </c>
      <c r="BW80" s="279">
        <f t="shared" si="40"/>
        <v>0</v>
      </c>
      <c r="BX80" s="11">
        <v>0</v>
      </c>
      <c r="BY80" s="278"/>
      <c r="BZ80" s="11"/>
      <c r="CA80" s="280">
        <f t="shared" si="60"/>
        <v>190</v>
      </c>
      <c r="CB80" s="277">
        <f t="shared" si="61"/>
        <v>190</v>
      </c>
      <c r="CC80" s="278">
        <v>0</v>
      </c>
      <c r="CD80" s="278">
        <v>0</v>
      </c>
      <c r="CE80" s="279">
        <f t="shared" si="41"/>
        <v>0</v>
      </c>
      <c r="CF80" s="11">
        <v>0</v>
      </c>
      <c r="CG80" s="278"/>
      <c r="CH80" s="11"/>
      <c r="CI80" s="280">
        <f t="shared" si="62"/>
        <v>190</v>
      </c>
      <c r="CJ80" s="277">
        <f t="shared" si="63"/>
        <v>190</v>
      </c>
      <c r="CK80" s="278">
        <v>0</v>
      </c>
      <c r="CL80" s="278">
        <v>0</v>
      </c>
      <c r="CM80" s="279">
        <f t="shared" si="42"/>
        <v>0</v>
      </c>
      <c r="CN80" s="11">
        <v>0</v>
      </c>
      <c r="CO80" s="278"/>
      <c r="CP80" s="277"/>
      <c r="CQ80" s="280">
        <f t="shared" si="64"/>
        <v>190</v>
      </c>
      <c r="CR80" s="277">
        <f t="shared" si="65"/>
        <v>190</v>
      </c>
      <c r="CS80" s="278">
        <v>0</v>
      </c>
      <c r="CT80" s="278">
        <v>0</v>
      </c>
      <c r="CU80" s="279">
        <f t="shared" si="43"/>
        <v>0</v>
      </c>
      <c r="CV80" s="11">
        <v>0</v>
      </c>
      <c r="CW80" s="278"/>
      <c r="CX80" s="277"/>
      <c r="CY80" s="280">
        <f t="shared" si="66"/>
        <v>190</v>
      </c>
      <c r="CZ80" s="277">
        <f t="shared" si="67"/>
        <v>190</v>
      </c>
    </row>
    <row r="81" spans="1:104" ht="17.25" customHeight="1">
      <c r="A81" s="28" t="s">
        <v>658</v>
      </c>
      <c r="B81" s="382"/>
      <c r="C81" s="27"/>
      <c r="D81" s="28" t="str">
        <f>_xlfn.XLOOKUP(A81,'ABC-XYZ분석 (2)'!C:C,'ABC-XYZ분석 (2)'!I:I)</f>
        <v>사계절</v>
      </c>
      <c r="E81" s="28" t="str">
        <f>_xlfn.XLOOKUP(A81,'ABC-XYZ분석 (2)'!C:C,'ABC-XYZ분석 (2)'!AC:AC)</f>
        <v>C</v>
      </c>
      <c r="F81" s="3" t="str">
        <f>_xlfn.XLOOKUP(A81,'ABC-XYZ분석 (2)'!C:C,'ABC-XYZ분석 (2)'!AG:AG)</f>
        <v>X</v>
      </c>
      <c r="G81" s="14">
        <f>SUMIF(재고!C:C,PSI_메인!A81,재고!I:I)</f>
        <v>37</v>
      </c>
      <c r="H81" s="277">
        <v>191</v>
      </c>
      <c r="I81" s="278">
        <v>0</v>
      </c>
      <c r="J81" s="278">
        <v>0</v>
      </c>
      <c r="K81" s="279">
        <v>0</v>
      </c>
      <c r="L81" s="11">
        <v>0</v>
      </c>
      <c r="M81" s="9">
        <f>SUMIFS(입항스케줄!J:J,입항스케줄!C:C,PSI_메인!A81,입항스케줄!U:U,"2601")</f>
        <v>175</v>
      </c>
      <c r="N81" s="11">
        <f>SUMIFS(입항스케줄!J:J,입항스케줄!C:C,PSI_메인!A81,입항스케줄!V:V,"2601")</f>
        <v>175</v>
      </c>
      <c r="O81" s="280">
        <f t="shared" si="44"/>
        <v>212</v>
      </c>
      <c r="P81" s="277">
        <f t="shared" si="45"/>
        <v>212</v>
      </c>
      <c r="Q81" s="278">
        <v>0</v>
      </c>
      <c r="R81" s="278">
        <v>0</v>
      </c>
      <c r="S81" s="10">
        <v>0</v>
      </c>
      <c r="T81" s="11">
        <v>0</v>
      </c>
      <c r="U81" s="9">
        <f>SUMIFS(입항스케줄!J:J,입항스케줄!C:C,PSI_메인!A81,입항스케줄!U:U,"2602")</f>
        <v>208</v>
      </c>
      <c r="V81" s="11">
        <f>SUMIFS(입항스케줄!J:J,입항스케줄!C:C,PSI_메인!A81,입항스케줄!V:V,"2602")</f>
        <v>136</v>
      </c>
      <c r="W81" s="280">
        <f t="shared" si="46"/>
        <v>245</v>
      </c>
      <c r="X81" s="277">
        <f t="shared" si="47"/>
        <v>173</v>
      </c>
      <c r="Y81" s="278">
        <v>0</v>
      </c>
      <c r="Z81" s="278">
        <v>0</v>
      </c>
      <c r="AA81" s="279">
        <f t="shared" si="34"/>
        <v>0</v>
      </c>
      <c r="AB81" s="11">
        <v>0</v>
      </c>
      <c r="AC81" s="9">
        <f>SUMIFS(입항스케줄!J:J,입항스케줄!C:C,PSI_메인!A81,입항스케줄!U:U,"2603")</f>
        <v>0</v>
      </c>
      <c r="AD81" s="11">
        <f>SUMIFS(입항스케줄!J:J,입항스케줄!C:C,PSI_메인!A81,입항스케줄!V:V,"2603")</f>
        <v>0</v>
      </c>
      <c r="AE81" s="280">
        <f t="shared" si="48"/>
        <v>37</v>
      </c>
      <c r="AF81" s="277">
        <f t="shared" si="49"/>
        <v>37</v>
      </c>
      <c r="AG81" s="278">
        <v>0</v>
      </c>
      <c r="AH81" s="278">
        <v>0</v>
      </c>
      <c r="AI81" s="279">
        <f t="shared" si="35"/>
        <v>0</v>
      </c>
      <c r="AJ81" s="11">
        <v>0</v>
      </c>
      <c r="AK81" s="9">
        <f>SUMIFS(입항스케줄!J:J,입항스케줄!C:C,PSI_메인!A81,입항스케줄!U:U,"2604")</f>
        <v>0</v>
      </c>
      <c r="AL81" s="11">
        <f>SUMIFS(입항스케줄!J:J,입항스케줄!C:C,PSI_메인!A81,입항스케줄!V:V,"2604")</f>
        <v>72</v>
      </c>
      <c r="AM81" s="280">
        <f t="shared" si="50"/>
        <v>37</v>
      </c>
      <c r="AN81" s="277">
        <f t="shared" si="51"/>
        <v>109</v>
      </c>
      <c r="AO81" s="278">
        <v>0</v>
      </c>
      <c r="AP81" s="278">
        <v>0</v>
      </c>
      <c r="AQ81" s="279">
        <f t="shared" si="36"/>
        <v>0</v>
      </c>
      <c r="AR81" s="11">
        <v>0</v>
      </c>
      <c r="AS81" s="9"/>
      <c r="AT81" s="277"/>
      <c r="AU81" s="280">
        <f t="shared" si="52"/>
        <v>37</v>
      </c>
      <c r="AV81" s="277">
        <f t="shared" si="53"/>
        <v>37</v>
      </c>
      <c r="AW81" s="278">
        <v>0</v>
      </c>
      <c r="AX81" s="278">
        <v>0</v>
      </c>
      <c r="AY81" s="279">
        <f t="shared" si="37"/>
        <v>0</v>
      </c>
      <c r="AZ81" s="11">
        <v>0</v>
      </c>
      <c r="BA81" s="9"/>
      <c r="BB81" s="11"/>
      <c r="BC81" s="280">
        <f t="shared" si="54"/>
        <v>37</v>
      </c>
      <c r="BD81" s="277">
        <f t="shared" si="55"/>
        <v>37</v>
      </c>
      <c r="BE81" s="278">
        <v>0</v>
      </c>
      <c r="BF81" s="278">
        <v>0</v>
      </c>
      <c r="BG81" s="279">
        <f t="shared" si="38"/>
        <v>0</v>
      </c>
      <c r="BH81" s="11">
        <v>0</v>
      </c>
      <c r="BI81" s="278"/>
      <c r="BJ81" s="11"/>
      <c r="BK81" s="280">
        <f t="shared" si="56"/>
        <v>37</v>
      </c>
      <c r="BL81" s="277">
        <f t="shared" si="57"/>
        <v>37</v>
      </c>
      <c r="BM81" s="278">
        <v>0</v>
      </c>
      <c r="BN81" s="278">
        <v>0</v>
      </c>
      <c r="BO81" s="279">
        <f t="shared" si="39"/>
        <v>0</v>
      </c>
      <c r="BP81" s="11">
        <v>0</v>
      </c>
      <c r="BQ81" s="278"/>
      <c r="BR81" s="11"/>
      <c r="BS81" s="280">
        <f t="shared" si="58"/>
        <v>37</v>
      </c>
      <c r="BT81" s="277">
        <f t="shared" si="59"/>
        <v>37</v>
      </c>
      <c r="BU81" s="278">
        <v>0</v>
      </c>
      <c r="BV81" s="278">
        <v>0</v>
      </c>
      <c r="BW81" s="279">
        <f t="shared" si="40"/>
        <v>0</v>
      </c>
      <c r="BX81" s="11">
        <v>0</v>
      </c>
      <c r="BY81" s="278"/>
      <c r="BZ81" s="11"/>
      <c r="CA81" s="280">
        <f t="shared" si="60"/>
        <v>37</v>
      </c>
      <c r="CB81" s="277">
        <f t="shared" si="61"/>
        <v>37</v>
      </c>
      <c r="CC81" s="278">
        <v>0</v>
      </c>
      <c r="CD81" s="278">
        <v>0</v>
      </c>
      <c r="CE81" s="279">
        <f t="shared" si="41"/>
        <v>0</v>
      </c>
      <c r="CF81" s="11">
        <v>0</v>
      </c>
      <c r="CG81" s="278"/>
      <c r="CH81" s="11"/>
      <c r="CI81" s="280">
        <f t="shared" si="62"/>
        <v>37</v>
      </c>
      <c r="CJ81" s="277">
        <f t="shared" si="63"/>
        <v>37</v>
      </c>
      <c r="CK81" s="278">
        <v>0</v>
      </c>
      <c r="CL81" s="278">
        <v>0</v>
      </c>
      <c r="CM81" s="279">
        <f t="shared" si="42"/>
        <v>0</v>
      </c>
      <c r="CN81" s="11">
        <v>0</v>
      </c>
      <c r="CO81" s="278"/>
      <c r="CP81" s="277"/>
      <c r="CQ81" s="280">
        <f t="shared" si="64"/>
        <v>37</v>
      </c>
      <c r="CR81" s="277">
        <f t="shared" si="65"/>
        <v>37</v>
      </c>
      <c r="CS81" s="278">
        <v>0</v>
      </c>
      <c r="CT81" s="278">
        <v>0</v>
      </c>
      <c r="CU81" s="279">
        <f t="shared" si="43"/>
        <v>0</v>
      </c>
      <c r="CV81" s="11">
        <v>0</v>
      </c>
      <c r="CW81" s="278"/>
      <c r="CX81" s="277"/>
      <c r="CY81" s="280">
        <f t="shared" si="66"/>
        <v>37</v>
      </c>
      <c r="CZ81" s="277">
        <f t="shared" si="67"/>
        <v>37</v>
      </c>
    </row>
    <row r="82" spans="1:104" ht="17.25" customHeight="1">
      <c r="A82" s="28" t="s">
        <v>659</v>
      </c>
      <c r="B82" s="382"/>
      <c r="C82" s="27"/>
      <c r="D82" s="28" t="str">
        <f>_xlfn.XLOOKUP(A82,'ABC-XYZ분석 (2)'!C:C,'ABC-XYZ분석 (2)'!I:I)</f>
        <v>사계절</v>
      </c>
      <c r="E82" s="28" t="str">
        <f>_xlfn.XLOOKUP(A82,'ABC-XYZ분석 (2)'!C:C,'ABC-XYZ분석 (2)'!AC:AC)</f>
        <v>C</v>
      </c>
      <c r="F82" s="3" t="str">
        <f>_xlfn.XLOOKUP(A82,'ABC-XYZ분석 (2)'!C:C,'ABC-XYZ분석 (2)'!AG:AG)</f>
        <v>Y</v>
      </c>
      <c r="G82" s="14">
        <f>SUMIF(재고!C:C,PSI_메인!A82,재고!I:I)</f>
        <v>2</v>
      </c>
      <c r="H82" s="277">
        <v>7261</v>
      </c>
      <c r="I82" s="278">
        <v>0</v>
      </c>
      <c r="J82" s="278">
        <v>0</v>
      </c>
      <c r="K82" s="279">
        <v>0</v>
      </c>
      <c r="L82" s="11">
        <v>0</v>
      </c>
      <c r="M82" s="9">
        <f>SUMIFS(입항스케줄!J:J,입항스케줄!C:C,PSI_메인!A82,입항스케줄!U:U,"2601")</f>
        <v>0</v>
      </c>
      <c r="N82" s="11">
        <f>SUMIFS(입항스케줄!J:J,입항스케줄!C:C,PSI_메인!A82,입항스케줄!V:V,"2601")</f>
        <v>0</v>
      </c>
      <c r="O82" s="280">
        <f t="shared" si="44"/>
        <v>2</v>
      </c>
      <c r="P82" s="277">
        <f t="shared" si="45"/>
        <v>2</v>
      </c>
      <c r="Q82" s="278">
        <v>0</v>
      </c>
      <c r="R82" s="278">
        <v>0</v>
      </c>
      <c r="S82" s="10">
        <v>0</v>
      </c>
      <c r="T82" s="11">
        <v>0</v>
      </c>
      <c r="U82" s="9">
        <f>SUMIFS(입항스케줄!J:J,입항스케줄!C:C,PSI_메인!A82,입항스케줄!U:U,"2602")</f>
        <v>0</v>
      </c>
      <c r="V82" s="11">
        <f>SUMIFS(입항스케줄!J:J,입항스케줄!C:C,PSI_메인!A82,입항스케줄!V:V,"2602")</f>
        <v>0</v>
      </c>
      <c r="W82" s="280">
        <f t="shared" si="46"/>
        <v>2</v>
      </c>
      <c r="X82" s="277">
        <f t="shared" si="47"/>
        <v>2</v>
      </c>
      <c r="Y82" s="278">
        <v>0</v>
      </c>
      <c r="Z82" s="278">
        <v>0</v>
      </c>
      <c r="AA82" s="279">
        <f t="shared" si="34"/>
        <v>0</v>
      </c>
      <c r="AB82" s="11">
        <v>0</v>
      </c>
      <c r="AC82" s="9">
        <f>SUMIFS(입항스케줄!J:J,입항스케줄!C:C,PSI_메인!A82,입항스케줄!U:U,"2603")</f>
        <v>0</v>
      </c>
      <c r="AD82" s="11">
        <f>SUMIFS(입항스케줄!J:J,입항스케줄!C:C,PSI_메인!A82,입항스케줄!V:V,"2603")</f>
        <v>0</v>
      </c>
      <c r="AE82" s="280">
        <f t="shared" si="48"/>
        <v>2</v>
      </c>
      <c r="AF82" s="277">
        <f t="shared" si="49"/>
        <v>2</v>
      </c>
      <c r="AG82" s="278">
        <v>0</v>
      </c>
      <c r="AH82" s="278">
        <v>0</v>
      </c>
      <c r="AI82" s="279">
        <f t="shared" si="35"/>
        <v>0</v>
      </c>
      <c r="AJ82" s="11">
        <v>0</v>
      </c>
      <c r="AK82" s="9">
        <f>SUMIFS(입항스케줄!J:J,입항스케줄!C:C,PSI_메인!A82,입항스케줄!U:U,"2604")</f>
        <v>0</v>
      </c>
      <c r="AL82" s="11">
        <f>SUMIFS(입항스케줄!J:J,입항스케줄!C:C,PSI_메인!A82,입항스케줄!V:V,"2604")</f>
        <v>0</v>
      </c>
      <c r="AM82" s="280">
        <f t="shared" si="50"/>
        <v>2</v>
      </c>
      <c r="AN82" s="277">
        <f t="shared" si="51"/>
        <v>2</v>
      </c>
      <c r="AO82" s="278">
        <v>0</v>
      </c>
      <c r="AP82" s="278">
        <v>0</v>
      </c>
      <c r="AQ82" s="279">
        <f t="shared" si="36"/>
        <v>0</v>
      </c>
      <c r="AR82" s="11">
        <v>0</v>
      </c>
      <c r="AS82" s="9"/>
      <c r="AT82" s="277"/>
      <c r="AU82" s="280">
        <f t="shared" si="52"/>
        <v>2</v>
      </c>
      <c r="AV82" s="277">
        <f t="shared" si="53"/>
        <v>2</v>
      </c>
      <c r="AW82" s="278">
        <v>0</v>
      </c>
      <c r="AX82" s="278">
        <v>0</v>
      </c>
      <c r="AY82" s="279">
        <f t="shared" si="37"/>
        <v>0</v>
      </c>
      <c r="AZ82" s="11">
        <v>0</v>
      </c>
      <c r="BA82" s="9"/>
      <c r="BB82" s="11"/>
      <c r="BC82" s="280">
        <f t="shared" si="54"/>
        <v>2</v>
      </c>
      <c r="BD82" s="277">
        <f t="shared" si="55"/>
        <v>2</v>
      </c>
      <c r="BE82" s="278">
        <v>0</v>
      </c>
      <c r="BF82" s="278">
        <v>0</v>
      </c>
      <c r="BG82" s="279">
        <f t="shared" si="38"/>
        <v>0</v>
      </c>
      <c r="BH82" s="11">
        <v>0</v>
      </c>
      <c r="BI82" s="278"/>
      <c r="BJ82" s="11"/>
      <c r="BK82" s="280">
        <f t="shared" si="56"/>
        <v>2</v>
      </c>
      <c r="BL82" s="277">
        <f t="shared" si="57"/>
        <v>2</v>
      </c>
      <c r="BM82" s="278">
        <v>0</v>
      </c>
      <c r="BN82" s="278">
        <v>0</v>
      </c>
      <c r="BO82" s="279">
        <f t="shared" si="39"/>
        <v>0</v>
      </c>
      <c r="BP82" s="11">
        <v>0</v>
      </c>
      <c r="BQ82" s="278"/>
      <c r="BR82" s="11"/>
      <c r="BS82" s="280">
        <f t="shared" si="58"/>
        <v>2</v>
      </c>
      <c r="BT82" s="277">
        <f t="shared" si="59"/>
        <v>2</v>
      </c>
      <c r="BU82" s="278">
        <v>0</v>
      </c>
      <c r="BV82" s="278">
        <v>0</v>
      </c>
      <c r="BW82" s="279">
        <f t="shared" si="40"/>
        <v>0</v>
      </c>
      <c r="BX82" s="11">
        <v>0</v>
      </c>
      <c r="BY82" s="278"/>
      <c r="BZ82" s="11"/>
      <c r="CA82" s="280">
        <f t="shared" si="60"/>
        <v>2</v>
      </c>
      <c r="CB82" s="277">
        <f t="shared" si="61"/>
        <v>2</v>
      </c>
      <c r="CC82" s="278">
        <v>0</v>
      </c>
      <c r="CD82" s="278">
        <v>0</v>
      </c>
      <c r="CE82" s="279">
        <f t="shared" si="41"/>
        <v>0</v>
      </c>
      <c r="CF82" s="11">
        <v>0</v>
      </c>
      <c r="CG82" s="278"/>
      <c r="CH82" s="11"/>
      <c r="CI82" s="280">
        <f t="shared" si="62"/>
        <v>2</v>
      </c>
      <c r="CJ82" s="277">
        <f t="shared" si="63"/>
        <v>2</v>
      </c>
      <c r="CK82" s="278">
        <v>0</v>
      </c>
      <c r="CL82" s="278">
        <v>0</v>
      </c>
      <c r="CM82" s="279">
        <f t="shared" si="42"/>
        <v>0</v>
      </c>
      <c r="CN82" s="11">
        <v>0</v>
      </c>
      <c r="CO82" s="278"/>
      <c r="CP82" s="277"/>
      <c r="CQ82" s="280">
        <f t="shared" si="64"/>
        <v>2</v>
      </c>
      <c r="CR82" s="277">
        <f t="shared" si="65"/>
        <v>2</v>
      </c>
      <c r="CS82" s="278">
        <v>0</v>
      </c>
      <c r="CT82" s="278">
        <v>0</v>
      </c>
      <c r="CU82" s="279">
        <f t="shared" si="43"/>
        <v>0</v>
      </c>
      <c r="CV82" s="11">
        <v>0</v>
      </c>
      <c r="CW82" s="278"/>
      <c r="CX82" s="277"/>
      <c r="CY82" s="280">
        <f t="shared" si="66"/>
        <v>2</v>
      </c>
      <c r="CZ82" s="277">
        <f t="shared" si="67"/>
        <v>2</v>
      </c>
    </row>
    <row r="83" spans="1:104" ht="17.25" customHeight="1">
      <c r="A83" s="28" t="s">
        <v>660</v>
      </c>
      <c r="B83" s="382"/>
      <c r="C83" s="27"/>
      <c r="D83" s="28" t="str">
        <f>_xlfn.XLOOKUP(A83,'ABC-XYZ분석 (2)'!C:C,'ABC-XYZ분석 (2)'!I:I)</f>
        <v>사계절</v>
      </c>
      <c r="E83" s="28" t="str">
        <f>_xlfn.XLOOKUP(A83,'ABC-XYZ분석 (2)'!C:C,'ABC-XYZ분석 (2)'!AC:AC)</f>
        <v>C</v>
      </c>
      <c r="F83" s="3" t="str">
        <f>_xlfn.XLOOKUP(A83,'ABC-XYZ분석 (2)'!C:C,'ABC-XYZ분석 (2)'!AG:AG)</f>
        <v>Z</v>
      </c>
      <c r="G83" s="14">
        <f>SUMIF(재고!C:C,PSI_메인!A83,재고!I:I)</f>
        <v>0</v>
      </c>
      <c r="H83" s="277">
        <v>708</v>
      </c>
      <c r="I83" s="278">
        <v>0</v>
      </c>
      <c r="J83" s="278">
        <v>0</v>
      </c>
      <c r="K83" s="279">
        <v>0</v>
      </c>
      <c r="L83" s="11">
        <v>0</v>
      </c>
      <c r="M83" s="9">
        <f>SUMIFS(입항스케줄!J:J,입항스케줄!C:C,PSI_메인!A83,입항스케줄!U:U,"2601")</f>
        <v>0</v>
      </c>
      <c r="N83" s="11">
        <f>SUMIFS(입항스케줄!J:J,입항스케줄!C:C,PSI_메인!A83,입항스케줄!V:V,"2601")</f>
        <v>0</v>
      </c>
      <c r="O83" s="280">
        <f t="shared" si="44"/>
        <v>0</v>
      </c>
      <c r="P83" s="277">
        <f t="shared" si="45"/>
        <v>0</v>
      </c>
      <c r="Q83" s="278">
        <v>0</v>
      </c>
      <c r="R83" s="278">
        <v>0</v>
      </c>
      <c r="S83" s="10">
        <v>0</v>
      </c>
      <c r="T83" s="11">
        <v>0</v>
      </c>
      <c r="U83" s="9">
        <f>SUMIFS(입항스케줄!J:J,입항스케줄!C:C,PSI_메인!A83,입항스케줄!U:U,"2602")</f>
        <v>0</v>
      </c>
      <c r="V83" s="11">
        <f>SUMIFS(입항스케줄!J:J,입항스케줄!C:C,PSI_메인!A83,입항스케줄!V:V,"2602")</f>
        <v>0</v>
      </c>
      <c r="W83" s="280">
        <f t="shared" si="46"/>
        <v>0</v>
      </c>
      <c r="X83" s="277">
        <f t="shared" si="47"/>
        <v>0</v>
      </c>
      <c r="Y83" s="278">
        <v>0</v>
      </c>
      <c r="Z83" s="278">
        <v>0</v>
      </c>
      <c r="AA83" s="279">
        <f t="shared" si="34"/>
        <v>0</v>
      </c>
      <c r="AB83" s="11">
        <v>0</v>
      </c>
      <c r="AC83" s="9">
        <f>SUMIFS(입항스케줄!J:J,입항스케줄!C:C,PSI_메인!A83,입항스케줄!U:U,"2603")</f>
        <v>0</v>
      </c>
      <c r="AD83" s="11">
        <f>SUMIFS(입항스케줄!J:J,입항스케줄!C:C,PSI_메인!A83,입항스케줄!V:V,"2603")</f>
        <v>0</v>
      </c>
      <c r="AE83" s="280">
        <f t="shared" si="48"/>
        <v>0</v>
      </c>
      <c r="AF83" s="277">
        <f t="shared" si="49"/>
        <v>0</v>
      </c>
      <c r="AG83" s="278">
        <v>0</v>
      </c>
      <c r="AH83" s="278">
        <v>0</v>
      </c>
      <c r="AI83" s="279">
        <f t="shared" si="35"/>
        <v>0</v>
      </c>
      <c r="AJ83" s="11">
        <v>0</v>
      </c>
      <c r="AK83" s="9">
        <f>SUMIFS(입항스케줄!J:J,입항스케줄!C:C,PSI_메인!A83,입항스케줄!U:U,"2604")</f>
        <v>0</v>
      </c>
      <c r="AL83" s="11">
        <f>SUMIFS(입항스케줄!J:J,입항스케줄!C:C,PSI_메인!A83,입항스케줄!V:V,"2604")</f>
        <v>0</v>
      </c>
      <c r="AM83" s="280">
        <f t="shared" si="50"/>
        <v>0</v>
      </c>
      <c r="AN83" s="277">
        <f t="shared" si="51"/>
        <v>0</v>
      </c>
      <c r="AO83" s="278">
        <v>0</v>
      </c>
      <c r="AP83" s="278">
        <v>0</v>
      </c>
      <c r="AQ83" s="279">
        <f t="shared" si="36"/>
        <v>0</v>
      </c>
      <c r="AR83" s="11">
        <v>0</v>
      </c>
      <c r="AS83" s="9"/>
      <c r="AT83" s="277"/>
      <c r="AU83" s="280">
        <f t="shared" si="52"/>
        <v>0</v>
      </c>
      <c r="AV83" s="277">
        <f t="shared" si="53"/>
        <v>0</v>
      </c>
      <c r="AW83" s="278">
        <v>0</v>
      </c>
      <c r="AX83" s="278">
        <v>0</v>
      </c>
      <c r="AY83" s="279">
        <f t="shared" si="37"/>
        <v>0</v>
      </c>
      <c r="AZ83" s="11">
        <v>0</v>
      </c>
      <c r="BA83" s="9"/>
      <c r="BB83" s="11"/>
      <c r="BC83" s="280">
        <f t="shared" si="54"/>
        <v>0</v>
      </c>
      <c r="BD83" s="277">
        <f t="shared" si="55"/>
        <v>0</v>
      </c>
      <c r="BE83" s="278">
        <v>0</v>
      </c>
      <c r="BF83" s="278">
        <v>0</v>
      </c>
      <c r="BG83" s="279">
        <f t="shared" si="38"/>
        <v>0</v>
      </c>
      <c r="BH83" s="11">
        <v>0</v>
      </c>
      <c r="BI83" s="278"/>
      <c r="BJ83" s="11"/>
      <c r="BK83" s="280">
        <f t="shared" si="56"/>
        <v>0</v>
      </c>
      <c r="BL83" s="277">
        <f t="shared" si="57"/>
        <v>0</v>
      </c>
      <c r="BM83" s="278">
        <v>0</v>
      </c>
      <c r="BN83" s="278">
        <v>0</v>
      </c>
      <c r="BO83" s="279">
        <f t="shared" si="39"/>
        <v>0</v>
      </c>
      <c r="BP83" s="11">
        <v>0</v>
      </c>
      <c r="BQ83" s="278"/>
      <c r="BR83" s="11"/>
      <c r="BS83" s="280">
        <f t="shared" si="58"/>
        <v>0</v>
      </c>
      <c r="BT83" s="277">
        <f t="shared" si="59"/>
        <v>0</v>
      </c>
      <c r="BU83" s="278">
        <v>0</v>
      </c>
      <c r="BV83" s="278">
        <v>0</v>
      </c>
      <c r="BW83" s="279">
        <f t="shared" si="40"/>
        <v>0</v>
      </c>
      <c r="BX83" s="11">
        <v>0</v>
      </c>
      <c r="BY83" s="278"/>
      <c r="BZ83" s="11"/>
      <c r="CA83" s="280">
        <f t="shared" si="60"/>
        <v>0</v>
      </c>
      <c r="CB83" s="277">
        <f t="shared" si="61"/>
        <v>0</v>
      </c>
      <c r="CC83" s="278">
        <v>0</v>
      </c>
      <c r="CD83" s="278">
        <v>0</v>
      </c>
      <c r="CE83" s="279">
        <f t="shared" si="41"/>
        <v>0</v>
      </c>
      <c r="CF83" s="11">
        <v>0</v>
      </c>
      <c r="CG83" s="278"/>
      <c r="CH83" s="11"/>
      <c r="CI83" s="280">
        <f t="shared" si="62"/>
        <v>0</v>
      </c>
      <c r="CJ83" s="277">
        <f t="shared" si="63"/>
        <v>0</v>
      </c>
      <c r="CK83" s="278">
        <v>0</v>
      </c>
      <c r="CL83" s="278">
        <v>0</v>
      </c>
      <c r="CM83" s="279">
        <f t="shared" si="42"/>
        <v>0</v>
      </c>
      <c r="CN83" s="11">
        <v>0</v>
      </c>
      <c r="CO83" s="278"/>
      <c r="CP83" s="277"/>
      <c r="CQ83" s="280">
        <f t="shared" si="64"/>
        <v>0</v>
      </c>
      <c r="CR83" s="277">
        <f t="shared" si="65"/>
        <v>0</v>
      </c>
      <c r="CS83" s="278">
        <v>0</v>
      </c>
      <c r="CT83" s="278">
        <v>0</v>
      </c>
      <c r="CU83" s="279">
        <f t="shared" si="43"/>
        <v>0</v>
      </c>
      <c r="CV83" s="11">
        <v>0</v>
      </c>
      <c r="CW83" s="278"/>
      <c r="CX83" s="277"/>
      <c r="CY83" s="280">
        <f t="shared" si="66"/>
        <v>0</v>
      </c>
      <c r="CZ83" s="277">
        <f t="shared" si="67"/>
        <v>0</v>
      </c>
    </row>
    <row r="84" spans="1:104" ht="17.25" customHeight="1">
      <c r="A84" s="28" t="s">
        <v>661</v>
      </c>
      <c r="B84" s="382"/>
      <c r="C84" s="27"/>
      <c r="D84" s="28" t="str">
        <f>_xlfn.XLOOKUP(A84,'ABC-XYZ분석 (2)'!C:C,'ABC-XYZ분석 (2)'!I:I)</f>
        <v>사계절</v>
      </c>
      <c r="E84" s="28" t="str">
        <f>_xlfn.XLOOKUP(A84,'ABC-XYZ분석 (2)'!C:C,'ABC-XYZ분석 (2)'!AC:AC)</f>
        <v>C</v>
      </c>
      <c r="F84" s="3" t="str">
        <f>_xlfn.XLOOKUP(A84,'ABC-XYZ분석 (2)'!C:C,'ABC-XYZ분석 (2)'!AG:AG)</f>
        <v>Y</v>
      </c>
      <c r="G84" s="14">
        <f>SUMIF(재고!C:C,PSI_메인!A84,재고!I:I)</f>
        <v>1</v>
      </c>
      <c r="H84" s="277">
        <v>838</v>
      </c>
      <c r="I84" s="278">
        <v>0</v>
      </c>
      <c r="J84" s="278">
        <v>0</v>
      </c>
      <c r="K84" s="279">
        <v>450</v>
      </c>
      <c r="L84" s="11">
        <v>0</v>
      </c>
      <c r="M84" s="9">
        <f>SUMIFS(입항스케줄!J:J,입항스케줄!C:C,PSI_메인!A84,입항스케줄!U:U,"2601")</f>
        <v>0</v>
      </c>
      <c r="N84" s="11">
        <f>SUMIFS(입항스케줄!J:J,입항스케줄!C:C,PSI_메인!A84,입항스케줄!V:V,"2601")</f>
        <v>0</v>
      </c>
      <c r="O84" s="280">
        <f t="shared" si="44"/>
        <v>-449</v>
      </c>
      <c r="P84" s="277">
        <f t="shared" si="45"/>
        <v>1</v>
      </c>
      <c r="Q84" s="278">
        <v>0</v>
      </c>
      <c r="R84" s="278">
        <v>0</v>
      </c>
      <c r="S84" s="10">
        <v>300</v>
      </c>
      <c r="T84" s="11">
        <v>0</v>
      </c>
      <c r="U84" s="9">
        <f>SUMIFS(입항스케줄!J:J,입항스케줄!C:C,PSI_메인!A84,입항스케줄!U:U,"2602")</f>
        <v>0</v>
      </c>
      <c r="V84" s="11">
        <f>SUMIFS(입항스케줄!J:J,입항스케줄!C:C,PSI_메인!A84,입항스케줄!V:V,"2602")</f>
        <v>0</v>
      </c>
      <c r="W84" s="280">
        <f t="shared" si="46"/>
        <v>-299</v>
      </c>
      <c r="X84" s="277">
        <f t="shared" si="47"/>
        <v>1</v>
      </c>
      <c r="Y84" s="278">
        <v>0</v>
      </c>
      <c r="Z84" s="278">
        <v>0</v>
      </c>
      <c r="AA84" s="279">
        <f t="shared" si="34"/>
        <v>0</v>
      </c>
      <c r="AB84" s="11">
        <v>0</v>
      </c>
      <c r="AC84" s="9">
        <f>SUMIFS(입항스케줄!J:J,입항스케줄!C:C,PSI_메인!A84,입항스케줄!U:U,"2603")</f>
        <v>0</v>
      </c>
      <c r="AD84" s="11">
        <f>SUMIFS(입항스케줄!J:J,입항스케줄!C:C,PSI_메인!A84,입항스케줄!V:V,"2603")</f>
        <v>0</v>
      </c>
      <c r="AE84" s="280">
        <f t="shared" si="48"/>
        <v>1</v>
      </c>
      <c r="AF84" s="277">
        <f t="shared" si="49"/>
        <v>1</v>
      </c>
      <c r="AG84" s="278">
        <v>0</v>
      </c>
      <c r="AH84" s="278">
        <v>0</v>
      </c>
      <c r="AI84" s="279">
        <f t="shared" si="35"/>
        <v>0</v>
      </c>
      <c r="AJ84" s="11">
        <v>0</v>
      </c>
      <c r="AK84" s="9">
        <f>SUMIFS(입항스케줄!J:J,입항스케줄!C:C,PSI_메인!A84,입항스케줄!U:U,"2604")</f>
        <v>0</v>
      </c>
      <c r="AL84" s="11">
        <f>SUMIFS(입항스케줄!J:J,입항스케줄!C:C,PSI_메인!A84,입항스케줄!V:V,"2604")</f>
        <v>0</v>
      </c>
      <c r="AM84" s="280">
        <f t="shared" si="50"/>
        <v>1</v>
      </c>
      <c r="AN84" s="277">
        <f t="shared" si="51"/>
        <v>1</v>
      </c>
      <c r="AO84" s="278">
        <v>0</v>
      </c>
      <c r="AP84" s="278">
        <v>0</v>
      </c>
      <c r="AQ84" s="279">
        <f t="shared" si="36"/>
        <v>0</v>
      </c>
      <c r="AR84" s="11">
        <v>0</v>
      </c>
      <c r="AS84" s="9"/>
      <c r="AT84" s="277"/>
      <c r="AU84" s="280">
        <f t="shared" si="52"/>
        <v>1</v>
      </c>
      <c r="AV84" s="277">
        <f t="shared" si="53"/>
        <v>1</v>
      </c>
      <c r="AW84" s="278">
        <v>0</v>
      </c>
      <c r="AX84" s="278">
        <v>0</v>
      </c>
      <c r="AY84" s="279">
        <f t="shared" si="37"/>
        <v>0</v>
      </c>
      <c r="AZ84" s="11">
        <v>0</v>
      </c>
      <c r="BA84" s="9"/>
      <c r="BB84" s="11"/>
      <c r="BC84" s="280">
        <f t="shared" si="54"/>
        <v>1</v>
      </c>
      <c r="BD84" s="277">
        <f t="shared" si="55"/>
        <v>1</v>
      </c>
      <c r="BE84" s="278">
        <v>0</v>
      </c>
      <c r="BF84" s="278">
        <v>0</v>
      </c>
      <c r="BG84" s="279">
        <f t="shared" si="38"/>
        <v>0</v>
      </c>
      <c r="BH84" s="11">
        <v>0</v>
      </c>
      <c r="BI84" s="278"/>
      <c r="BJ84" s="11"/>
      <c r="BK84" s="280">
        <f t="shared" si="56"/>
        <v>1</v>
      </c>
      <c r="BL84" s="277">
        <f t="shared" si="57"/>
        <v>1</v>
      </c>
      <c r="BM84" s="278">
        <v>0</v>
      </c>
      <c r="BN84" s="278">
        <v>0</v>
      </c>
      <c r="BO84" s="279">
        <f t="shared" si="39"/>
        <v>0</v>
      </c>
      <c r="BP84" s="11">
        <v>0</v>
      </c>
      <c r="BQ84" s="278"/>
      <c r="BR84" s="11"/>
      <c r="BS84" s="280">
        <f t="shared" si="58"/>
        <v>1</v>
      </c>
      <c r="BT84" s="277">
        <f t="shared" si="59"/>
        <v>1</v>
      </c>
      <c r="BU84" s="278">
        <v>0</v>
      </c>
      <c r="BV84" s="278">
        <v>0</v>
      </c>
      <c r="BW84" s="279">
        <f t="shared" si="40"/>
        <v>0</v>
      </c>
      <c r="BX84" s="11">
        <v>0</v>
      </c>
      <c r="BY84" s="278"/>
      <c r="BZ84" s="11"/>
      <c r="CA84" s="280">
        <f t="shared" si="60"/>
        <v>1</v>
      </c>
      <c r="CB84" s="277">
        <f t="shared" si="61"/>
        <v>1</v>
      </c>
      <c r="CC84" s="278">
        <v>0</v>
      </c>
      <c r="CD84" s="278">
        <v>0</v>
      </c>
      <c r="CE84" s="279">
        <f t="shared" si="41"/>
        <v>0</v>
      </c>
      <c r="CF84" s="11">
        <v>0</v>
      </c>
      <c r="CG84" s="278"/>
      <c r="CH84" s="11"/>
      <c r="CI84" s="280">
        <f t="shared" si="62"/>
        <v>1</v>
      </c>
      <c r="CJ84" s="277">
        <f t="shared" si="63"/>
        <v>1</v>
      </c>
      <c r="CK84" s="278">
        <v>0</v>
      </c>
      <c r="CL84" s="278">
        <v>0</v>
      </c>
      <c r="CM84" s="279">
        <f t="shared" si="42"/>
        <v>0</v>
      </c>
      <c r="CN84" s="11">
        <v>0</v>
      </c>
      <c r="CO84" s="278"/>
      <c r="CP84" s="277"/>
      <c r="CQ84" s="280">
        <f t="shared" si="64"/>
        <v>1</v>
      </c>
      <c r="CR84" s="277">
        <f t="shared" si="65"/>
        <v>1</v>
      </c>
      <c r="CS84" s="278">
        <v>0</v>
      </c>
      <c r="CT84" s="278">
        <v>0</v>
      </c>
      <c r="CU84" s="279">
        <f t="shared" si="43"/>
        <v>0</v>
      </c>
      <c r="CV84" s="11">
        <v>0</v>
      </c>
      <c r="CW84" s="278"/>
      <c r="CX84" s="277"/>
      <c r="CY84" s="280">
        <f t="shared" si="66"/>
        <v>1</v>
      </c>
      <c r="CZ84" s="277">
        <f t="shared" si="67"/>
        <v>1</v>
      </c>
    </row>
    <row r="85" spans="1:104" ht="17.25" customHeight="1">
      <c r="A85" s="28" t="s">
        <v>662</v>
      </c>
      <c r="B85" s="382"/>
      <c r="C85" s="27"/>
      <c r="D85" s="28" t="str">
        <f>_xlfn.XLOOKUP(A85,'ABC-XYZ분석 (2)'!C:C,'ABC-XYZ분석 (2)'!I:I)</f>
        <v>사계절</v>
      </c>
      <c r="E85" s="28" t="str">
        <f>_xlfn.XLOOKUP(A85,'ABC-XYZ분석 (2)'!C:C,'ABC-XYZ분석 (2)'!AC:AC)</f>
        <v>C</v>
      </c>
      <c r="F85" s="3" t="str">
        <f>_xlfn.XLOOKUP(A85,'ABC-XYZ분석 (2)'!C:C,'ABC-XYZ분석 (2)'!AG:AG)</f>
        <v>Y</v>
      </c>
      <c r="G85" s="14">
        <f>SUMIF(재고!C:C,PSI_메인!A85,재고!I:I)</f>
        <v>504</v>
      </c>
      <c r="H85" s="277">
        <v>1292</v>
      </c>
      <c r="I85" s="278">
        <v>0</v>
      </c>
      <c r="J85" s="278">
        <v>0</v>
      </c>
      <c r="K85" s="279">
        <v>100</v>
      </c>
      <c r="L85" s="11">
        <v>0</v>
      </c>
      <c r="M85" s="9">
        <f>SUMIFS(입항스케줄!J:J,입항스케줄!C:C,PSI_메인!A85,입항스케줄!U:U,"2601")</f>
        <v>434</v>
      </c>
      <c r="N85" s="11">
        <f>SUMIFS(입항스케줄!J:J,입항스케줄!C:C,PSI_메인!A85,입항스케줄!V:V,"2601")</f>
        <v>434</v>
      </c>
      <c r="O85" s="280">
        <f t="shared" si="44"/>
        <v>838</v>
      </c>
      <c r="P85" s="277">
        <f t="shared" si="45"/>
        <v>938</v>
      </c>
      <c r="Q85" s="278">
        <v>0</v>
      </c>
      <c r="R85" s="278">
        <v>0</v>
      </c>
      <c r="S85" s="10">
        <v>300</v>
      </c>
      <c r="T85" s="11">
        <v>0</v>
      </c>
      <c r="U85" s="9">
        <f>SUMIFS(입항스케줄!J:J,입항스케줄!C:C,PSI_메인!A85,입항스케줄!U:U,"2602")</f>
        <v>0</v>
      </c>
      <c r="V85" s="11">
        <f>SUMIFS(입항스케줄!J:J,입항스케줄!C:C,PSI_메인!A85,입항스케줄!V:V,"2602")</f>
        <v>0</v>
      </c>
      <c r="W85" s="280">
        <f t="shared" si="46"/>
        <v>204</v>
      </c>
      <c r="X85" s="277">
        <f t="shared" si="47"/>
        <v>504</v>
      </c>
      <c r="Y85" s="278">
        <v>0</v>
      </c>
      <c r="Z85" s="278">
        <v>0</v>
      </c>
      <c r="AA85" s="279">
        <f t="shared" si="34"/>
        <v>0</v>
      </c>
      <c r="AB85" s="11">
        <v>0</v>
      </c>
      <c r="AC85" s="9">
        <f>SUMIFS(입항스케줄!J:J,입항스케줄!C:C,PSI_메인!A85,입항스케줄!U:U,"2603")</f>
        <v>0</v>
      </c>
      <c r="AD85" s="11">
        <f>SUMIFS(입항스케줄!J:J,입항스케줄!C:C,PSI_메인!A85,입항스케줄!V:V,"2603")</f>
        <v>0</v>
      </c>
      <c r="AE85" s="280">
        <f t="shared" si="48"/>
        <v>504</v>
      </c>
      <c r="AF85" s="277">
        <f t="shared" si="49"/>
        <v>504</v>
      </c>
      <c r="AG85" s="278">
        <v>0</v>
      </c>
      <c r="AH85" s="278">
        <v>0</v>
      </c>
      <c r="AI85" s="279">
        <f t="shared" si="35"/>
        <v>0</v>
      </c>
      <c r="AJ85" s="11">
        <v>0</v>
      </c>
      <c r="AK85" s="9">
        <f>SUMIFS(입항스케줄!J:J,입항스케줄!C:C,PSI_메인!A85,입항스케줄!U:U,"2604")</f>
        <v>0</v>
      </c>
      <c r="AL85" s="11">
        <f>SUMIFS(입항스케줄!J:J,입항스케줄!C:C,PSI_메인!A85,입항스케줄!V:V,"2604")</f>
        <v>0</v>
      </c>
      <c r="AM85" s="280">
        <f t="shared" si="50"/>
        <v>504</v>
      </c>
      <c r="AN85" s="277">
        <f t="shared" si="51"/>
        <v>504</v>
      </c>
      <c r="AO85" s="278">
        <v>0</v>
      </c>
      <c r="AP85" s="278">
        <v>0</v>
      </c>
      <c r="AQ85" s="279">
        <f t="shared" si="36"/>
        <v>0</v>
      </c>
      <c r="AR85" s="11">
        <v>0</v>
      </c>
      <c r="AS85" s="9"/>
      <c r="AT85" s="277"/>
      <c r="AU85" s="280">
        <f t="shared" si="52"/>
        <v>504</v>
      </c>
      <c r="AV85" s="277">
        <f t="shared" si="53"/>
        <v>504</v>
      </c>
      <c r="AW85" s="278">
        <v>0</v>
      </c>
      <c r="AX85" s="278">
        <v>0</v>
      </c>
      <c r="AY85" s="279">
        <f t="shared" si="37"/>
        <v>0</v>
      </c>
      <c r="AZ85" s="11">
        <v>0</v>
      </c>
      <c r="BA85" s="9"/>
      <c r="BB85" s="11"/>
      <c r="BC85" s="280">
        <f t="shared" si="54"/>
        <v>504</v>
      </c>
      <c r="BD85" s="277">
        <f t="shared" si="55"/>
        <v>504</v>
      </c>
      <c r="BE85" s="278">
        <v>0</v>
      </c>
      <c r="BF85" s="278">
        <v>0</v>
      </c>
      <c r="BG85" s="279">
        <f t="shared" si="38"/>
        <v>0</v>
      </c>
      <c r="BH85" s="11">
        <v>0</v>
      </c>
      <c r="BI85" s="278"/>
      <c r="BJ85" s="11"/>
      <c r="BK85" s="280">
        <f t="shared" si="56"/>
        <v>504</v>
      </c>
      <c r="BL85" s="277">
        <f t="shared" si="57"/>
        <v>504</v>
      </c>
      <c r="BM85" s="278">
        <v>0</v>
      </c>
      <c r="BN85" s="278">
        <v>0</v>
      </c>
      <c r="BO85" s="279">
        <f t="shared" si="39"/>
        <v>0</v>
      </c>
      <c r="BP85" s="11">
        <v>0</v>
      </c>
      <c r="BQ85" s="278"/>
      <c r="BR85" s="11"/>
      <c r="BS85" s="280">
        <f t="shared" si="58"/>
        <v>504</v>
      </c>
      <c r="BT85" s="277">
        <f t="shared" si="59"/>
        <v>504</v>
      </c>
      <c r="BU85" s="278">
        <v>0</v>
      </c>
      <c r="BV85" s="278">
        <v>0</v>
      </c>
      <c r="BW85" s="279">
        <f t="shared" si="40"/>
        <v>0</v>
      </c>
      <c r="BX85" s="11">
        <v>0</v>
      </c>
      <c r="BY85" s="278"/>
      <c r="BZ85" s="11"/>
      <c r="CA85" s="280">
        <f t="shared" si="60"/>
        <v>504</v>
      </c>
      <c r="CB85" s="277">
        <f t="shared" si="61"/>
        <v>504</v>
      </c>
      <c r="CC85" s="278">
        <v>0</v>
      </c>
      <c r="CD85" s="278">
        <v>0</v>
      </c>
      <c r="CE85" s="279">
        <f t="shared" si="41"/>
        <v>0</v>
      </c>
      <c r="CF85" s="11">
        <v>0</v>
      </c>
      <c r="CG85" s="278"/>
      <c r="CH85" s="11"/>
      <c r="CI85" s="280">
        <f t="shared" si="62"/>
        <v>504</v>
      </c>
      <c r="CJ85" s="277">
        <f t="shared" si="63"/>
        <v>504</v>
      </c>
      <c r="CK85" s="278">
        <v>0</v>
      </c>
      <c r="CL85" s="278">
        <v>0</v>
      </c>
      <c r="CM85" s="279">
        <f t="shared" si="42"/>
        <v>0</v>
      </c>
      <c r="CN85" s="11">
        <v>0</v>
      </c>
      <c r="CO85" s="278"/>
      <c r="CP85" s="277"/>
      <c r="CQ85" s="280">
        <f t="shared" si="64"/>
        <v>504</v>
      </c>
      <c r="CR85" s="277">
        <f t="shared" si="65"/>
        <v>504</v>
      </c>
      <c r="CS85" s="278">
        <v>0</v>
      </c>
      <c r="CT85" s="278">
        <v>0</v>
      </c>
      <c r="CU85" s="279">
        <f t="shared" si="43"/>
        <v>0</v>
      </c>
      <c r="CV85" s="11">
        <v>0</v>
      </c>
      <c r="CW85" s="278"/>
      <c r="CX85" s="277"/>
      <c r="CY85" s="280">
        <f t="shared" si="66"/>
        <v>504</v>
      </c>
      <c r="CZ85" s="277">
        <f t="shared" si="67"/>
        <v>504</v>
      </c>
    </row>
    <row r="86" spans="1:104" ht="17.25" customHeight="1">
      <c r="A86" s="28" t="s">
        <v>663</v>
      </c>
      <c r="B86" s="382"/>
      <c r="C86" s="27"/>
      <c r="D86" s="28" t="str">
        <f>_xlfn.XLOOKUP(A86,'ABC-XYZ분석 (2)'!C:C,'ABC-XYZ분석 (2)'!I:I)</f>
        <v>사계절</v>
      </c>
      <c r="E86" s="28" t="str">
        <f>_xlfn.XLOOKUP(A86,'ABC-XYZ분석 (2)'!C:C,'ABC-XYZ분석 (2)'!AC:AC)</f>
        <v>C</v>
      </c>
      <c r="F86" s="3" t="str">
        <f>_xlfn.XLOOKUP(A86,'ABC-XYZ분석 (2)'!C:C,'ABC-XYZ분석 (2)'!AG:AG)</f>
        <v>Z</v>
      </c>
      <c r="G86" s="14">
        <f>SUMIF(재고!C:C,PSI_메인!A86,재고!I:I)</f>
        <v>231</v>
      </c>
      <c r="H86" s="277">
        <v>3336</v>
      </c>
      <c r="I86" s="278">
        <v>0</v>
      </c>
      <c r="J86" s="278">
        <v>0</v>
      </c>
      <c r="K86" s="279">
        <v>2000</v>
      </c>
      <c r="L86" s="11">
        <v>0</v>
      </c>
      <c r="M86" s="9">
        <f>SUMIFS(입항스케줄!J:J,입항스케줄!C:C,PSI_메인!A86,입항스케줄!U:U,"2601")</f>
        <v>0</v>
      </c>
      <c r="N86" s="11">
        <f>SUMIFS(입항스케줄!J:J,입항스케줄!C:C,PSI_메인!A86,입항스케줄!V:V,"2601")</f>
        <v>0</v>
      </c>
      <c r="O86" s="280">
        <f t="shared" si="44"/>
        <v>-1769</v>
      </c>
      <c r="P86" s="277">
        <f t="shared" si="45"/>
        <v>231</v>
      </c>
      <c r="Q86" s="278">
        <v>0</v>
      </c>
      <c r="R86" s="278">
        <v>0</v>
      </c>
      <c r="S86" s="10">
        <v>0</v>
      </c>
      <c r="T86" s="11">
        <v>0</v>
      </c>
      <c r="U86" s="9">
        <f>SUMIFS(입항스케줄!J:J,입항스케줄!C:C,PSI_메인!A86,입항스케줄!U:U,"2602")</f>
        <v>0</v>
      </c>
      <c r="V86" s="11">
        <f>SUMIFS(입항스케줄!J:J,입항스케줄!C:C,PSI_메인!A86,입항스케줄!V:V,"2602")</f>
        <v>0</v>
      </c>
      <c r="W86" s="280">
        <f t="shared" si="46"/>
        <v>231</v>
      </c>
      <c r="X86" s="277">
        <f t="shared" si="47"/>
        <v>231</v>
      </c>
      <c r="Y86" s="278">
        <v>0</v>
      </c>
      <c r="Z86" s="278">
        <v>0</v>
      </c>
      <c r="AA86" s="279">
        <f t="shared" si="34"/>
        <v>0</v>
      </c>
      <c r="AB86" s="11">
        <v>0</v>
      </c>
      <c r="AC86" s="9">
        <f>SUMIFS(입항스케줄!J:J,입항스케줄!C:C,PSI_메인!A86,입항스케줄!U:U,"2603")</f>
        <v>0</v>
      </c>
      <c r="AD86" s="11">
        <f>SUMIFS(입항스케줄!J:J,입항스케줄!C:C,PSI_메인!A86,입항스케줄!V:V,"2603")</f>
        <v>0</v>
      </c>
      <c r="AE86" s="280">
        <f t="shared" si="48"/>
        <v>231</v>
      </c>
      <c r="AF86" s="277">
        <f t="shared" si="49"/>
        <v>231</v>
      </c>
      <c r="AG86" s="278">
        <v>0</v>
      </c>
      <c r="AH86" s="278">
        <v>0</v>
      </c>
      <c r="AI86" s="279">
        <f t="shared" si="35"/>
        <v>0</v>
      </c>
      <c r="AJ86" s="11">
        <v>0</v>
      </c>
      <c r="AK86" s="9">
        <f>SUMIFS(입항스케줄!J:J,입항스케줄!C:C,PSI_메인!A86,입항스케줄!U:U,"2604")</f>
        <v>0</v>
      </c>
      <c r="AL86" s="11">
        <f>SUMIFS(입항스케줄!J:J,입항스케줄!C:C,PSI_메인!A86,입항스케줄!V:V,"2604")</f>
        <v>0</v>
      </c>
      <c r="AM86" s="280">
        <f t="shared" si="50"/>
        <v>231</v>
      </c>
      <c r="AN86" s="277">
        <f t="shared" si="51"/>
        <v>231</v>
      </c>
      <c r="AO86" s="278">
        <v>0</v>
      </c>
      <c r="AP86" s="278">
        <v>0</v>
      </c>
      <c r="AQ86" s="279">
        <f t="shared" si="36"/>
        <v>0</v>
      </c>
      <c r="AR86" s="11">
        <v>0</v>
      </c>
      <c r="AS86" s="9"/>
      <c r="AT86" s="277"/>
      <c r="AU86" s="280">
        <f t="shared" si="52"/>
        <v>231</v>
      </c>
      <c r="AV86" s="277">
        <f t="shared" si="53"/>
        <v>231</v>
      </c>
      <c r="AW86" s="278">
        <v>0</v>
      </c>
      <c r="AX86" s="278">
        <v>0</v>
      </c>
      <c r="AY86" s="279">
        <f t="shared" si="37"/>
        <v>0</v>
      </c>
      <c r="AZ86" s="11">
        <v>0</v>
      </c>
      <c r="BA86" s="9"/>
      <c r="BB86" s="11"/>
      <c r="BC86" s="280">
        <f t="shared" si="54"/>
        <v>231</v>
      </c>
      <c r="BD86" s="277">
        <f t="shared" si="55"/>
        <v>231</v>
      </c>
      <c r="BE86" s="278">
        <v>0</v>
      </c>
      <c r="BF86" s="278">
        <v>0</v>
      </c>
      <c r="BG86" s="279">
        <f t="shared" si="38"/>
        <v>0</v>
      </c>
      <c r="BH86" s="11">
        <v>0</v>
      </c>
      <c r="BI86" s="278"/>
      <c r="BJ86" s="11"/>
      <c r="BK86" s="280">
        <f t="shared" si="56"/>
        <v>231</v>
      </c>
      <c r="BL86" s="277">
        <f t="shared" si="57"/>
        <v>231</v>
      </c>
      <c r="BM86" s="278">
        <v>0</v>
      </c>
      <c r="BN86" s="278">
        <v>0</v>
      </c>
      <c r="BO86" s="279">
        <f t="shared" si="39"/>
        <v>0</v>
      </c>
      <c r="BP86" s="11">
        <v>0</v>
      </c>
      <c r="BQ86" s="278"/>
      <c r="BR86" s="11"/>
      <c r="BS86" s="280">
        <f t="shared" si="58"/>
        <v>231</v>
      </c>
      <c r="BT86" s="277">
        <f t="shared" si="59"/>
        <v>231</v>
      </c>
      <c r="BU86" s="278">
        <v>0</v>
      </c>
      <c r="BV86" s="278">
        <v>0</v>
      </c>
      <c r="BW86" s="279">
        <f t="shared" si="40"/>
        <v>0</v>
      </c>
      <c r="BX86" s="11">
        <v>0</v>
      </c>
      <c r="BY86" s="278"/>
      <c r="BZ86" s="11"/>
      <c r="CA86" s="280">
        <f t="shared" si="60"/>
        <v>231</v>
      </c>
      <c r="CB86" s="277">
        <f t="shared" si="61"/>
        <v>231</v>
      </c>
      <c r="CC86" s="278">
        <v>0</v>
      </c>
      <c r="CD86" s="278">
        <v>0</v>
      </c>
      <c r="CE86" s="279">
        <f t="shared" si="41"/>
        <v>0</v>
      </c>
      <c r="CF86" s="11">
        <v>0</v>
      </c>
      <c r="CG86" s="278"/>
      <c r="CH86" s="11"/>
      <c r="CI86" s="280">
        <f t="shared" si="62"/>
        <v>231</v>
      </c>
      <c r="CJ86" s="277">
        <f t="shared" si="63"/>
        <v>231</v>
      </c>
      <c r="CK86" s="278">
        <v>0</v>
      </c>
      <c r="CL86" s="278">
        <v>0</v>
      </c>
      <c r="CM86" s="279">
        <f t="shared" si="42"/>
        <v>0</v>
      </c>
      <c r="CN86" s="11">
        <v>0</v>
      </c>
      <c r="CO86" s="278"/>
      <c r="CP86" s="277"/>
      <c r="CQ86" s="280">
        <f t="shared" si="64"/>
        <v>231</v>
      </c>
      <c r="CR86" s="277">
        <f t="shared" si="65"/>
        <v>231</v>
      </c>
      <c r="CS86" s="278">
        <v>0</v>
      </c>
      <c r="CT86" s="278">
        <v>0</v>
      </c>
      <c r="CU86" s="279">
        <f t="shared" si="43"/>
        <v>0</v>
      </c>
      <c r="CV86" s="11">
        <v>0</v>
      </c>
      <c r="CW86" s="278"/>
      <c r="CX86" s="277"/>
      <c r="CY86" s="280">
        <f t="shared" si="66"/>
        <v>231</v>
      </c>
      <c r="CZ86" s="277">
        <f t="shared" si="67"/>
        <v>231</v>
      </c>
    </row>
    <row r="87" spans="1:104" ht="17.25" customHeight="1">
      <c r="A87" s="28" t="s">
        <v>664</v>
      </c>
      <c r="B87" s="382"/>
      <c r="C87" s="27"/>
      <c r="D87" s="28" t="str">
        <f>_xlfn.XLOOKUP(A87,'ABC-XYZ분석 (2)'!C:C,'ABC-XYZ분석 (2)'!I:I)</f>
        <v>사계절</v>
      </c>
      <c r="E87" s="28" t="str">
        <f>_xlfn.XLOOKUP(A87,'ABC-XYZ분석 (2)'!C:C,'ABC-XYZ분석 (2)'!AC:AC)</f>
        <v>C</v>
      </c>
      <c r="F87" s="3" t="str">
        <f>_xlfn.XLOOKUP(A87,'ABC-XYZ분석 (2)'!C:C,'ABC-XYZ분석 (2)'!AG:AG)</f>
        <v>Z</v>
      </c>
      <c r="G87" s="14">
        <f>SUMIF(재고!C:C,PSI_메인!A87,재고!I:I)</f>
        <v>102</v>
      </c>
      <c r="H87" s="277">
        <v>53</v>
      </c>
      <c r="I87" s="278">
        <v>0</v>
      </c>
      <c r="J87" s="278">
        <v>0</v>
      </c>
      <c r="K87" s="279">
        <v>73</v>
      </c>
      <c r="L87" s="11">
        <v>0</v>
      </c>
      <c r="M87" s="9">
        <f>SUMIFS(입항스케줄!J:J,입항스케줄!C:C,PSI_메인!A87,입항스케줄!U:U,"2601")</f>
        <v>0</v>
      </c>
      <c r="N87" s="11">
        <f>SUMIFS(입항스케줄!J:J,입항스케줄!C:C,PSI_메인!A87,입항스케줄!V:V,"2601")</f>
        <v>0</v>
      </c>
      <c r="O87" s="280">
        <f t="shared" si="44"/>
        <v>29</v>
      </c>
      <c r="P87" s="277">
        <f t="shared" si="45"/>
        <v>102</v>
      </c>
      <c r="Q87" s="278">
        <v>0</v>
      </c>
      <c r="R87" s="278">
        <v>0</v>
      </c>
      <c r="S87" s="10">
        <v>50</v>
      </c>
      <c r="T87" s="11">
        <v>0</v>
      </c>
      <c r="U87" s="9">
        <f>SUMIFS(입항스케줄!J:J,입항스케줄!C:C,PSI_메인!A87,입항스케줄!U:U,"2602")</f>
        <v>0</v>
      </c>
      <c r="V87" s="11">
        <f>SUMIFS(입항스케줄!J:J,입항스케줄!C:C,PSI_메인!A87,입항스케줄!V:V,"2602")</f>
        <v>0</v>
      </c>
      <c r="W87" s="280">
        <f t="shared" si="46"/>
        <v>52</v>
      </c>
      <c r="X87" s="277">
        <f t="shared" si="47"/>
        <v>102</v>
      </c>
      <c r="Y87" s="278">
        <v>0</v>
      </c>
      <c r="Z87" s="278">
        <v>0</v>
      </c>
      <c r="AA87" s="279">
        <f t="shared" si="34"/>
        <v>0</v>
      </c>
      <c r="AB87" s="11">
        <v>0</v>
      </c>
      <c r="AC87" s="9">
        <f>SUMIFS(입항스케줄!J:J,입항스케줄!C:C,PSI_메인!A87,입항스케줄!U:U,"2603")</f>
        <v>0</v>
      </c>
      <c r="AD87" s="11">
        <f>SUMIFS(입항스케줄!J:J,입항스케줄!C:C,PSI_메인!A87,입항스케줄!V:V,"2603")</f>
        <v>0</v>
      </c>
      <c r="AE87" s="280">
        <f t="shared" si="48"/>
        <v>102</v>
      </c>
      <c r="AF87" s="277">
        <f t="shared" si="49"/>
        <v>102</v>
      </c>
      <c r="AG87" s="278">
        <v>0</v>
      </c>
      <c r="AH87" s="278">
        <v>0</v>
      </c>
      <c r="AI87" s="279">
        <f t="shared" si="35"/>
        <v>0</v>
      </c>
      <c r="AJ87" s="11">
        <v>0</v>
      </c>
      <c r="AK87" s="9">
        <f>SUMIFS(입항스케줄!J:J,입항스케줄!C:C,PSI_메인!A87,입항스케줄!U:U,"2604")</f>
        <v>0</v>
      </c>
      <c r="AL87" s="11">
        <f>SUMIFS(입항스케줄!J:J,입항스케줄!C:C,PSI_메인!A87,입항스케줄!V:V,"2604")</f>
        <v>0</v>
      </c>
      <c r="AM87" s="280">
        <f t="shared" si="50"/>
        <v>102</v>
      </c>
      <c r="AN87" s="277">
        <f t="shared" si="51"/>
        <v>102</v>
      </c>
      <c r="AO87" s="278">
        <v>0</v>
      </c>
      <c r="AP87" s="278">
        <v>0</v>
      </c>
      <c r="AQ87" s="279">
        <f t="shared" si="36"/>
        <v>0</v>
      </c>
      <c r="AR87" s="11">
        <v>0</v>
      </c>
      <c r="AS87" s="9"/>
      <c r="AT87" s="277"/>
      <c r="AU87" s="280">
        <f t="shared" si="52"/>
        <v>102</v>
      </c>
      <c r="AV87" s="277">
        <f t="shared" si="53"/>
        <v>102</v>
      </c>
      <c r="AW87" s="278">
        <v>0</v>
      </c>
      <c r="AX87" s="278">
        <v>0</v>
      </c>
      <c r="AY87" s="279">
        <f t="shared" si="37"/>
        <v>0</v>
      </c>
      <c r="AZ87" s="11">
        <v>0</v>
      </c>
      <c r="BA87" s="9"/>
      <c r="BB87" s="11"/>
      <c r="BC87" s="280">
        <f t="shared" si="54"/>
        <v>102</v>
      </c>
      <c r="BD87" s="277">
        <f t="shared" si="55"/>
        <v>102</v>
      </c>
      <c r="BE87" s="278">
        <v>0</v>
      </c>
      <c r="BF87" s="278">
        <v>0</v>
      </c>
      <c r="BG87" s="279">
        <f t="shared" si="38"/>
        <v>0</v>
      </c>
      <c r="BH87" s="11">
        <v>0</v>
      </c>
      <c r="BI87" s="278"/>
      <c r="BJ87" s="11"/>
      <c r="BK87" s="280">
        <f t="shared" si="56"/>
        <v>102</v>
      </c>
      <c r="BL87" s="277">
        <f t="shared" si="57"/>
        <v>102</v>
      </c>
      <c r="BM87" s="278">
        <v>0</v>
      </c>
      <c r="BN87" s="278">
        <v>0</v>
      </c>
      <c r="BO87" s="279">
        <f t="shared" si="39"/>
        <v>0</v>
      </c>
      <c r="BP87" s="11">
        <v>0</v>
      </c>
      <c r="BQ87" s="278"/>
      <c r="BR87" s="11"/>
      <c r="BS87" s="280">
        <f t="shared" si="58"/>
        <v>102</v>
      </c>
      <c r="BT87" s="277">
        <f t="shared" si="59"/>
        <v>102</v>
      </c>
      <c r="BU87" s="278">
        <v>0</v>
      </c>
      <c r="BV87" s="278">
        <v>0</v>
      </c>
      <c r="BW87" s="279">
        <f t="shared" si="40"/>
        <v>0</v>
      </c>
      <c r="BX87" s="11">
        <v>0</v>
      </c>
      <c r="BY87" s="278"/>
      <c r="BZ87" s="11"/>
      <c r="CA87" s="280">
        <f t="shared" si="60"/>
        <v>102</v>
      </c>
      <c r="CB87" s="277">
        <f t="shared" si="61"/>
        <v>102</v>
      </c>
      <c r="CC87" s="278">
        <v>0</v>
      </c>
      <c r="CD87" s="278">
        <v>0</v>
      </c>
      <c r="CE87" s="279">
        <f t="shared" si="41"/>
        <v>0</v>
      </c>
      <c r="CF87" s="11">
        <v>0</v>
      </c>
      <c r="CG87" s="278"/>
      <c r="CH87" s="11"/>
      <c r="CI87" s="280">
        <f t="shared" si="62"/>
        <v>102</v>
      </c>
      <c r="CJ87" s="277">
        <f t="shared" si="63"/>
        <v>102</v>
      </c>
      <c r="CK87" s="278">
        <v>0</v>
      </c>
      <c r="CL87" s="278">
        <v>0</v>
      </c>
      <c r="CM87" s="279">
        <f t="shared" si="42"/>
        <v>0</v>
      </c>
      <c r="CN87" s="11">
        <v>0</v>
      </c>
      <c r="CO87" s="278"/>
      <c r="CP87" s="277"/>
      <c r="CQ87" s="280">
        <f t="shared" si="64"/>
        <v>102</v>
      </c>
      <c r="CR87" s="277">
        <f t="shared" si="65"/>
        <v>102</v>
      </c>
      <c r="CS87" s="278">
        <v>0</v>
      </c>
      <c r="CT87" s="278">
        <v>0</v>
      </c>
      <c r="CU87" s="279">
        <f t="shared" si="43"/>
        <v>0</v>
      </c>
      <c r="CV87" s="11">
        <v>0</v>
      </c>
      <c r="CW87" s="278"/>
      <c r="CX87" s="277"/>
      <c r="CY87" s="280">
        <f t="shared" si="66"/>
        <v>102</v>
      </c>
      <c r="CZ87" s="277">
        <f t="shared" si="67"/>
        <v>102</v>
      </c>
    </row>
    <row r="88" spans="1:104" ht="17.25" customHeight="1">
      <c r="A88" s="28" t="s">
        <v>665</v>
      </c>
      <c r="B88" s="382"/>
      <c r="C88" s="27"/>
      <c r="D88" s="28" t="str">
        <f>_xlfn.XLOOKUP(A88,'ABC-XYZ분석 (2)'!C:C,'ABC-XYZ분석 (2)'!I:I)</f>
        <v>사계절</v>
      </c>
      <c r="E88" s="28" t="str">
        <f>_xlfn.XLOOKUP(A88,'ABC-XYZ분석 (2)'!C:C,'ABC-XYZ분석 (2)'!AC:AC)</f>
        <v>C</v>
      </c>
      <c r="F88" s="3" t="str">
        <f>_xlfn.XLOOKUP(A88,'ABC-XYZ분석 (2)'!C:C,'ABC-XYZ분석 (2)'!AG:AG)</f>
        <v>Y</v>
      </c>
      <c r="G88" s="14">
        <f>SUMIF(재고!C:C,PSI_메인!A88,재고!I:I)</f>
        <v>201</v>
      </c>
      <c r="H88" s="277">
        <v>66</v>
      </c>
      <c r="I88" s="278">
        <v>0</v>
      </c>
      <c r="J88" s="278">
        <v>0</v>
      </c>
      <c r="K88" s="279">
        <v>250</v>
      </c>
      <c r="L88" s="11">
        <v>0</v>
      </c>
      <c r="M88" s="9">
        <f>SUMIFS(입항스케줄!J:J,입항스케줄!C:C,PSI_메인!A88,입항스케줄!U:U,"2601")</f>
        <v>0</v>
      </c>
      <c r="N88" s="11">
        <f>SUMIFS(입항스케줄!J:J,입항스케줄!C:C,PSI_메인!A88,입항스케줄!V:V,"2601")</f>
        <v>0</v>
      </c>
      <c r="O88" s="280">
        <f t="shared" si="44"/>
        <v>-49</v>
      </c>
      <c r="P88" s="277">
        <f t="shared" si="45"/>
        <v>201</v>
      </c>
      <c r="Q88" s="278">
        <v>0</v>
      </c>
      <c r="R88" s="278">
        <v>0</v>
      </c>
      <c r="S88" s="10">
        <v>0</v>
      </c>
      <c r="T88" s="11">
        <v>0</v>
      </c>
      <c r="U88" s="9">
        <f>SUMIFS(입항스케줄!J:J,입항스케줄!C:C,PSI_메인!A88,입항스케줄!U:U,"2602")</f>
        <v>0</v>
      </c>
      <c r="V88" s="11">
        <f>SUMIFS(입항스케줄!J:J,입항스케줄!C:C,PSI_메인!A88,입항스케줄!V:V,"2602")</f>
        <v>0</v>
      </c>
      <c r="W88" s="280">
        <f t="shared" si="46"/>
        <v>201</v>
      </c>
      <c r="X88" s="277">
        <f t="shared" si="47"/>
        <v>201</v>
      </c>
      <c r="Y88" s="278">
        <v>0</v>
      </c>
      <c r="Z88" s="278">
        <v>0</v>
      </c>
      <c r="AA88" s="279">
        <f t="shared" si="34"/>
        <v>0</v>
      </c>
      <c r="AB88" s="11">
        <v>0</v>
      </c>
      <c r="AC88" s="9">
        <f>SUMIFS(입항스케줄!J:J,입항스케줄!C:C,PSI_메인!A88,입항스케줄!U:U,"2603")</f>
        <v>0</v>
      </c>
      <c r="AD88" s="11">
        <f>SUMIFS(입항스케줄!J:J,입항스케줄!C:C,PSI_메인!A88,입항스케줄!V:V,"2603")</f>
        <v>0</v>
      </c>
      <c r="AE88" s="280">
        <f t="shared" si="48"/>
        <v>201</v>
      </c>
      <c r="AF88" s="277">
        <f t="shared" si="49"/>
        <v>201</v>
      </c>
      <c r="AG88" s="278">
        <v>0</v>
      </c>
      <c r="AH88" s="278">
        <v>0</v>
      </c>
      <c r="AI88" s="279">
        <f t="shared" si="35"/>
        <v>0</v>
      </c>
      <c r="AJ88" s="11">
        <v>0</v>
      </c>
      <c r="AK88" s="9">
        <f>SUMIFS(입항스케줄!J:J,입항스케줄!C:C,PSI_메인!A88,입항스케줄!U:U,"2604")</f>
        <v>0</v>
      </c>
      <c r="AL88" s="11">
        <f>SUMIFS(입항스케줄!J:J,입항스케줄!C:C,PSI_메인!A88,입항스케줄!V:V,"2604")</f>
        <v>0</v>
      </c>
      <c r="AM88" s="280">
        <f t="shared" si="50"/>
        <v>201</v>
      </c>
      <c r="AN88" s="277">
        <f t="shared" si="51"/>
        <v>201</v>
      </c>
      <c r="AO88" s="278">
        <v>0</v>
      </c>
      <c r="AP88" s="278">
        <v>0</v>
      </c>
      <c r="AQ88" s="279">
        <f t="shared" si="36"/>
        <v>0</v>
      </c>
      <c r="AR88" s="11">
        <v>0</v>
      </c>
      <c r="AS88" s="9"/>
      <c r="AT88" s="277"/>
      <c r="AU88" s="280">
        <f t="shared" si="52"/>
        <v>201</v>
      </c>
      <c r="AV88" s="277">
        <f t="shared" si="53"/>
        <v>201</v>
      </c>
      <c r="AW88" s="278">
        <v>0</v>
      </c>
      <c r="AX88" s="278">
        <v>0</v>
      </c>
      <c r="AY88" s="279">
        <f t="shared" si="37"/>
        <v>0</v>
      </c>
      <c r="AZ88" s="11">
        <v>0</v>
      </c>
      <c r="BA88" s="9"/>
      <c r="BB88" s="11"/>
      <c r="BC88" s="280">
        <f t="shared" si="54"/>
        <v>201</v>
      </c>
      <c r="BD88" s="277">
        <f t="shared" si="55"/>
        <v>201</v>
      </c>
      <c r="BE88" s="278">
        <v>0</v>
      </c>
      <c r="BF88" s="278">
        <v>0</v>
      </c>
      <c r="BG88" s="279">
        <f t="shared" si="38"/>
        <v>0</v>
      </c>
      <c r="BH88" s="11">
        <v>0</v>
      </c>
      <c r="BI88" s="278"/>
      <c r="BJ88" s="11"/>
      <c r="BK88" s="280">
        <f t="shared" si="56"/>
        <v>201</v>
      </c>
      <c r="BL88" s="277">
        <f t="shared" si="57"/>
        <v>201</v>
      </c>
      <c r="BM88" s="278">
        <v>0</v>
      </c>
      <c r="BN88" s="278">
        <v>0</v>
      </c>
      <c r="BO88" s="279">
        <f t="shared" si="39"/>
        <v>0</v>
      </c>
      <c r="BP88" s="11">
        <v>0</v>
      </c>
      <c r="BQ88" s="278"/>
      <c r="BR88" s="11"/>
      <c r="BS88" s="280">
        <f t="shared" si="58"/>
        <v>201</v>
      </c>
      <c r="BT88" s="277">
        <f t="shared" si="59"/>
        <v>201</v>
      </c>
      <c r="BU88" s="278">
        <v>0</v>
      </c>
      <c r="BV88" s="278">
        <v>0</v>
      </c>
      <c r="BW88" s="279">
        <f t="shared" si="40"/>
        <v>0</v>
      </c>
      <c r="BX88" s="11">
        <v>0</v>
      </c>
      <c r="BY88" s="278"/>
      <c r="BZ88" s="11"/>
      <c r="CA88" s="280">
        <f t="shared" si="60"/>
        <v>201</v>
      </c>
      <c r="CB88" s="277">
        <f t="shared" si="61"/>
        <v>201</v>
      </c>
      <c r="CC88" s="278">
        <v>0</v>
      </c>
      <c r="CD88" s="278">
        <v>0</v>
      </c>
      <c r="CE88" s="279">
        <f t="shared" si="41"/>
        <v>0</v>
      </c>
      <c r="CF88" s="11">
        <v>0</v>
      </c>
      <c r="CG88" s="278"/>
      <c r="CH88" s="11"/>
      <c r="CI88" s="280">
        <f t="shared" si="62"/>
        <v>201</v>
      </c>
      <c r="CJ88" s="277">
        <f t="shared" si="63"/>
        <v>201</v>
      </c>
      <c r="CK88" s="278">
        <v>0</v>
      </c>
      <c r="CL88" s="278">
        <v>0</v>
      </c>
      <c r="CM88" s="279">
        <f t="shared" si="42"/>
        <v>0</v>
      </c>
      <c r="CN88" s="11">
        <v>0</v>
      </c>
      <c r="CO88" s="278"/>
      <c r="CP88" s="277"/>
      <c r="CQ88" s="280">
        <f t="shared" si="64"/>
        <v>201</v>
      </c>
      <c r="CR88" s="277">
        <f t="shared" si="65"/>
        <v>201</v>
      </c>
      <c r="CS88" s="278">
        <v>0</v>
      </c>
      <c r="CT88" s="278">
        <v>0</v>
      </c>
      <c r="CU88" s="279">
        <f t="shared" si="43"/>
        <v>0</v>
      </c>
      <c r="CV88" s="11">
        <v>0</v>
      </c>
      <c r="CW88" s="278"/>
      <c r="CX88" s="277"/>
      <c r="CY88" s="280">
        <f t="shared" si="66"/>
        <v>201</v>
      </c>
      <c r="CZ88" s="277">
        <f t="shared" si="67"/>
        <v>201</v>
      </c>
    </row>
    <row r="89" spans="1:104" ht="17.25" customHeight="1">
      <c r="A89" s="28" t="s">
        <v>666</v>
      </c>
      <c r="B89" s="382"/>
      <c r="C89" s="27"/>
      <c r="D89" s="28" t="str">
        <f>_xlfn.XLOOKUP(A89,'ABC-XYZ분석 (2)'!C:C,'ABC-XYZ분석 (2)'!I:I)</f>
        <v>사계절</v>
      </c>
      <c r="E89" s="28" t="str">
        <f>_xlfn.XLOOKUP(A89,'ABC-XYZ분석 (2)'!C:C,'ABC-XYZ분석 (2)'!AC:AC)</f>
        <v>C</v>
      </c>
      <c r="F89" s="3" t="str">
        <f>_xlfn.XLOOKUP(A89,'ABC-XYZ분석 (2)'!C:C,'ABC-XYZ분석 (2)'!AG:AG)</f>
        <v>Y</v>
      </c>
      <c r="G89" s="14">
        <f>SUMIF(재고!C:C,PSI_메인!A89,재고!I:I)</f>
        <v>224</v>
      </c>
      <c r="H89" s="277">
        <v>17</v>
      </c>
      <c r="I89" s="278">
        <v>0</v>
      </c>
      <c r="J89" s="278">
        <v>0</v>
      </c>
      <c r="K89" s="279">
        <v>90</v>
      </c>
      <c r="L89" s="11">
        <v>0</v>
      </c>
      <c r="M89" s="9">
        <f>SUMIFS(입항스케줄!J:J,입항스케줄!C:C,PSI_메인!A89,입항스케줄!U:U,"2601")</f>
        <v>0</v>
      </c>
      <c r="N89" s="11">
        <f>SUMIFS(입항스케줄!J:J,입항스케줄!C:C,PSI_메인!A89,입항스케줄!V:V,"2601")</f>
        <v>0</v>
      </c>
      <c r="O89" s="280">
        <f t="shared" si="44"/>
        <v>134</v>
      </c>
      <c r="P89" s="277">
        <f t="shared" si="45"/>
        <v>224</v>
      </c>
      <c r="Q89" s="278">
        <v>0</v>
      </c>
      <c r="R89" s="278">
        <v>0</v>
      </c>
      <c r="S89" s="10">
        <v>0</v>
      </c>
      <c r="T89" s="11">
        <v>0</v>
      </c>
      <c r="U89" s="9">
        <f>SUMIFS(입항스케줄!J:J,입항스케줄!C:C,PSI_메인!A89,입항스케줄!U:U,"2602")</f>
        <v>0</v>
      </c>
      <c r="V89" s="11">
        <f>SUMIFS(입항스케줄!J:J,입항스케줄!C:C,PSI_메인!A89,입항스케줄!V:V,"2602")</f>
        <v>0</v>
      </c>
      <c r="W89" s="280">
        <f t="shared" si="46"/>
        <v>224</v>
      </c>
      <c r="X89" s="277">
        <f t="shared" si="47"/>
        <v>224</v>
      </c>
      <c r="Y89" s="278">
        <v>0</v>
      </c>
      <c r="Z89" s="278">
        <v>0</v>
      </c>
      <c r="AA89" s="279">
        <f t="shared" si="34"/>
        <v>0</v>
      </c>
      <c r="AB89" s="11">
        <v>0</v>
      </c>
      <c r="AC89" s="9">
        <f>SUMIFS(입항스케줄!J:J,입항스케줄!C:C,PSI_메인!A89,입항스케줄!U:U,"2603")</f>
        <v>0</v>
      </c>
      <c r="AD89" s="11">
        <f>SUMIFS(입항스케줄!J:J,입항스케줄!C:C,PSI_메인!A89,입항스케줄!V:V,"2603")</f>
        <v>0</v>
      </c>
      <c r="AE89" s="280">
        <f t="shared" si="48"/>
        <v>224</v>
      </c>
      <c r="AF89" s="277">
        <f t="shared" si="49"/>
        <v>224</v>
      </c>
      <c r="AG89" s="278">
        <v>0</v>
      </c>
      <c r="AH89" s="278">
        <v>0</v>
      </c>
      <c r="AI89" s="279">
        <f t="shared" si="35"/>
        <v>0</v>
      </c>
      <c r="AJ89" s="11">
        <v>0</v>
      </c>
      <c r="AK89" s="9">
        <f>SUMIFS(입항스케줄!J:J,입항스케줄!C:C,PSI_메인!A89,입항스케줄!U:U,"2604")</f>
        <v>0</v>
      </c>
      <c r="AL89" s="11">
        <f>SUMIFS(입항스케줄!J:J,입항스케줄!C:C,PSI_메인!A89,입항스케줄!V:V,"2604")</f>
        <v>0</v>
      </c>
      <c r="AM89" s="280">
        <f t="shared" si="50"/>
        <v>224</v>
      </c>
      <c r="AN89" s="277">
        <f t="shared" si="51"/>
        <v>224</v>
      </c>
      <c r="AO89" s="278">
        <v>0</v>
      </c>
      <c r="AP89" s="278">
        <v>0</v>
      </c>
      <c r="AQ89" s="279">
        <f t="shared" si="36"/>
        <v>0</v>
      </c>
      <c r="AR89" s="11">
        <v>0</v>
      </c>
      <c r="AS89" s="9"/>
      <c r="AT89" s="277"/>
      <c r="AU89" s="280">
        <f t="shared" si="52"/>
        <v>224</v>
      </c>
      <c r="AV89" s="277">
        <f t="shared" si="53"/>
        <v>224</v>
      </c>
      <c r="AW89" s="278">
        <v>0</v>
      </c>
      <c r="AX89" s="278">
        <v>0</v>
      </c>
      <c r="AY89" s="279">
        <f t="shared" si="37"/>
        <v>0</v>
      </c>
      <c r="AZ89" s="11">
        <v>0</v>
      </c>
      <c r="BA89" s="9"/>
      <c r="BB89" s="11"/>
      <c r="BC89" s="280">
        <f t="shared" si="54"/>
        <v>224</v>
      </c>
      <c r="BD89" s="277">
        <f t="shared" si="55"/>
        <v>224</v>
      </c>
      <c r="BE89" s="278">
        <v>0</v>
      </c>
      <c r="BF89" s="278">
        <v>0</v>
      </c>
      <c r="BG89" s="279">
        <f t="shared" si="38"/>
        <v>0</v>
      </c>
      <c r="BH89" s="11">
        <v>0</v>
      </c>
      <c r="BI89" s="278"/>
      <c r="BJ89" s="11"/>
      <c r="BK89" s="280">
        <f t="shared" si="56"/>
        <v>224</v>
      </c>
      <c r="BL89" s="277">
        <f t="shared" si="57"/>
        <v>224</v>
      </c>
      <c r="BM89" s="278">
        <v>0</v>
      </c>
      <c r="BN89" s="278">
        <v>0</v>
      </c>
      <c r="BO89" s="279">
        <f t="shared" si="39"/>
        <v>0</v>
      </c>
      <c r="BP89" s="11">
        <v>0</v>
      </c>
      <c r="BQ89" s="278"/>
      <c r="BR89" s="11"/>
      <c r="BS89" s="280">
        <f t="shared" si="58"/>
        <v>224</v>
      </c>
      <c r="BT89" s="277">
        <f t="shared" si="59"/>
        <v>224</v>
      </c>
      <c r="BU89" s="278">
        <v>0</v>
      </c>
      <c r="BV89" s="278">
        <v>0</v>
      </c>
      <c r="BW89" s="279">
        <f t="shared" si="40"/>
        <v>0</v>
      </c>
      <c r="BX89" s="11">
        <v>0</v>
      </c>
      <c r="BY89" s="278"/>
      <c r="BZ89" s="11"/>
      <c r="CA89" s="280">
        <f t="shared" si="60"/>
        <v>224</v>
      </c>
      <c r="CB89" s="277">
        <f t="shared" si="61"/>
        <v>224</v>
      </c>
      <c r="CC89" s="278">
        <v>0</v>
      </c>
      <c r="CD89" s="278">
        <v>0</v>
      </c>
      <c r="CE89" s="279">
        <f t="shared" si="41"/>
        <v>0</v>
      </c>
      <c r="CF89" s="11">
        <v>0</v>
      </c>
      <c r="CG89" s="278"/>
      <c r="CH89" s="11"/>
      <c r="CI89" s="280">
        <f t="shared" si="62"/>
        <v>224</v>
      </c>
      <c r="CJ89" s="277">
        <f t="shared" si="63"/>
        <v>224</v>
      </c>
      <c r="CK89" s="278">
        <v>0</v>
      </c>
      <c r="CL89" s="278">
        <v>0</v>
      </c>
      <c r="CM89" s="279">
        <f t="shared" si="42"/>
        <v>0</v>
      </c>
      <c r="CN89" s="11">
        <v>0</v>
      </c>
      <c r="CO89" s="278"/>
      <c r="CP89" s="277"/>
      <c r="CQ89" s="280">
        <f t="shared" si="64"/>
        <v>224</v>
      </c>
      <c r="CR89" s="277">
        <f t="shared" si="65"/>
        <v>224</v>
      </c>
      <c r="CS89" s="278">
        <v>0</v>
      </c>
      <c r="CT89" s="278">
        <v>0</v>
      </c>
      <c r="CU89" s="279">
        <f t="shared" si="43"/>
        <v>0</v>
      </c>
      <c r="CV89" s="11">
        <v>0</v>
      </c>
      <c r="CW89" s="278"/>
      <c r="CX89" s="277"/>
      <c r="CY89" s="280">
        <f t="shared" si="66"/>
        <v>224</v>
      </c>
      <c r="CZ89" s="277">
        <f t="shared" si="67"/>
        <v>224</v>
      </c>
    </row>
    <row r="90" spans="1:104" ht="17.25" customHeight="1">
      <c r="A90" s="28" t="s">
        <v>667</v>
      </c>
      <c r="B90" s="382"/>
      <c r="C90" s="27"/>
      <c r="D90" s="28" t="str">
        <f>_xlfn.XLOOKUP(A90,'ABC-XYZ분석 (2)'!C:C,'ABC-XYZ분석 (2)'!I:I)</f>
        <v>사계절</v>
      </c>
      <c r="E90" s="28" t="str">
        <f>_xlfn.XLOOKUP(A90,'ABC-XYZ분석 (2)'!C:C,'ABC-XYZ분석 (2)'!AC:AC)</f>
        <v>C</v>
      </c>
      <c r="F90" s="3" t="str">
        <f>_xlfn.XLOOKUP(A90,'ABC-XYZ분석 (2)'!C:C,'ABC-XYZ분석 (2)'!AG:AG)</f>
        <v>Y</v>
      </c>
      <c r="G90" s="14">
        <f>SUMIF(재고!C:C,PSI_메인!A90,재고!I:I)</f>
        <v>31</v>
      </c>
      <c r="H90" s="277">
        <v>217</v>
      </c>
      <c r="I90" s="278">
        <v>0</v>
      </c>
      <c r="J90" s="278">
        <v>0</v>
      </c>
      <c r="K90" s="279">
        <v>150</v>
      </c>
      <c r="L90" s="11">
        <v>0</v>
      </c>
      <c r="M90" s="9">
        <f>SUMIFS(입항스케줄!J:J,입항스케줄!C:C,PSI_메인!A90,입항스케줄!U:U,"2601")</f>
        <v>2400</v>
      </c>
      <c r="N90" s="11">
        <f>SUMIFS(입항스케줄!J:J,입항스케줄!C:C,PSI_메인!A90,입항스케줄!V:V,"2601")</f>
        <v>0</v>
      </c>
      <c r="O90" s="280">
        <f t="shared" si="44"/>
        <v>2281</v>
      </c>
      <c r="P90" s="277">
        <f t="shared" si="45"/>
        <v>31</v>
      </c>
      <c r="Q90" s="278">
        <v>0</v>
      </c>
      <c r="R90" s="278">
        <v>0</v>
      </c>
      <c r="S90" s="10">
        <v>0</v>
      </c>
      <c r="T90" s="11">
        <v>0</v>
      </c>
      <c r="U90" s="9">
        <f>SUMIFS(입항스케줄!J:J,입항스케줄!C:C,PSI_메인!A90,입항스케줄!U:U,"2602")</f>
        <v>0</v>
      </c>
      <c r="V90" s="11">
        <f>SUMIFS(입항스케줄!J:J,입항스케줄!C:C,PSI_메인!A90,입항스케줄!V:V,"2602")</f>
        <v>2400</v>
      </c>
      <c r="W90" s="280">
        <f t="shared" si="46"/>
        <v>31</v>
      </c>
      <c r="X90" s="277">
        <f t="shared" si="47"/>
        <v>2431</v>
      </c>
      <c r="Y90" s="278">
        <v>0</v>
      </c>
      <c r="Z90" s="278">
        <v>0</v>
      </c>
      <c r="AA90" s="279">
        <f t="shared" si="34"/>
        <v>0</v>
      </c>
      <c r="AB90" s="11">
        <v>0</v>
      </c>
      <c r="AC90" s="9">
        <f>SUMIFS(입항스케줄!J:J,입항스케줄!C:C,PSI_메인!A90,입항스케줄!U:U,"2603")</f>
        <v>0</v>
      </c>
      <c r="AD90" s="11">
        <f>SUMIFS(입항스케줄!J:J,입항스케줄!C:C,PSI_메인!A90,입항스케줄!V:V,"2603")</f>
        <v>0</v>
      </c>
      <c r="AE90" s="280">
        <f t="shared" si="48"/>
        <v>31</v>
      </c>
      <c r="AF90" s="277">
        <f t="shared" si="49"/>
        <v>31</v>
      </c>
      <c r="AG90" s="278">
        <v>0</v>
      </c>
      <c r="AH90" s="278">
        <v>0</v>
      </c>
      <c r="AI90" s="279">
        <f t="shared" si="35"/>
        <v>0</v>
      </c>
      <c r="AJ90" s="11">
        <v>0</v>
      </c>
      <c r="AK90" s="9">
        <f>SUMIFS(입항스케줄!J:J,입항스케줄!C:C,PSI_메인!A90,입항스케줄!U:U,"2604")</f>
        <v>0</v>
      </c>
      <c r="AL90" s="11">
        <f>SUMIFS(입항스케줄!J:J,입항스케줄!C:C,PSI_메인!A90,입항스케줄!V:V,"2604")</f>
        <v>0</v>
      </c>
      <c r="AM90" s="280">
        <f t="shared" si="50"/>
        <v>31</v>
      </c>
      <c r="AN90" s="277">
        <f t="shared" si="51"/>
        <v>31</v>
      </c>
      <c r="AO90" s="278">
        <v>0</v>
      </c>
      <c r="AP90" s="278">
        <v>0</v>
      </c>
      <c r="AQ90" s="279">
        <f t="shared" si="36"/>
        <v>0</v>
      </c>
      <c r="AR90" s="11">
        <v>0</v>
      </c>
      <c r="AS90" s="9"/>
      <c r="AT90" s="277"/>
      <c r="AU90" s="280">
        <f t="shared" si="52"/>
        <v>31</v>
      </c>
      <c r="AV90" s="277">
        <f t="shared" si="53"/>
        <v>31</v>
      </c>
      <c r="AW90" s="278">
        <v>0</v>
      </c>
      <c r="AX90" s="278">
        <v>0</v>
      </c>
      <c r="AY90" s="279">
        <f t="shared" si="37"/>
        <v>0</v>
      </c>
      <c r="AZ90" s="11">
        <v>0</v>
      </c>
      <c r="BA90" s="9"/>
      <c r="BB90" s="11"/>
      <c r="BC90" s="280">
        <f t="shared" si="54"/>
        <v>31</v>
      </c>
      <c r="BD90" s="277">
        <f t="shared" si="55"/>
        <v>31</v>
      </c>
      <c r="BE90" s="278">
        <v>0</v>
      </c>
      <c r="BF90" s="278">
        <v>0</v>
      </c>
      <c r="BG90" s="279">
        <f t="shared" si="38"/>
        <v>0</v>
      </c>
      <c r="BH90" s="11">
        <v>0</v>
      </c>
      <c r="BI90" s="278"/>
      <c r="BJ90" s="11"/>
      <c r="BK90" s="280">
        <f t="shared" si="56"/>
        <v>31</v>
      </c>
      <c r="BL90" s="277">
        <f t="shared" si="57"/>
        <v>31</v>
      </c>
      <c r="BM90" s="278">
        <v>0</v>
      </c>
      <c r="BN90" s="278">
        <v>0</v>
      </c>
      <c r="BO90" s="279">
        <f t="shared" si="39"/>
        <v>0</v>
      </c>
      <c r="BP90" s="11">
        <v>0</v>
      </c>
      <c r="BQ90" s="278"/>
      <c r="BR90" s="11"/>
      <c r="BS90" s="280">
        <f t="shared" si="58"/>
        <v>31</v>
      </c>
      <c r="BT90" s="277">
        <f t="shared" si="59"/>
        <v>31</v>
      </c>
      <c r="BU90" s="278">
        <v>0</v>
      </c>
      <c r="BV90" s="278">
        <v>0</v>
      </c>
      <c r="BW90" s="279">
        <f t="shared" si="40"/>
        <v>0</v>
      </c>
      <c r="BX90" s="11">
        <v>0</v>
      </c>
      <c r="BY90" s="278"/>
      <c r="BZ90" s="11"/>
      <c r="CA90" s="280">
        <f t="shared" si="60"/>
        <v>31</v>
      </c>
      <c r="CB90" s="277">
        <f t="shared" si="61"/>
        <v>31</v>
      </c>
      <c r="CC90" s="278">
        <v>0</v>
      </c>
      <c r="CD90" s="278">
        <v>0</v>
      </c>
      <c r="CE90" s="279">
        <f t="shared" si="41"/>
        <v>0</v>
      </c>
      <c r="CF90" s="11">
        <v>0</v>
      </c>
      <c r="CG90" s="278"/>
      <c r="CH90" s="11"/>
      <c r="CI90" s="280">
        <f t="shared" si="62"/>
        <v>31</v>
      </c>
      <c r="CJ90" s="277">
        <f t="shared" si="63"/>
        <v>31</v>
      </c>
      <c r="CK90" s="278">
        <v>0</v>
      </c>
      <c r="CL90" s="278">
        <v>0</v>
      </c>
      <c r="CM90" s="279">
        <f t="shared" si="42"/>
        <v>0</v>
      </c>
      <c r="CN90" s="11">
        <v>0</v>
      </c>
      <c r="CO90" s="278"/>
      <c r="CP90" s="277"/>
      <c r="CQ90" s="280">
        <f t="shared" si="64"/>
        <v>31</v>
      </c>
      <c r="CR90" s="277">
        <f t="shared" si="65"/>
        <v>31</v>
      </c>
      <c r="CS90" s="278">
        <v>0</v>
      </c>
      <c r="CT90" s="278">
        <v>0</v>
      </c>
      <c r="CU90" s="279">
        <f t="shared" si="43"/>
        <v>0</v>
      </c>
      <c r="CV90" s="11">
        <v>0</v>
      </c>
      <c r="CW90" s="278"/>
      <c r="CX90" s="277"/>
      <c r="CY90" s="280">
        <f t="shared" si="66"/>
        <v>31</v>
      </c>
      <c r="CZ90" s="277">
        <f t="shared" si="67"/>
        <v>31</v>
      </c>
    </row>
    <row r="91" spans="1:104" ht="17.25" customHeight="1">
      <c r="A91" s="28" t="s">
        <v>668</v>
      </c>
      <c r="B91" s="382"/>
      <c r="C91" s="27"/>
      <c r="D91" s="28" t="str">
        <f>_xlfn.XLOOKUP(A91,'ABC-XYZ분석 (2)'!C:C,'ABC-XYZ분석 (2)'!I:I)</f>
        <v>사계절</v>
      </c>
      <c r="E91" s="28" t="str">
        <f>_xlfn.XLOOKUP(A91,'ABC-XYZ분석 (2)'!C:C,'ABC-XYZ분석 (2)'!AC:AC)</f>
        <v>C</v>
      </c>
      <c r="F91" s="3" t="str">
        <f>_xlfn.XLOOKUP(A91,'ABC-XYZ분석 (2)'!C:C,'ABC-XYZ분석 (2)'!AG:AG)</f>
        <v>X</v>
      </c>
      <c r="G91" s="14">
        <f>SUMIF(재고!C:C,PSI_메인!A91,재고!I:I)</f>
        <v>157</v>
      </c>
      <c r="H91" s="277">
        <v>194</v>
      </c>
      <c r="I91" s="278">
        <v>0</v>
      </c>
      <c r="J91" s="278">
        <v>0</v>
      </c>
      <c r="K91" s="279">
        <v>0</v>
      </c>
      <c r="L91" s="11">
        <v>0</v>
      </c>
      <c r="M91" s="9">
        <f>SUMIFS(입항스케줄!J:J,입항스케줄!C:C,PSI_메인!A91,입항스케줄!U:U,"2601")</f>
        <v>0</v>
      </c>
      <c r="N91" s="11">
        <f>SUMIFS(입항스케줄!J:J,입항스케줄!C:C,PSI_메인!A91,입항스케줄!V:V,"2601")</f>
        <v>0</v>
      </c>
      <c r="O91" s="280">
        <f t="shared" si="44"/>
        <v>157</v>
      </c>
      <c r="P91" s="277">
        <f t="shared" si="45"/>
        <v>157</v>
      </c>
      <c r="Q91" s="278">
        <v>0</v>
      </c>
      <c r="R91" s="278">
        <v>0</v>
      </c>
      <c r="S91" s="10">
        <v>0</v>
      </c>
      <c r="T91" s="11">
        <v>0</v>
      </c>
      <c r="U91" s="9">
        <f>SUMIFS(입항스케줄!J:J,입항스케줄!C:C,PSI_메인!A91,입항스케줄!U:U,"2602")</f>
        <v>0</v>
      </c>
      <c r="V91" s="11">
        <f>SUMIFS(입항스케줄!J:J,입항스케줄!C:C,PSI_메인!A91,입항스케줄!V:V,"2602")</f>
        <v>0</v>
      </c>
      <c r="W91" s="280">
        <f t="shared" si="46"/>
        <v>157</v>
      </c>
      <c r="X91" s="277">
        <f t="shared" si="47"/>
        <v>157</v>
      </c>
      <c r="Y91" s="278">
        <v>0</v>
      </c>
      <c r="Z91" s="278">
        <v>0</v>
      </c>
      <c r="AA91" s="279">
        <f t="shared" si="34"/>
        <v>0</v>
      </c>
      <c r="AB91" s="11">
        <v>0</v>
      </c>
      <c r="AC91" s="9">
        <f>SUMIFS(입항스케줄!J:J,입항스케줄!C:C,PSI_메인!A91,입항스케줄!U:U,"2603")</f>
        <v>210</v>
      </c>
      <c r="AD91" s="11">
        <f>SUMIFS(입항스케줄!J:J,입항스케줄!C:C,PSI_메인!A91,입항스케줄!V:V,"2603")</f>
        <v>0</v>
      </c>
      <c r="AE91" s="280">
        <f t="shared" si="48"/>
        <v>367</v>
      </c>
      <c r="AF91" s="277">
        <f t="shared" si="49"/>
        <v>157</v>
      </c>
      <c r="AG91" s="278">
        <v>0</v>
      </c>
      <c r="AH91" s="278">
        <v>0</v>
      </c>
      <c r="AI91" s="279">
        <f t="shared" si="35"/>
        <v>0</v>
      </c>
      <c r="AJ91" s="11">
        <v>0</v>
      </c>
      <c r="AK91" s="9">
        <f>SUMIFS(입항스케줄!J:J,입항스케줄!C:C,PSI_메인!A91,입항스케줄!U:U,"2604")</f>
        <v>0</v>
      </c>
      <c r="AL91" s="11">
        <f>SUMIFS(입항스케줄!J:J,입항스케줄!C:C,PSI_메인!A91,입항스케줄!V:V,"2604")</f>
        <v>210</v>
      </c>
      <c r="AM91" s="280">
        <f t="shared" si="50"/>
        <v>157</v>
      </c>
      <c r="AN91" s="277">
        <f t="shared" si="51"/>
        <v>367</v>
      </c>
      <c r="AO91" s="278">
        <v>0</v>
      </c>
      <c r="AP91" s="278">
        <v>0</v>
      </c>
      <c r="AQ91" s="279">
        <f t="shared" si="36"/>
        <v>0</v>
      </c>
      <c r="AR91" s="11">
        <v>0</v>
      </c>
      <c r="AS91" s="9"/>
      <c r="AT91" s="277"/>
      <c r="AU91" s="280">
        <f t="shared" si="52"/>
        <v>157</v>
      </c>
      <c r="AV91" s="277">
        <f t="shared" si="53"/>
        <v>157</v>
      </c>
      <c r="AW91" s="278">
        <v>0</v>
      </c>
      <c r="AX91" s="278">
        <v>0</v>
      </c>
      <c r="AY91" s="279">
        <f t="shared" si="37"/>
        <v>0</v>
      </c>
      <c r="AZ91" s="11">
        <v>0</v>
      </c>
      <c r="BA91" s="9"/>
      <c r="BB91" s="11"/>
      <c r="BC91" s="280">
        <f t="shared" si="54"/>
        <v>157</v>
      </c>
      <c r="BD91" s="277">
        <f t="shared" si="55"/>
        <v>157</v>
      </c>
      <c r="BE91" s="278">
        <v>0</v>
      </c>
      <c r="BF91" s="278">
        <v>0</v>
      </c>
      <c r="BG91" s="279">
        <f t="shared" si="38"/>
        <v>0</v>
      </c>
      <c r="BH91" s="11">
        <v>0</v>
      </c>
      <c r="BI91" s="278"/>
      <c r="BJ91" s="11"/>
      <c r="BK91" s="280">
        <f t="shared" si="56"/>
        <v>157</v>
      </c>
      <c r="BL91" s="277">
        <f t="shared" si="57"/>
        <v>157</v>
      </c>
      <c r="BM91" s="278">
        <v>0</v>
      </c>
      <c r="BN91" s="278">
        <v>0</v>
      </c>
      <c r="BO91" s="279">
        <f t="shared" si="39"/>
        <v>0</v>
      </c>
      <c r="BP91" s="11">
        <v>0</v>
      </c>
      <c r="BQ91" s="278"/>
      <c r="BR91" s="11"/>
      <c r="BS91" s="280">
        <f t="shared" si="58"/>
        <v>157</v>
      </c>
      <c r="BT91" s="277">
        <f t="shared" si="59"/>
        <v>157</v>
      </c>
      <c r="BU91" s="278">
        <v>0</v>
      </c>
      <c r="BV91" s="278">
        <v>0</v>
      </c>
      <c r="BW91" s="279">
        <f t="shared" si="40"/>
        <v>0</v>
      </c>
      <c r="BX91" s="11">
        <v>0</v>
      </c>
      <c r="BY91" s="278"/>
      <c r="BZ91" s="11"/>
      <c r="CA91" s="280">
        <f t="shared" si="60"/>
        <v>157</v>
      </c>
      <c r="CB91" s="277">
        <f t="shared" si="61"/>
        <v>157</v>
      </c>
      <c r="CC91" s="278">
        <v>0</v>
      </c>
      <c r="CD91" s="278">
        <v>0</v>
      </c>
      <c r="CE91" s="279">
        <f t="shared" si="41"/>
        <v>0</v>
      </c>
      <c r="CF91" s="11">
        <v>0</v>
      </c>
      <c r="CG91" s="278"/>
      <c r="CH91" s="11"/>
      <c r="CI91" s="280">
        <f t="shared" si="62"/>
        <v>157</v>
      </c>
      <c r="CJ91" s="277">
        <f t="shared" si="63"/>
        <v>157</v>
      </c>
      <c r="CK91" s="278">
        <v>0</v>
      </c>
      <c r="CL91" s="278">
        <v>0</v>
      </c>
      <c r="CM91" s="279">
        <f t="shared" si="42"/>
        <v>0</v>
      </c>
      <c r="CN91" s="11">
        <v>0</v>
      </c>
      <c r="CO91" s="278"/>
      <c r="CP91" s="277"/>
      <c r="CQ91" s="280">
        <f t="shared" si="64"/>
        <v>157</v>
      </c>
      <c r="CR91" s="277">
        <f t="shared" si="65"/>
        <v>157</v>
      </c>
      <c r="CS91" s="278">
        <v>0</v>
      </c>
      <c r="CT91" s="278">
        <v>0</v>
      </c>
      <c r="CU91" s="279">
        <f t="shared" si="43"/>
        <v>0</v>
      </c>
      <c r="CV91" s="11">
        <v>0</v>
      </c>
      <c r="CW91" s="278"/>
      <c r="CX91" s="277"/>
      <c r="CY91" s="280">
        <f t="shared" si="66"/>
        <v>157</v>
      </c>
      <c r="CZ91" s="277">
        <f t="shared" si="67"/>
        <v>157</v>
      </c>
    </row>
    <row r="92" spans="1:104" ht="17.25" customHeight="1">
      <c r="A92" s="28" t="s">
        <v>669</v>
      </c>
      <c r="B92" s="382"/>
      <c r="C92" s="27"/>
      <c r="D92" s="28" t="str">
        <f>_xlfn.XLOOKUP(A92,'ABC-XYZ분석 (2)'!C:C,'ABC-XYZ분석 (2)'!I:I)</f>
        <v>사계절</v>
      </c>
      <c r="E92" s="28" t="str">
        <f>_xlfn.XLOOKUP(A92,'ABC-XYZ분석 (2)'!C:C,'ABC-XYZ분석 (2)'!AC:AC)</f>
        <v>C</v>
      </c>
      <c r="F92" s="3" t="str">
        <f>_xlfn.XLOOKUP(A92,'ABC-XYZ분석 (2)'!C:C,'ABC-XYZ분석 (2)'!AG:AG)</f>
        <v>Y</v>
      </c>
      <c r="G92" s="14">
        <f>SUMIF(재고!C:C,PSI_메인!A92,재고!I:I)</f>
        <v>176</v>
      </c>
      <c r="H92" s="277">
        <v>294</v>
      </c>
      <c r="I92" s="278">
        <v>0</v>
      </c>
      <c r="J92" s="278">
        <v>0</v>
      </c>
      <c r="K92" s="279">
        <v>150</v>
      </c>
      <c r="L92" s="11">
        <v>0</v>
      </c>
      <c r="M92" s="9">
        <f>SUMIFS(입항스케줄!J:J,입항스케줄!C:C,PSI_메인!A92,입항스케줄!U:U,"2601")</f>
        <v>0</v>
      </c>
      <c r="N92" s="11">
        <f>SUMIFS(입항스케줄!J:J,입항스케줄!C:C,PSI_메인!A92,입항스케줄!V:V,"2601")</f>
        <v>0</v>
      </c>
      <c r="O92" s="280">
        <f t="shared" si="44"/>
        <v>26</v>
      </c>
      <c r="P92" s="277">
        <f t="shared" si="45"/>
        <v>176</v>
      </c>
      <c r="Q92" s="278">
        <v>0</v>
      </c>
      <c r="R92" s="278">
        <v>0</v>
      </c>
      <c r="S92" s="10">
        <v>0</v>
      </c>
      <c r="T92" s="11">
        <v>0</v>
      </c>
      <c r="U92" s="9">
        <f>SUMIFS(입항스케줄!J:J,입항스케줄!C:C,PSI_메인!A92,입항스케줄!U:U,"2602")</f>
        <v>0</v>
      </c>
      <c r="V92" s="11">
        <f>SUMIFS(입항스케줄!J:J,입항스케줄!C:C,PSI_메인!A92,입항스케줄!V:V,"2602")</f>
        <v>0</v>
      </c>
      <c r="W92" s="280">
        <f t="shared" si="46"/>
        <v>176</v>
      </c>
      <c r="X92" s="277">
        <f t="shared" si="47"/>
        <v>176</v>
      </c>
      <c r="Y92" s="278">
        <v>0</v>
      </c>
      <c r="Z92" s="278">
        <v>0</v>
      </c>
      <c r="AA92" s="279">
        <f t="shared" si="34"/>
        <v>0</v>
      </c>
      <c r="AB92" s="11">
        <v>0</v>
      </c>
      <c r="AC92" s="9">
        <f>SUMIFS(입항스케줄!J:J,입항스케줄!C:C,PSI_메인!A92,입항스케줄!U:U,"2603")</f>
        <v>0</v>
      </c>
      <c r="AD92" s="11">
        <f>SUMIFS(입항스케줄!J:J,입항스케줄!C:C,PSI_메인!A92,입항스케줄!V:V,"2603")</f>
        <v>0</v>
      </c>
      <c r="AE92" s="280">
        <f t="shared" si="48"/>
        <v>176</v>
      </c>
      <c r="AF92" s="277">
        <f t="shared" si="49"/>
        <v>176</v>
      </c>
      <c r="AG92" s="278">
        <v>0</v>
      </c>
      <c r="AH92" s="278">
        <v>0</v>
      </c>
      <c r="AI92" s="279">
        <f t="shared" si="35"/>
        <v>0</v>
      </c>
      <c r="AJ92" s="11">
        <v>0</v>
      </c>
      <c r="AK92" s="9">
        <f>SUMIFS(입항스케줄!J:J,입항스케줄!C:C,PSI_메인!A92,입항스케줄!U:U,"2604")</f>
        <v>0</v>
      </c>
      <c r="AL92" s="11">
        <f>SUMIFS(입항스케줄!J:J,입항스케줄!C:C,PSI_메인!A92,입항스케줄!V:V,"2604")</f>
        <v>0</v>
      </c>
      <c r="AM92" s="280">
        <f t="shared" si="50"/>
        <v>176</v>
      </c>
      <c r="AN92" s="277">
        <f t="shared" si="51"/>
        <v>176</v>
      </c>
      <c r="AO92" s="278">
        <v>0</v>
      </c>
      <c r="AP92" s="278">
        <v>0</v>
      </c>
      <c r="AQ92" s="279">
        <f t="shared" si="36"/>
        <v>0</v>
      </c>
      <c r="AR92" s="11">
        <v>0</v>
      </c>
      <c r="AS92" s="9"/>
      <c r="AT92" s="277"/>
      <c r="AU92" s="280">
        <f t="shared" si="52"/>
        <v>176</v>
      </c>
      <c r="AV92" s="277">
        <f t="shared" si="53"/>
        <v>176</v>
      </c>
      <c r="AW92" s="278">
        <v>0</v>
      </c>
      <c r="AX92" s="278">
        <v>0</v>
      </c>
      <c r="AY92" s="279">
        <f t="shared" si="37"/>
        <v>0</v>
      </c>
      <c r="AZ92" s="11">
        <v>0</v>
      </c>
      <c r="BA92" s="9"/>
      <c r="BB92" s="11"/>
      <c r="BC92" s="280">
        <f t="shared" si="54"/>
        <v>176</v>
      </c>
      <c r="BD92" s="277">
        <f t="shared" si="55"/>
        <v>176</v>
      </c>
      <c r="BE92" s="278">
        <v>0</v>
      </c>
      <c r="BF92" s="278">
        <v>0</v>
      </c>
      <c r="BG92" s="279">
        <f t="shared" si="38"/>
        <v>0</v>
      </c>
      <c r="BH92" s="11">
        <v>0</v>
      </c>
      <c r="BI92" s="278"/>
      <c r="BJ92" s="11"/>
      <c r="BK92" s="280">
        <f t="shared" si="56"/>
        <v>176</v>
      </c>
      <c r="BL92" s="277">
        <f t="shared" si="57"/>
        <v>176</v>
      </c>
      <c r="BM92" s="278">
        <v>0</v>
      </c>
      <c r="BN92" s="278">
        <v>0</v>
      </c>
      <c r="BO92" s="279">
        <f t="shared" si="39"/>
        <v>0</v>
      </c>
      <c r="BP92" s="11">
        <v>0</v>
      </c>
      <c r="BQ92" s="278"/>
      <c r="BR92" s="11"/>
      <c r="BS92" s="280">
        <f t="shared" si="58"/>
        <v>176</v>
      </c>
      <c r="BT92" s="277">
        <f t="shared" si="59"/>
        <v>176</v>
      </c>
      <c r="BU92" s="278">
        <v>0</v>
      </c>
      <c r="BV92" s="278">
        <v>0</v>
      </c>
      <c r="BW92" s="279">
        <f t="shared" si="40"/>
        <v>0</v>
      </c>
      <c r="BX92" s="11">
        <v>0</v>
      </c>
      <c r="BY92" s="278"/>
      <c r="BZ92" s="11"/>
      <c r="CA92" s="280">
        <f t="shared" si="60"/>
        <v>176</v>
      </c>
      <c r="CB92" s="277">
        <f t="shared" si="61"/>
        <v>176</v>
      </c>
      <c r="CC92" s="278">
        <v>0</v>
      </c>
      <c r="CD92" s="278">
        <v>0</v>
      </c>
      <c r="CE92" s="279">
        <f t="shared" si="41"/>
        <v>0</v>
      </c>
      <c r="CF92" s="11">
        <v>0</v>
      </c>
      <c r="CG92" s="278"/>
      <c r="CH92" s="11"/>
      <c r="CI92" s="280">
        <f t="shared" si="62"/>
        <v>176</v>
      </c>
      <c r="CJ92" s="277">
        <f t="shared" si="63"/>
        <v>176</v>
      </c>
      <c r="CK92" s="278">
        <v>0</v>
      </c>
      <c r="CL92" s="278">
        <v>0</v>
      </c>
      <c r="CM92" s="279">
        <f t="shared" si="42"/>
        <v>0</v>
      </c>
      <c r="CN92" s="11">
        <v>0</v>
      </c>
      <c r="CO92" s="278"/>
      <c r="CP92" s="277"/>
      <c r="CQ92" s="280">
        <f t="shared" si="64"/>
        <v>176</v>
      </c>
      <c r="CR92" s="277">
        <f t="shared" si="65"/>
        <v>176</v>
      </c>
      <c r="CS92" s="278">
        <v>0</v>
      </c>
      <c r="CT92" s="278">
        <v>0</v>
      </c>
      <c r="CU92" s="279">
        <f t="shared" si="43"/>
        <v>0</v>
      </c>
      <c r="CV92" s="11">
        <v>0</v>
      </c>
      <c r="CW92" s="278"/>
      <c r="CX92" s="277"/>
      <c r="CY92" s="280">
        <f t="shared" si="66"/>
        <v>176</v>
      </c>
      <c r="CZ92" s="277">
        <f t="shared" si="67"/>
        <v>176</v>
      </c>
    </row>
    <row r="93" spans="1:104" ht="17.25" customHeight="1">
      <c r="A93" s="28" t="s">
        <v>670</v>
      </c>
      <c r="B93" s="382"/>
      <c r="C93" s="27"/>
      <c r="D93" s="28" t="str">
        <f>_xlfn.XLOOKUP(A93,'ABC-XYZ분석 (2)'!C:C,'ABC-XYZ분석 (2)'!I:I)</f>
        <v>겨울</v>
      </c>
      <c r="E93" s="28" t="str">
        <f>_xlfn.XLOOKUP(A93,'ABC-XYZ분석 (2)'!C:C,'ABC-XYZ분석 (2)'!AC:AC)</f>
        <v>C</v>
      </c>
      <c r="F93" s="3" t="str">
        <f>_xlfn.XLOOKUP(A93,'ABC-XYZ분석 (2)'!C:C,'ABC-XYZ분석 (2)'!AG:AG)</f>
        <v>Z</v>
      </c>
      <c r="G93" s="14">
        <f>SUMIF(재고!C:C,PSI_메인!A93,재고!I:I)</f>
        <v>25</v>
      </c>
      <c r="H93" s="277">
        <v>3065</v>
      </c>
      <c r="I93" s="278">
        <v>0</v>
      </c>
      <c r="J93" s="278">
        <v>0</v>
      </c>
      <c r="K93" s="279">
        <v>2500</v>
      </c>
      <c r="L93" s="11">
        <v>0</v>
      </c>
      <c r="M93" s="9">
        <f>SUMIFS(입항스케줄!J:J,입항스케줄!C:C,PSI_메인!A93,입항스케줄!U:U,"2601")</f>
        <v>0</v>
      </c>
      <c r="N93" s="11">
        <f>SUMIFS(입항스케줄!J:J,입항스케줄!C:C,PSI_메인!A93,입항스케줄!V:V,"2601")</f>
        <v>0</v>
      </c>
      <c r="O93" s="280">
        <f t="shared" si="44"/>
        <v>-2475</v>
      </c>
      <c r="P93" s="277">
        <f t="shared" si="45"/>
        <v>25</v>
      </c>
      <c r="Q93" s="278">
        <v>0</v>
      </c>
      <c r="R93" s="278">
        <v>0</v>
      </c>
      <c r="S93" s="10">
        <v>0</v>
      </c>
      <c r="T93" s="11">
        <v>0</v>
      </c>
      <c r="U93" s="9">
        <f>SUMIFS(입항스케줄!J:J,입항스케줄!C:C,PSI_메인!A93,입항스케줄!U:U,"2602")</f>
        <v>0</v>
      </c>
      <c r="V93" s="11">
        <f>SUMIFS(입항스케줄!J:J,입항스케줄!C:C,PSI_메인!A93,입항스케줄!V:V,"2602")</f>
        <v>0</v>
      </c>
      <c r="W93" s="280">
        <f t="shared" si="46"/>
        <v>25</v>
      </c>
      <c r="X93" s="277">
        <f t="shared" si="47"/>
        <v>25</v>
      </c>
      <c r="Y93" s="278">
        <v>0</v>
      </c>
      <c r="Z93" s="278">
        <v>0</v>
      </c>
      <c r="AA93" s="279">
        <f t="shared" si="34"/>
        <v>0</v>
      </c>
      <c r="AB93" s="11">
        <v>0</v>
      </c>
      <c r="AC93" s="9">
        <f>SUMIFS(입항스케줄!J:J,입항스케줄!C:C,PSI_메인!A93,입항스케줄!U:U,"2603")</f>
        <v>0</v>
      </c>
      <c r="AD93" s="11">
        <f>SUMIFS(입항스케줄!J:J,입항스케줄!C:C,PSI_메인!A93,입항스케줄!V:V,"2603")</f>
        <v>0</v>
      </c>
      <c r="AE93" s="280">
        <f t="shared" si="48"/>
        <v>25</v>
      </c>
      <c r="AF93" s="277">
        <f t="shared" si="49"/>
        <v>25</v>
      </c>
      <c r="AG93" s="278">
        <v>0</v>
      </c>
      <c r="AH93" s="278">
        <v>0</v>
      </c>
      <c r="AI93" s="279">
        <f t="shared" si="35"/>
        <v>0</v>
      </c>
      <c r="AJ93" s="11">
        <v>0</v>
      </c>
      <c r="AK93" s="9">
        <f>SUMIFS(입항스케줄!J:J,입항스케줄!C:C,PSI_메인!A93,입항스케줄!U:U,"2604")</f>
        <v>0</v>
      </c>
      <c r="AL93" s="11">
        <f>SUMIFS(입항스케줄!J:J,입항스케줄!C:C,PSI_메인!A93,입항스케줄!V:V,"2604")</f>
        <v>0</v>
      </c>
      <c r="AM93" s="280">
        <f t="shared" si="50"/>
        <v>25</v>
      </c>
      <c r="AN93" s="277">
        <f t="shared" si="51"/>
        <v>25</v>
      </c>
      <c r="AO93" s="278">
        <v>0</v>
      </c>
      <c r="AP93" s="278">
        <v>0</v>
      </c>
      <c r="AQ93" s="279">
        <f t="shared" si="36"/>
        <v>0</v>
      </c>
      <c r="AR93" s="11">
        <v>0</v>
      </c>
      <c r="AS93" s="9"/>
      <c r="AT93" s="277"/>
      <c r="AU93" s="280">
        <f t="shared" si="52"/>
        <v>25</v>
      </c>
      <c r="AV93" s="277">
        <f t="shared" si="53"/>
        <v>25</v>
      </c>
      <c r="AW93" s="278">
        <v>0</v>
      </c>
      <c r="AX93" s="278">
        <v>0</v>
      </c>
      <c r="AY93" s="279">
        <f t="shared" si="37"/>
        <v>0</v>
      </c>
      <c r="AZ93" s="11">
        <v>0</v>
      </c>
      <c r="BA93" s="9"/>
      <c r="BB93" s="11"/>
      <c r="BC93" s="280">
        <f t="shared" si="54"/>
        <v>25</v>
      </c>
      <c r="BD93" s="277">
        <f t="shared" si="55"/>
        <v>25</v>
      </c>
      <c r="BE93" s="278">
        <v>0</v>
      </c>
      <c r="BF93" s="278">
        <v>0</v>
      </c>
      <c r="BG93" s="279">
        <f t="shared" si="38"/>
        <v>0</v>
      </c>
      <c r="BH93" s="11">
        <v>0</v>
      </c>
      <c r="BI93" s="278"/>
      <c r="BJ93" s="11"/>
      <c r="BK93" s="280">
        <f t="shared" si="56"/>
        <v>25</v>
      </c>
      <c r="BL93" s="277">
        <f t="shared" si="57"/>
        <v>25</v>
      </c>
      <c r="BM93" s="278">
        <v>0</v>
      </c>
      <c r="BN93" s="278">
        <v>0</v>
      </c>
      <c r="BO93" s="279">
        <f t="shared" si="39"/>
        <v>0</v>
      </c>
      <c r="BP93" s="11">
        <v>0</v>
      </c>
      <c r="BQ93" s="278"/>
      <c r="BR93" s="11"/>
      <c r="BS93" s="280">
        <f t="shared" si="58"/>
        <v>25</v>
      </c>
      <c r="BT93" s="277">
        <f t="shared" si="59"/>
        <v>25</v>
      </c>
      <c r="BU93" s="278">
        <v>0</v>
      </c>
      <c r="BV93" s="278">
        <v>0</v>
      </c>
      <c r="BW93" s="279">
        <f t="shared" si="40"/>
        <v>0</v>
      </c>
      <c r="BX93" s="11">
        <v>0</v>
      </c>
      <c r="BY93" s="278"/>
      <c r="BZ93" s="11"/>
      <c r="CA93" s="280">
        <f t="shared" si="60"/>
        <v>25</v>
      </c>
      <c r="CB93" s="277">
        <f t="shared" si="61"/>
        <v>25</v>
      </c>
      <c r="CC93" s="278">
        <v>0</v>
      </c>
      <c r="CD93" s="278">
        <v>0</v>
      </c>
      <c r="CE93" s="279">
        <f t="shared" si="41"/>
        <v>0</v>
      </c>
      <c r="CF93" s="11">
        <v>0</v>
      </c>
      <c r="CG93" s="278"/>
      <c r="CH93" s="11"/>
      <c r="CI93" s="280">
        <f t="shared" si="62"/>
        <v>25</v>
      </c>
      <c r="CJ93" s="277">
        <f t="shared" si="63"/>
        <v>25</v>
      </c>
      <c r="CK93" s="278">
        <v>0</v>
      </c>
      <c r="CL93" s="278">
        <v>0</v>
      </c>
      <c r="CM93" s="279">
        <f t="shared" si="42"/>
        <v>0</v>
      </c>
      <c r="CN93" s="11">
        <v>0</v>
      </c>
      <c r="CO93" s="278"/>
      <c r="CP93" s="277"/>
      <c r="CQ93" s="280">
        <f t="shared" si="64"/>
        <v>25</v>
      </c>
      <c r="CR93" s="277">
        <f t="shared" si="65"/>
        <v>25</v>
      </c>
      <c r="CS93" s="278">
        <v>0</v>
      </c>
      <c r="CT93" s="278">
        <v>0</v>
      </c>
      <c r="CU93" s="279">
        <f t="shared" si="43"/>
        <v>0</v>
      </c>
      <c r="CV93" s="11">
        <v>0</v>
      </c>
      <c r="CW93" s="278"/>
      <c r="CX93" s="277"/>
      <c r="CY93" s="280">
        <f t="shared" si="66"/>
        <v>25</v>
      </c>
      <c r="CZ93" s="277">
        <f t="shared" si="67"/>
        <v>25</v>
      </c>
    </row>
    <row r="94" spans="1:104" ht="17.25" customHeight="1">
      <c r="A94" s="28" t="s">
        <v>671</v>
      </c>
      <c r="B94" s="382"/>
      <c r="C94" s="27"/>
      <c r="D94" s="28" t="str">
        <f>_xlfn.XLOOKUP(A94,'ABC-XYZ분석 (2)'!C:C,'ABC-XYZ분석 (2)'!I:I)</f>
        <v>사계절</v>
      </c>
      <c r="E94" s="28" t="str">
        <f>_xlfn.XLOOKUP(A94,'ABC-XYZ분석 (2)'!C:C,'ABC-XYZ분석 (2)'!AC:AC)</f>
        <v>C</v>
      </c>
      <c r="F94" s="3" t="str">
        <f>_xlfn.XLOOKUP(A94,'ABC-XYZ분석 (2)'!C:C,'ABC-XYZ분석 (2)'!AG:AG)</f>
        <v>Y</v>
      </c>
      <c r="G94" s="14">
        <f>SUMIF(재고!C:C,PSI_메인!A94,재고!I:I)</f>
        <v>0</v>
      </c>
      <c r="H94" s="277">
        <v>739</v>
      </c>
      <c r="I94" s="278">
        <v>0</v>
      </c>
      <c r="J94" s="278">
        <v>0</v>
      </c>
      <c r="K94" s="279">
        <v>400</v>
      </c>
      <c r="L94" s="11">
        <v>0</v>
      </c>
      <c r="M94" s="9">
        <f>SUMIFS(입항스케줄!J:J,입항스케줄!C:C,PSI_메인!A94,입항스케줄!U:U,"2601")</f>
        <v>0</v>
      </c>
      <c r="N94" s="11">
        <f>SUMIFS(입항스케줄!J:J,입항스케줄!C:C,PSI_메인!A94,입항스케줄!V:V,"2601")</f>
        <v>0</v>
      </c>
      <c r="O94" s="280">
        <f t="shared" si="44"/>
        <v>-400</v>
      </c>
      <c r="P94" s="277">
        <f t="shared" si="45"/>
        <v>0</v>
      </c>
      <c r="Q94" s="278">
        <v>0</v>
      </c>
      <c r="R94" s="278">
        <v>0</v>
      </c>
      <c r="S94" s="10">
        <v>0</v>
      </c>
      <c r="T94" s="11">
        <v>0</v>
      </c>
      <c r="U94" s="9">
        <f>SUMIFS(입항스케줄!J:J,입항스케줄!C:C,PSI_메인!A94,입항스케줄!U:U,"2602")</f>
        <v>0</v>
      </c>
      <c r="V94" s="11">
        <f>SUMIFS(입항스케줄!J:J,입항스케줄!C:C,PSI_메인!A94,입항스케줄!V:V,"2602")</f>
        <v>0</v>
      </c>
      <c r="W94" s="280">
        <f t="shared" si="46"/>
        <v>0</v>
      </c>
      <c r="X94" s="277">
        <f t="shared" si="47"/>
        <v>0</v>
      </c>
      <c r="Y94" s="278">
        <v>0</v>
      </c>
      <c r="Z94" s="278">
        <v>0</v>
      </c>
      <c r="AA94" s="279">
        <f t="shared" si="34"/>
        <v>0</v>
      </c>
      <c r="AB94" s="11">
        <v>0</v>
      </c>
      <c r="AC94" s="9">
        <f>SUMIFS(입항스케줄!J:J,입항스케줄!C:C,PSI_메인!A94,입항스케줄!U:U,"2603")</f>
        <v>0</v>
      </c>
      <c r="AD94" s="11">
        <f>SUMIFS(입항스케줄!J:J,입항스케줄!C:C,PSI_메인!A94,입항스케줄!V:V,"2603")</f>
        <v>0</v>
      </c>
      <c r="AE94" s="280">
        <f t="shared" si="48"/>
        <v>0</v>
      </c>
      <c r="AF94" s="277">
        <f t="shared" si="49"/>
        <v>0</v>
      </c>
      <c r="AG94" s="278">
        <v>0</v>
      </c>
      <c r="AH94" s="278">
        <v>0</v>
      </c>
      <c r="AI94" s="279">
        <f t="shared" si="35"/>
        <v>0</v>
      </c>
      <c r="AJ94" s="11">
        <v>0</v>
      </c>
      <c r="AK94" s="9">
        <f>SUMIFS(입항스케줄!J:J,입항스케줄!C:C,PSI_메인!A94,입항스케줄!U:U,"2604")</f>
        <v>0</v>
      </c>
      <c r="AL94" s="11">
        <f>SUMIFS(입항스케줄!J:J,입항스케줄!C:C,PSI_메인!A94,입항스케줄!V:V,"2604")</f>
        <v>0</v>
      </c>
      <c r="AM94" s="280">
        <f t="shared" si="50"/>
        <v>0</v>
      </c>
      <c r="AN94" s="277">
        <f t="shared" si="51"/>
        <v>0</v>
      </c>
      <c r="AO94" s="278">
        <v>0</v>
      </c>
      <c r="AP94" s="278">
        <v>0</v>
      </c>
      <c r="AQ94" s="279">
        <f t="shared" si="36"/>
        <v>0</v>
      </c>
      <c r="AR94" s="11">
        <v>0</v>
      </c>
      <c r="AS94" s="9"/>
      <c r="AT94" s="277"/>
      <c r="AU94" s="280">
        <f t="shared" si="52"/>
        <v>0</v>
      </c>
      <c r="AV94" s="277">
        <f t="shared" si="53"/>
        <v>0</v>
      </c>
      <c r="AW94" s="278">
        <v>0</v>
      </c>
      <c r="AX94" s="278">
        <v>0</v>
      </c>
      <c r="AY94" s="279">
        <f t="shared" si="37"/>
        <v>0</v>
      </c>
      <c r="AZ94" s="11">
        <v>0</v>
      </c>
      <c r="BA94" s="9"/>
      <c r="BB94" s="11"/>
      <c r="BC94" s="280">
        <f t="shared" si="54"/>
        <v>0</v>
      </c>
      <c r="BD94" s="277">
        <f t="shared" si="55"/>
        <v>0</v>
      </c>
      <c r="BE94" s="278">
        <v>0</v>
      </c>
      <c r="BF94" s="278">
        <v>0</v>
      </c>
      <c r="BG94" s="279">
        <f t="shared" si="38"/>
        <v>0</v>
      </c>
      <c r="BH94" s="11">
        <v>0</v>
      </c>
      <c r="BI94" s="278"/>
      <c r="BJ94" s="11"/>
      <c r="BK94" s="280">
        <f t="shared" si="56"/>
        <v>0</v>
      </c>
      <c r="BL94" s="277">
        <f t="shared" si="57"/>
        <v>0</v>
      </c>
      <c r="BM94" s="278">
        <v>0</v>
      </c>
      <c r="BN94" s="278">
        <v>0</v>
      </c>
      <c r="BO94" s="279">
        <f t="shared" si="39"/>
        <v>0</v>
      </c>
      <c r="BP94" s="11">
        <v>0</v>
      </c>
      <c r="BQ94" s="278"/>
      <c r="BR94" s="11"/>
      <c r="BS94" s="280">
        <f t="shared" si="58"/>
        <v>0</v>
      </c>
      <c r="BT94" s="277">
        <f t="shared" si="59"/>
        <v>0</v>
      </c>
      <c r="BU94" s="278">
        <v>0</v>
      </c>
      <c r="BV94" s="278">
        <v>0</v>
      </c>
      <c r="BW94" s="279">
        <f t="shared" si="40"/>
        <v>0</v>
      </c>
      <c r="BX94" s="11">
        <v>0</v>
      </c>
      <c r="BY94" s="278"/>
      <c r="BZ94" s="11"/>
      <c r="CA94" s="280">
        <f t="shared" si="60"/>
        <v>0</v>
      </c>
      <c r="CB94" s="277">
        <f t="shared" si="61"/>
        <v>0</v>
      </c>
      <c r="CC94" s="278">
        <v>0</v>
      </c>
      <c r="CD94" s="278">
        <v>0</v>
      </c>
      <c r="CE94" s="279">
        <f t="shared" si="41"/>
        <v>0</v>
      </c>
      <c r="CF94" s="11">
        <v>0</v>
      </c>
      <c r="CG94" s="278"/>
      <c r="CH94" s="11"/>
      <c r="CI94" s="280">
        <f t="shared" si="62"/>
        <v>0</v>
      </c>
      <c r="CJ94" s="277">
        <f t="shared" si="63"/>
        <v>0</v>
      </c>
      <c r="CK94" s="278">
        <v>0</v>
      </c>
      <c r="CL94" s="278">
        <v>0</v>
      </c>
      <c r="CM94" s="279">
        <f t="shared" si="42"/>
        <v>0</v>
      </c>
      <c r="CN94" s="11">
        <v>0</v>
      </c>
      <c r="CO94" s="278"/>
      <c r="CP94" s="277"/>
      <c r="CQ94" s="280">
        <f t="shared" si="64"/>
        <v>0</v>
      </c>
      <c r="CR94" s="277">
        <f t="shared" si="65"/>
        <v>0</v>
      </c>
      <c r="CS94" s="278">
        <v>0</v>
      </c>
      <c r="CT94" s="278">
        <v>0</v>
      </c>
      <c r="CU94" s="279">
        <f t="shared" si="43"/>
        <v>0</v>
      </c>
      <c r="CV94" s="11">
        <v>0</v>
      </c>
      <c r="CW94" s="278"/>
      <c r="CX94" s="277"/>
      <c r="CY94" s="280">
        <f t="shared" si="66"/>
        <v>0</v>
      </c>
      <c r="CZ94" s="277">
        <f t="shared" si="67"/>
        <v>0</v>
      </c>
    </row>
    <row r="95" spans="1:104" ht="17.25" customHeight="1">
      <c r="A95" s="28" t="s">
        <v>672</v>
      </c>
      <c r="B95" s="382"/>
      <c r="C95" s="27"/>
      <c r="D95" s="28" t="str">
        <f>_xlfn.XLOOKUP(A95,'ABC-XYZ분석 (2)'!C:C,'ABC-XYZ분석 (2)'!I:I)</f>
        <v>사계절</v>
      </c>
      <c r="E95" s="28" t="str">
        <f>_xlfn.XLOOKUP(A95,'ABC-XYZ분석 (2)'!C:C,'ABC-XYZ분석 (2)'!AC:AC)</f>
        <v>C</v>
      </c>
      <c r="F95" s="3" t="str">
        <f>_xlfn.XLOOKUP(A95,'ABC-XYZ분석 (2)'!C:C,'ABC-XYZ분석 (2)'!AG:AG)</f>
        <v>Z</v>
      </c>
      <c r="G95" s="14">
        <f>SUMIF(재고!C:C,PSI_메인!A95,재고!I:I)</f>
        <v>1</v>
      </c>
      <c r="H95" s="277">
        <v>399</v>
      </c>
      <c r="I95" s="278">
        <v>0</v>
      </c>
      <c r="J95" s="278">
        <v>0</v>
      </c>
      <c r="K95" s="279">
        <v>300</v>
      </c>
      <c r="L95" s="11">
        <v>0</v>
      </c>
      <c r="M95" s="9">
        <f>SUMIFS(입항스케줄!J:J,입항스케줄!C:C,PSI_메인!A95,입항스케줄!U:U,"2601")</f>
        <v>0</v>
      </c>
      <c r="N95" s="11">
        <f>SUMIFS(입항스케줄!J:J,입항스케줄!C:C,PSI_메인!A95,입항스케줄!V:V,"2601")</f>
        <v>0</v>
      </c>
      <c r="O95" s="280">
        <f t="shared" si="44"/>
        <v>-299</v>
      </c>
      <c r="P95" s="277">
        <f t="shared" si="45"/>
        <v>1</v>
      </c>
      <c r="Q95" s="278">
        <v>0</v>
      </c>
      <c r="R95" s="278">
        <v>0</v>
      </c>
      <c r="S95" s="10">
        <v>0</v>
      </c>
      <c r="T95" s="11">
        <v>0</v>
      </c>
      <c r="U95" s="9">
        <f>SUMIFS(입항스케줄!J:J,입항스케줄!C:C,PSI_메인!A95,입항스케줄!U:U,"2602")</f>
        <v>0</v>
      </c>
      <c r="V95" s="11">
        <f>SUMIFS(입항스케줄!J:J,입항스케줄!C:C,PSI_메인!A95,입항스케줄!V:V,"2602")</f>
        <v>0</v>
      </c>
      <c r="W95" s="280">
        <f t="shared" si="46"/>
        <v>1</v>
      </c>
      <c r="X95" s="277">
        <f t="shared" si="47"/>
        <v>1</v>
      </c>
      <c r="Y95" s="278">
        <v>0</v>
      </c>
      <c r="Z95" s="278">
        <v>0</v>
      </c>
      <c r="AA95" s="279">
        <f t="shared" si="34"/>
        <v>0</v>
      </c>
      <c r="AB95" s="11">
        <v>0</v>
      </c>
      <c r="AC95" s="9">
        <f>SUMIFS(입항스케줄!J:J,입항스케줄!C:C,PSI_메인!A95,입항스케줄!U:U,"2603")</f>
        <v>0</v>
      </c>
      <c r="AD95" s="11">
        <f>SUMIFS(입항스케줄!J:J,입항스케줄!C:C,PSI_메인!A95,입항스케줄!V:V,"2603")</f>
        <v>0</v>
      </c>
      <c r="AE95" s="280">
        <f t="shared" si="48"/>
        <v>1</v>
      </c>
      <c r="AF95" s="277">
        <f t="shared" si="49"/>
        <v>1</v>
      </c>
      <c r="AG95" s="278">
        <v>0</v>
      </c>
      <c r="AH95" s="278">
        <v>0</v>
      </c>
      <c r="AI95" s="279">
        <f t="shared" si="35"/>
        <v>0</v>
      </c>
      <c r="AJ95" s="11">
        <v>0</v>
      </c>
      <c r="AK95" s="9">
        <f>SUMIFS(입항스케줄!J:J,입항스케줄!C:C,PSI_메인!A95,입항스케줄!U:U,"2604")</f>
        <v>0</v>
      </c>
      <c r="AL95" s="11">
        <f>SUMIFS(입항스케줄!J:J,입항스케줄!C:C,PSI_메인!A95,입항스케줄!V:V,"2604")</f>
        <v>0</v>
      </c>
      <c r="AM95" s="280">
        <f t="shared" si="50"/>
        <v>1</v>
      </c>
      <c r="AN95" s="277">
        <f t="shared" si="51"/>
        <v>1</v>
      </c>
      <c r="AO95" s="278">
        <v>0</v>
      </c>
      <c r="AP95" s="278">
        <v>0</v>
      </c>
      <c r="AQ95" s="279">
        <f t="shared" si="36"/>
        <v>0</v>
      </c>
      <c r="AR95" s="11">
        <v>0</v>
      </c>
      <c r="AS95" s="9"/>
      <c r="AT95" s="277"/>
      <c r="AU95" s="280">
        <f t="shared" si="52"/>
        <v>1</v>
      </c>
      <c r="AV95" s="277">
        <f t="shared" si="53"/>
        <v>1</v>
      </c>
      <c r="AW95" s="278">
        <v>0</v>
      </c>
      <c r="AX95" s="278">
        <v>0</v>
      </c>
      <c r="AY95" s="279">
        <f t="shared" si="37"/>
        <v>0</v>
      </c>
      <c r="AZ95" s="11">
        <v>0</v>
      </c>
      <c r="BA95" s="9"/>
      <c r="BB95" s="11"/>
      <c r="BC95" s="280">
        <f t="shared" si="54"/>
        <v>1</v>
      </c>
      <c r="BD95" s="277">
        <f t="shared" si="55"/>
        <v>1</v>
      </c>
      <c r="BE95" s="278">
        <v>0</v>
      </c>
      <c r="BF95" s="278">
        <v>0</v>
      </c>
      <c r="BG95" s="279">
        <f t="shared" si="38"/>
        <v>0</v>
      </c>
      <c r="BH95" s="11">
        <v>0</v>
      </c>
      <c r="BI95" s="278"/>
      <c r="BJ95" s="11"/>
      <c r="BK95" s="280">
        <f t="shared" si="56"/>
        <v>1</v>
      </c>
      <c r="BL95" s="277">
        <f t="shared" si="57"/>
        <v>1</v>
      </c>
      <c r="BM95" s="278">
        <v>0</v>
      </c>
      <c r="BN95" s="278">
        <v>0</v>
      </c>
      <c r="BO95" s="279">
        <f t="shared" si="39"/>
        <v>0</v>
      </c>
      <c r="BP95" s="11">
        <v>0</v>
      </c>
      <c r="BQ95" s="278"/>
      <c r="BR95" s="11"/>
      <c r="BS95" s="280">
        <f t="shared" si="58"/>
        <v>1</v>
      </c>
      <c r="BT95" s="277">
        <f t="shared" si="59"/>
        <v>1</v>
      </c>
      <c r="BU95" s="278">
        <v>0</v>
      </c>
      <c r="BV95" s="278">
        <v>0</v>
      </c>
      <c r="BW95" s="279">
        <f t="shared" si="40"/>
        <v>0</v>
      </c>
      <c r="BX95" s="11">
        <v>0</v>
      </c>
      <c r="BY95" s="278"/>
      <c r="BZ95" s="11"/>
      <c r="CA95" s="280">
        <f t="shared" si="60"/>
        <v>1</v>
      </c>
      <c r="CB95" s="277">
        <f t="shared" si="61"/>
        <v>1</v>
      </c>
      <c r="CC95" s="278">
        <v>0</v>
      </c>
      <c r="CD95" s="278">
        <v>0</v>
      </c>
      <c r="CE95" s="279">
        <f t="shared" si="41"/>
        <v>0</v>
      </c>
      <c r="CF95" s="11">
        <v>0</v>
      </c>
      <c r="CG95" s="278"/>
      <c r="CH95" s="11"/>
      <c r="CI95" s="280">
        <f t="shared" si="62"/>
        <v>1</v>
      </c>
      <c r="CJ95" s="277">
        <f t="shared" si="63"/>
        <v>1</v>
      </c>
      <c r="CK95" s="278">
        <v>0</v>
      </c>
      <c r="CL95" s="278">
        <v>0</v>
      </c>
      <c r="CM95" s="279">
        <f t="shared" si="42"/>
        <v>0</v>
      </c>
      <c r="CN95" s="11">
        <v>0</v>
      </c>
      <c r="CO95" s="278"/>
      <c r="CP95" s="277"/>
      <c r="CQ95" s="280">
        <f t="shared" si="64"/>
        <v>1</v>
      </c>
      <c r="CR95" s="277">
        <f t="shared" si="65"/>
        <v>1</v>
      </c>
      <c r="CS95" s="278">
        <v>0</v>
      </c>
      <c r="CT95" s="278">
        <v>0</v>
      </c>
      <c r="CU95" s="279">
        <f t="shared" si="43"/>
        <v>0</v>
      </c>
      <c r="CV95" s="11">
        <v>0</v>
      </c>
      <c r="CW95" s="278"/>
      <c r="CX95" s="277"/>
      <c r="CY95" s="280">
        <f t="shared" si="66"/>
        <v>1</v>
      </c>
      <c r="CZ95" s="277">
        <f t="shared" si="67"/>
        <v>1</v>
      </c>
    </row>
    <row r="96" spans="1:104" ht="17.25" customHeight="1">
      <c r="A96" s="28" t="s">
        <v>673</v>
      </c>
      <c r="B96" s="382"/>
      <c r="C96" s="27"/>
      <c r="D96" s="28" t="str">
        <f>_xlfn.XLOOKUP(A96,'ABC-XYZ분석 (2)'!C:C,'ABC-XYZ분석 (2)'!I:I)</f>
        <v>사계절</v>
      </c>
      <c r="E96" s="28" t="str">
        <f>_xlfn.XLOOKUP(A96,'ABC-XYZ분석 (2)'!C:C,'ABC-XYZ분석 (2)'!AC:AC)</f>
        <v>C</v>
      </c>
      <c r="F96" s="3" t="str">
        <f>_xlfn.XLOOKUP(A96,'ABC-XYZ분석 (2)'!C:C,'ABC-XYZ분석 (2)'!AG:AG)</f>
        <v>Z</v>
      </c>
      <c r="G96" s="14">
        <f>SUMIF(재고!C:C,PSI_메인!A96,재고!I:I)</f>
        <v>1</v>
      </c>
      <c r="H96" s="277">
        <v>128</v>
      </c>
      <c r="I96" s="278">
        <v>0</v>
      </c>
      <c r="J96" s="278">
        <v>0</v>
      </c>
      <c r="K96" s="279">
        <v>85</v>
      </c>
      <c r="L96" s="11">
        <v>0</v>
      </c>
      <c r="M96" s="9">
        <f>SUMIFS(입항스케줄!J:J,입항스케줄!C:C,PSI_메인!A96,입항스케줄!U:U,"2601")</f>
        <v>0</v>
      </c>
      <c r="N96" s="11">
        <f>SUMIFS(입항스케줄!J:J,입항스케줄!C:C,PSI_메인!A96,입항스케줄!V:V,"2601")</f>
        <v>0</v>
      </c>
      <c r="O96" s="280">
        <f t="shared" si="44"/>
        <v>-84</v>
      </c>
      <c r="P96" s="277">
        <f t="shared" si="45"/>
        <v>1</v>
      </c>
      <c r="Q96" s="278">
        <v>0</v>
      </c>
      <c r="R96" s="278">
        <v>0</v>
      </c>
      <c r="S96" s="10">
        <v>59</v>
      </c>
      <c r="T96" s="11">
        <v>0</v>
      </c>
      <c r="U96" s="9">
        <f>SUMIFS(입항스케줄!J:J,입항스케줄!C:C,PSI_메인!A96,입항스케줄!U:U,"2602")</f>
        <v>0</v>
      </c>
      <c r="V96" s="11">
        <f>SUMIFS(입항스케줄!J:J,입항스케줄!C:C,PSI_메인!A96,입항스케줄!V:V,"2602")</f>
        <v>0</v>
      </c>
      <c r="W96" s="280">
        <f t="shared" si="46"/>
        <v>-58</v>
      </c>
      <c r="X96" s="277">
        <f t="shared" si="47"/>
        <v>1</v>
      </c>
      <c r="Y96" s="278">
        <v>0</v>
      </c>
      <c r="Z96" s="278">
        <v>0</v>
      </c>
      <c r="AA96" s="279">
        <f t="shared" si="34"/>
        <v>0</v>
      </c>
      <c r="AB96" s="11">
        <v>0</v>
      </c>
      <c r="AC96" s="9">
        <f>SUMIFS(입항스케줄!J:J,입항스케줄!C:C,PSI_메인!A96,입항스케줄!U:U,"2603")</f>
        <v>0</v>
      </c>
      <c r="AD96" s="11">
        <f>SUMIFS(입항스케줄!J:J,입항스케줄!C:C,PSI_메인!A96,입항스케줄!V:V,"2603")</f>
        <v>0</v>
      </c>
      <c r="AE96" s="280">
        <f t="shared" si="48"/>
        <v>1</v>
      </c>
      <c r="AF96" s="277">
        <f t="shared" si="49"/>
        <v>1</v>
      </c>
      <c r="AG96" s="278">
        <v>0</v>
      </c>
      <c r="AH96" s="278">
        <v>0</v>
      </c>
      <c r="AI96" s="279">
        <f t="shared" si="35"/>
        <v>0</v>
      </c>
      <c r="AJ96" s="11">
        <v>0</v>
      </c>
      <c r="AK96" s="9">
        <f>SUMIFS(입항스케줄!J:J,입항스케줄!C:C,PSI_메인!A96,입항스케줄!U:U,"2604")</f>
        <v>0</v>
      </c>
      <c r="AL96" s="11">
        <f>SUMIFS(입항스케줄!J:J,입항스케줄!C:C,PSI_메인!A96,입항스케줄!V:V,"2604")</f>
        <v>0</v>
      </c>
      <c r="AM96" s="280">
        <f t="shared" si="50"/>
        <v>1</v>
      </c>
      <c r="AN96" s="277">
        <f t="shared" si="51"/>
        <v>1</v>
      </c>
      <c r="AO96" s="278">
        <v>0</v>
      </c>
      <c r="AP96" s="278">
        <v>0</v>
      </c>
      <c r="AQ96" s="279">
        <f t="shared" si="36"/>
        <v>0</v>
      </c>
      <c r="AR96" s="11">
        <v>0</v>
      </c>
      <c r="AS96" s="9"/>
      <c r="AT96" s="277"/>
      <c r="AU96" s="280">
        <f t="shared" si="52"/>
        <v>1</v>
      </c>
      <c r="AV96" s="277">
        <f t="shared" si="53"/>
        <v>1</v>
      </c>
      <c r="AW96" s="278">
        <v>0</v>
      </c>
      <c r="AX96" s="278">
        <v>0</v>
      </c>
      <c r="AY96" s="279">
        <f t="shared" si="37"/>
        <v>0</v>
      </c>
      <c r="AZ96" s="11">
        <v>0</v>
      </c>
      <c r="BA96" s="9"/>
      <c r="BB96" s="11"/>
      <c r="BC96" s="280">
        <f t="shared" si="54"/>
        <v>1</v>
      </c>
      <c r="BD96" s="277">
        <f t="shared" si="55"/>
        <v>1</v>
      </c>
      <c r="BE96" s="278">
        <v>0</v>
      </c>
      <c r="BF96" s="278">
        <v>0</v>
      </c>
      <c r="BG96" s="279">
        <f t="shared" si="38"/>
        <v>0</v>
      </c>
      <c r="BH96" s="11">
        <v>0</v>
      </c>
      <c r="BI96" s="278"/>
      <c r="BJ96" s="11"/>
      <c r="BK96" s="280">
        <f t="shared" si="56"/>
        <v>1</v>
      </c>
      <c r="BL96" s="277">
        <f t="shared" si="57"/>
        <v>1</v>
      </c>
      <c r="BM96" s="278">
        <v>0</v>
      </c>
      <c r="BN96" s="278">
        <v>0</v>
      </c>
      <c r="BO96" s="279">
        <f t="shared" si="39"/>
        <v>0</v>
      </c>
      <c r="BP96" s="11">
        <v>0</v>
      </c>
      <c r="BQ96" s="278"/>
      <c r="BR96" s="11"/>
      <c r="BS96" s="280">
        <f t="shared" si="58"/>
        <v>1</v>
      </c>
      <c r="BT96" s="277">
        <f t="shared" si="59"/>
        <v>1</v>
      </c>
      <c r="BU96" s="278">
        <v>0</v>
      </c>
      <c r="BV96" s="278">
        <v>0</v>
      </c>
      <c r="BW96" s="279">
        <f t="shared" si="40"/>
        <v>0</v>
      </c>
      <c r="BX96" s="11">
        <v>0</v>
      </c>
      <c r="BY96" s="278"/>
      <c r="BZ96" s="11"/>
      <c r="CA96" s="280">
        <f t="shared" si="60"/>
        <v>1</v>
      </c>
      <c r="CB96" s="277">
        <f t="shared" si="61"/>
        <v>1</v>
      </c>
      <c r="CC96" s="278">
        <v>0</v>
      </c>
      <c r="CD96" s="278">
        <v>0</v>
      </c>
      <c r="CE96" s="279">
        <f t="shared" si="41"/>
        <v>0</v>
      </c>
      <c r="CF96" s="11">
        <v>0</v>
      </c>
      <c r="CG96" s="278"/>
      <c r="CH96" s="11"/>
      <c r="CI96" s="280">
        <f t="shared" si="62"/>
        <v>1</v>
      </c>
      <c r="CJ96" s="277">
        <f t="shared" si="63"/>
        <v>1</v>
      </c>
      <c r="CK96" s="278">
        <v>0</v>
      </c>
      <c r="CL96" s="278">
        <v>0</v>
      </c>
      <c r="CM96" s="279">
        <f t="shared" si="42"/>
        <v>0</v>
      </c>
      <c r="CN96" s="11">
        <v>0</v>
      </c>
      <c r="CO96" s="278"/>
      <c r="CP96" s="277"/>
      <c r="CQ96" s="280">
        <f t="shared" si="64"/>
        <v>1</v>
      </c>
      <c r="CR96" s="277">
        <f t="shared" si="65"/>
        <v>1</v>
      </c>
      <c r="CS96" s="278">
        <v>0</v>
      </c>
      <c r="CT96" s="278">
        <v>0</v>
      </c>
      <c r="CU96" s="279">
        <f t="shared" si="43"/>
        <v>0</v>
      </c>
      <c r="CV96" s="11">
        <v>0</v>
      </c>
      <c r="CW96" s="278"/>
      <c r="CX96" s="277"/>
      <c r="CY96" s="280">
        <f t="shared" si="66"/>
        <v>1</v>
      </c>
      <c r="CZ96" s="277">
        <f t="shared" si="67"/>
        <v>1</v>
      </c>
    </row>
    <row r="97" spans="1:104" ht="17.25" customHeight="1">
      <c r="A97" s="28" t="s">
        <v>674</v>
      </c>
      <c r="B97" s="382"/>
      <c r="C97" s="27"/>
      <c r="D97" s="28" t="str">
        <f>_xlfn.XLOOKUP(A97,'ABC-XYZ분석 (2)'!C:C,'ABC-XYZ분석 (2)'!I:I)</f>
        <v>사계절</v>
      </c>
      <c r="E97" s="28" t="str">
        <f>_xlfn.XLOOKUP(A97,'ABC-XYZ분석 (2)'!C:C,'ABC-XYZ분석 (2)'!AC:AC)</f>
        <v>C</v>
      </c>
      <c r="F97" s="3" t="str">
        <f>_xlfn.XLOOKUP(A97,'ABC-XYZ분석 (2)'!C:C,'ABC-XYZ분석 (2)'!AG:AG)</f>
        <v>Z</v>
      </c>
      <c r="G97" s="14">
        <f>SUMIF(재고!C:C,PSI_메인!A97,재고!I:I)</f>
        <v>2649</v>
      </c>
      <c r="H97" s="277">
        <v>52</v>
      </c>
      <c r="I97" s="278">
        <v>0</v>
      </c>
      <c r="J97" s="278">
        <v>0</v>
      </c>
      <c r="K97" s="279">
        <v>205</v>
      </c>
      <c r="L97" s="11">
        <v>0</v>
      </c>
      <c r="M97" s="9">
        <f>SUMIFS(입항스케줄!J:J,입항스케줄!C:C,PSI_메인!A97,입항스케줄!U:U,"2601")</f>
        <v>0</v>
      </c>
      <c r="N97" s="11">
        <f>SUMIFS(입항스케줄!J:J,입항스케줄!C:C,PSI_메인!A97,입항스케줄!V:V,"2601")</f>
        <v>0</v>
      </c>
      <c r="O97" s="280">
        <f t="shared" si="44"/>
        <v>2444</v>
      </c>
      <c r="P97" s="277">
        <f t="shared" si="45"/>
        <v>2649</v>
      </c>
      <c r="Q97" s="278">
        <v>0</v>
      </c>
      <c r="R97" s="278">
        <v>0</v>
      </c>
      <c r="S97" s="10">
        <v>141</v>
      </c>
      <c r="T97" s="11">
        <v>0</v>
      </c>
      <c r="U97" s="9">
        <f>SUMIFS(입항스케줄!J:J,입항스케줄!C:C,PSI_메인!A97,입항스케줄!U:U,"2602")</f>
        <v>0</v>
      </c>
      <c r="V97" s="11">
        <f>SUMIFS(입항스케줄!J:J,입항스케줄!C:C,PSI_메인!A97,입항스케줄!V:V,"2602")</f>
        <v>0</v>
      </c>
      <c r="W97" s="280">
        <f t="shared" si="46"/>
        <v>2508</v>
      </c>
      <c r="X97" s="277">
        <f t="shared" si="47"/>
        <v>2649</v>
      </c>
      <c r="Y97" s="278">
        <v>0</v>
      </c>
      <c r="Z97" s="278">
        <v>0</v>
      </c>
      <c r="AA97" s="279">
        <f t="shared" si="34"/>
        <v>0</v>
      </c>
      <c r="AB97" s="11">
        <v>0</v>
      </c>
      <c r="AC97" s="9">
        <f>SUMIFS(입항스케줄!J:J,입항스케줄!C:C,PSI_메인!A97,입항스케줄!U:U,"2603")</f>
        <v>0</v>
      </c>
      <c r="AD97" s="11">
        <f>SUMIFS(입항스케줄!J:J,입항스케줄!C:C,PSI_메인!A97,입항스케줄!V:V,"2603")</f>
        <v>0</v>
      </c>
      <c r="AE97" s="280">
        <f t="shared" si="48"/>
        <v>2649</v>
      </c>
      <c r="AF97" s="277">
        <f t="shared" si="49"/>
        <v>2649</v>
      </c>
      <c r="AG97" s="278">
        <v>0</v>
      </c>
      <c r="AH97" s="278">
        <v>0</v>
      </c>
      <c r="AI97" s="279">
        <f t="shared" si="35"/>
        <v>0</v>
      </c>
      <c r="AJ97" s="11">
        <v>0</v>
      </c>
      <c r="AK97" s="9">
        <f>SUMIFS(입항스케줄!J:J,입항스케줄!C:C,PSI_메인!A97,입항스케줄!U:U,"2604")</f>
        <v>0</v>
      </c>
      <c r="AL97" s="11">
        <f>SUMIFS(입항스케줄!J:J,입항스케줄!C:C,PSI_메인!A97,입항스케줄!V:V,"2604")</f>
        <v>0</v>
      </c>
      <c r="AM97" s="280">
        <f t="shared" si="50"/>
        <v>2649</v>
      </c>
      <c r="AN97" s="277">
        <f t="shared" si="51"/>
        <v>2649</v>
      </c>
      <c r="AO97" s="278">
        <v>0</v>
      </c>
      <c r="AP97" s="278">
        <v>0</v>
      </c>
      <c r="AQ97" s="279">
        <f t="shared" si="36"/>
        <v>0</v>
      </c>
      <c r="AR97" s="11">
        <v>0</v>
      </c>
      <c r="AS97" s="9"/>
      <c r="AT97" s="277"/>
      <c r="AU97" s="280">
        <f t="shared" si="52"/>
        <v>2649</v>
      </c>
      <c r="AV97" s="277">
        <f t="shared" si="53"/>
        <v>2649</v>
      </c>
      <c r="AW97" s="278">
        <v>0</v>
      </c>
      <c r="AX97" s="278">
        <v>0</v>
      </c>
      <c r="AY97" s="279">
        <f t="shared" si="37"/>
        <v>0</v>
      </c>
      <c r="AZ97" s="11">
        <v>0</v>
      </c>
      <c r="BA97" s="9"/>
      <c r="BB97" s="11"/>
      <c r="BC97" s="280">
        <f t="shared" si="54"/>
        <v>2649</v>
      </c>
      <c r="BD97" s="277">
        <f t="shared" si="55"/>
        <v>2649</v>
      </c>
      <c r="BE97" s="278">
        <v>0</v>
      </c>
      <c r="BF97" s="278">
        <v>0</v>
      </c>
      <c r="BG97" s="279">
        <f t="shared" si="38"/>
        <v>0</v>
      </c>
      <c r="BH97" s="11">
        <v>0</v>
      </c>
      <c r="BI97" s="278"/>
      <c r="BJ97" s="11"/>
      <c r="BK97" s="280">
        <f t="shared" si="56"/>
        <v>2649</v>
      </c>
      <c r="BL97" s="277">
        <f t="shared" si="57"/>
        <v>2649</v>
      </c>
      <c r="BM97" s="278">
        <v>0</v>
      </c>
      <c r="BN97" s="278">
        <v>0</v>
      </c>
      <c r="BO97" s="279">
        <f t="shared" si="39"/>
        <v>0</v>
      </c>
      <c r="BP97" s="11">
        <v>0</v>
      </c>
      <c r="BQ97" s="278"/>
      <c r="BR97" s="11"/>
      <c r="BS97" s="280">
        <f t="shared" si="58"/>
        <v>2649</v>
      </c>
      <c r="BT97" s="277">
        <f t="shared" si="59"/>
        <v>2649</v>
      </c>
      <c r="BU97" s="278">
        <v>0</v>
      </c>
      <c r="BV97" s="278">
        <v>0</v>
      </c>
      <c r="BW97" s="279">
        <f t="shared" si="40"/>
        <v>0</v>
      </c>
      <c r="BX97" s="11">
        <v>0</v>
      </c>
      <c r="BY97" s="278"/>
      <c r="BZ97" s="11"/>
      <c r="CA97" s="280">
        <f t="shared" si="60"/>
        <v>2649</v>
      </c>
      <c r="CB97" s="277">
        <f t="shared" si="61"/>
        <v>2649</v>
      </c>
      <c r="CC97" s="278">
        <v>0</v>
      </c>
      <c r="CD97" s="278">
        <v>0</v>
      </c>
      <c r="CE97" s="279">
        <f t="shared" si="41"/>
        <v>0</v>
      </c>
      <c r="CF97" s="11">
        <v>0</v>
      </c>
      <c r="CG97" s="278"/>
      <c r="CH97" s="11"/>
      <c r="CI97" s="280">
        <f t="shared" si="62"/>
        <v>2649</v>
      </c>
      <c r="CJ97" s="277">
        <f t="shared" si="63"/>
        <v>2649</v>
      </c>
      <c r="CK97" s="278">
        <v>0</v>
      </c>
      <c r="CL97" s="278">
        <v>0</v>
      </c>
      <c r="CM97" s="279">
        <f t="shared" si="42"/>
        <v>0</v>
      </c>
      <c r="CN97" s="11">
        <v>0</v>
      </c>
      <c r="CO97" s="278"/>
      <c r="CP97" s="277"/>
      <c r="CQ97" s="280">
        <f t="shared" si="64"/>
        <v>2649</v>
      </c>
      <c r="CR97" s="277">
        <f t="shared" si="65"/>
        <v>2649</v>
      </c>
      <c r="CS97" s="278">
        <v>0</v>
      </c>
      <c r="CT97" s="278">
        <v>0</v>
      </c>
      <c r="CU97" s="279">
        <f t="shared" si="43"/>
        <v>0</v>
      </c>
      <c r="CV97" s="11">
        <v>0</v>
      </c>
      <c r="CW97" s="278"/>
      <c r="CX97" s="277"/>
      <c r="CY97" s="280">
        <f t="shared" si="66"/>
        <v>2649</v>
      </c>
      <c r="CZ97" s="277">
        <f t="shared" si="67"/>
        <v>2649</v>
      </c>
    </row>
    <row r="98" spans="1:104" ht="17.25" customHeight="1">
      <c r="A98" s="28" t="s">
        <v>675</v>
      </c>
      <c r="B98" s="382"/>
      <c r="C98" s="27"/>
      <c r="D98" s="28" t="str">
        <f>_xlfn.XLOOKUP(A98,'ABC-XYZ분석 (2)'!C:C,'ABC-XYZ분석 (2)'!I:I)</f>
        <v>사계절</v>
      </c>
      <c r="E98" s="28" t="str">
        <f>_xlfn.XLOOKUP(A98,'ABC-XYZ분석 (2)'!C:C,'ABC-XYZ분석 (2)'!AC:AC)</f>
        <v>C</v>
      </c>
      <c r="F98" s="3" t="str">
        <f>_xlfn.XLOOKUP(A98,'ABC-XYZ분석 (2)'!C:C,'ABC-XYZ분석 (2)'!AG:AG)</f>
        <v>Z</v>
      </c>
      <c r="G98" s="14">
        <f>SUMIF(재고!C:C,PSI_메인!A98,재고!I:I)</f>
        <v>796</v>
      </c>
      <c r="H98" s="277">
        <v>300</v>
      </c>
      <c r="I98" s="278">
        <v>0</v>
      </c>
      <c r="J98" s="278">
        <v>0</v>
      </c>
      <c r="K98" s="279">
        <v>0</v>
      </c>
      <c r="L98" s="11">
        <v>0</v>
      </c>
      <c r="M98" s="9">
        <f>SUMIFS(입항스케줄!J:J,입항스케줄!C:C,PSI_메인!A98,입항스케줄!U:U,"2601")</f>
        <v>0</v>
      </c>
      <c r="N98" s="11">
        <f>SUMIFS(입항스케줄!J:J,입항스케줄!C:C,PSI_메인!A98,입항스케줄!V:V,"2601")</f>
        <v>0</v>
      </c>
      <c r="O98" s="280">
        <f t="shared" si="44"/>
        <v>796</v>
      </c>
      <c r="P98" s="277">
        <f t="shared" si="45"/>
        <v>796</v>
      </c>
      <c r="Q98" s="278">
        <v>0</v>
      </c>
      <c r="R98" s="278">
        <v>0</v>
      </c>
      <c r="S98" s="10">
        <v>0</v>
      </c>
      <c r="T98" s="11">
        <v>0</v>
      </c>
      <c r="U98" s="9">
        <f>SUMIFS(입항스케줄!J:J,입항스케줄!C:C,PSI_메인!A98,입항스케줄!U:U,"2602")</f>
        <v>0</v>
      </c>
      <c r="V98" s="11">
        <f>SUMIFS(입항스케줄!J:J,입항스케줄!C:C,PSI_메인!A98,입항스케줄!V:V,"2602")</f>
        <v>0</v>
      </c>
      <c r="W98" s="280">
        <f t="shared" si="46"/>
        <v>796</v>
      </c>
      <c r="X98" s="277">
        <f t="shared" si="47"/>
        <v>796</v>
      </c>
      <c r="Y98" s="278">
        <v>0</v>
      </c>
      <c r="Z98" s="278">
        <v>0</v>
      </c>
      <c r="AA98" s="279">
        <f t="shared" si="34"/>
        <v>0</v>
      </c>
      <c r="AB98" s="11">
        <v>0</v>
      </c>
      <c r="AC98" s="9">
        <f>SUMIFS(입항스케줄!J:J,입항스케줄!C:C,PSI_메인!A98,입항스케줄!U:U,"2603")</f>
        <v>0</v>
      </c>
      <c r="AD98" s="11">
        <f>SUMIFS(입항스케줄!J:J,입항스케줄!C:C,PSI_메인!A98,입항스케줄!V:V,"2603")</f>
        <v>0</v>
      </c>
      <c r="AE98" s="280">
        <f t="shared" si="48"/>
        <v>796</v>
      </c>
      <c r="AF98" s="277">
        <f t="shared" si="49"/>
        <v>796</v>
      </c>
      <c r="AG98" s="278">
        <v>0</v>
      </c>
      <c r="AH98" s="278">
        <v>0</v>
      </c>
      <c r="AI98" s="279">
        <f t="shared" si="35"/>
        <v>0</v>
      </c>
      <c r="AJ98" s="11">
        <v>0</v>
      </c>
      <c r="AK98" s="9">
        <f>SUMIFS(입항스케줄!J:J,입항스케줄!C:C,PSI_메인!A98,입항스케줄!U:U,"2604")</f>
        <v>0</v>
      </c>
      <c r="AL98" s="11">
        <f>SUMIFS(입항스케줄!J:J,입항스케줄!C:C,PSI_메인!A98,입항스케줄!V:V,"2604")</f>
        <v>0</v>
      </c>
      <c r="AM98" s="280">
        <f t="shared" si="50"/>
        <v>796</v>
      </c>
      <c r="AN98" s="277">
        <f t="shared" si="51"/>
        <v>796</v>
      </c>
      <c r="AO98" s="278">
        <v>0</v>
      </c>
      <c r="AP98" s="278">
        <v>0</v>
      </c>
      <c r="AQ98" s="279">
        <f t="shared" si="36"/>
        <v>0</v>
      </c>
      <c r="AR98" s="11">
        <v>0</v>
      </c>
      <c r="AS98" s="9"/>
      <c r="AT98" s="277"/>
      <c r="AU98" s="280">
        <f t="shared" si="52"/>
        <v>796</v>
      </c>
      <c r="AV98" s="277">
        <f t="shared" si="53"/>
        <v>796</v>
      </c>
      <c r="AW98" s="278">
        <v>0</v>
      </c>
      <c r="AX98" s="278">
        <v>0</v>
      </c>
      <c r="AY98" s="279">
        <f t="shared" si="37"/>
        <v>0</v>
      </c>
      <c r="AZ98" s="11">
        <v>0</v>
      </c>
      <c r="BA98" s="9"/>
      <c r="BB98" s="11"/>
      <c r="BC98" s="280">
        <f t="shared" si="54"/>
        <v>796</v>
      </c>
      <c r="BD98" s="277">
        <f t="shared" si="55"/>
        <v>796</v>
      </c>
      <c r="BE98" s="278">
        <v>0</v>
      </c>
      <c r="BF98" s="278">
        <v>0</v>
      </c>
      <c r="BG98" s="279">
        <f t="shared" si="38"/>
        <v>0</v>
      </c>
      <c r="BH98" s="11">
        <v>0</v>
      </c>
      <c r="BI98" s="278"/>
      <c r="BJ98" s="11"/>
      <c r="BK98" s="280">
        <f t="shared" si="56"/>
        <v>796</v>
      </c>
      <c r="BL98" s="277">
        <f t="shared" si="57"/>
        <v>796</v>
      </c>
      <c r="BM98" s="278">
        <v>0</v>
      </c>
      <c r="BN98" s="278">
        <v>0</v>
      </c>
      <c r="BO98" s="279">
        <f t="shared" si="39"/>
        <v>0</v>
      </c>
      <c r="BP98" s="11">
        <v>0</v>
      </c>
      <c r="BQ98" s="278"/>
      <c r="BR98" s="11"/>
      <c r="BS98" s="280">
        <f t="shared" si="58"/>
        <v>796</v>
      </c>
      <c r="BT98" s="277">
        <f t="shared" si="59"/>
        <v>796</v>
      </c>
      <c r="BU98" s="278">
        <v>0</v>
      </c>
      <c r="BV98" s="278">
        <v>0</v>
      </c>
      <c r="BW98" s="279">
        <f t="shared" si="40"/>
        <v>0</v>
      </c>
      <c r="BX98" s="11">
        <v>0</v>
      </c>
      <c r="BY98" s="278"/>
      <c r="BZ98" s="11"/>
      <c r="CA98" s="280">
        <f t="shared" si="60"/>
        <v>796</v>
      </c>
      <c r="CB98" s="277">
        <f t="shared" si="61"/>
        <v>796</v>
      </c>
      <c r="CC98" s="278">
        <v>0</v>
      </c>
      <c r="CD98" s="278">
        <v>0</v>
      </c>
      <c r="CE98" s="279">
        <f t="shared" si="41"/>
        <v>0</v>
      </c>
      <c r="CF98" s="11">
        <v>0</v>
      </c>
      <c r="CG98" s="278"/>
      <c r="CH98" s="11"/>
      <c r="CI98" s="280">
        <f t="shared" si="62"/>
        <v>796</v>
      </c>
      <c r="CJ98" s="277">
        <f t="shared" si="63"/>
        <v>796</v>
      </c>
      <c r="CK98" s="278">
        <v>0</v>
      </c>
      <c r="CL98" s="278">
        <v>0</v>
      </c>
      <c r="CM98" s="279">
        <f t="shared" si="42"/>
        <v>0</v>
      </c>
      <c r="CN98" s="11">
        <v>0</v>
      </c>
      <c r="CO98" s="278"/>
      <c r="CP98" s="277"/>
      <c r="CQ98" s="280">
        <f t="shared" si="64"/>
        <v>796</v>
      </c>
      <c r="CR98" s="277">
        <f t="shared" si="65"/>
        <v>796</v>
      </c>
      <c r="CS98" s="278">
        <v>0</v>
      </c>
      <c r="CT98" s="278">
        <v>0</v>
      </c>
      <c r="CU98" s="279">
        <f t="shared" si="43"/>
        <v>0</v>
      </c>
      <c r="CV98" s="11">
        <v>0</v>
      </c>
      <c r="CW98" s="278"/>
      <c r="CX98" s="277"/>
      <c r="CY98" s="280">
        <f t="shared" si="66"/>
        <v>796</v>
      </c>
      <c r="CZ98" s="277">
        <f t="shared" si="67"/>
        <v>796</v>
      </c>
    </row>
    <row r="99" spans="1:104" ht="17.25" customHeight="1">
      <c r="A99" s="28" t="s">
        <v>676</v>
      </c>
      <c r="B99" s="382"/>
      <c r="C99" s="27"/>
      <c r="D99" s="28" t="str">
        <f>_xlfn.XLOOKUP(A99,'ABC-XYZ분석 (2)'!C:C,'ABC-XYZ분석 (2)'!I:I)</f>
        <v>사계절</v>
      </c>
      <c r="E99" s="28" t="str">
        <f>_xlfn.XLOOKUP(A99,'ABC-XYZ분석 (2)'!C:C,'ABC-XYZ분석 (2)'!AC:AC)</f>
        <v>C</v>
      </c>
      <c r="F99" s="3" t="str">
        <f>_xlfn.XLOOKUP(A99,'ABC-XYZ분석 (2)'!C:C,'ABC-XYZ분석 (2)'!AG:AG)</f>
        <v>Z</v>
      </c>
      <c r="G99" s="14">
        <f>SUMIF(재고!C:C,PSI_메인!A99,재고!I:I)</f>
        <v>527</v>
      </c>
      <c r="H99" s="277">
        <v>230</v>
      </c>
      <c r="I99" s="278">
        <v>0</v>
      </c>
      <c r="J99" s="278">
        <v>0</v>
      </c>
      <c r="K99" s="279">
        <v>0</v>
      </c>
      <c r="L99" s="11">
        <v>0</v>
      </c>
      <c r="M99" s="9">
        <f>SUMIFS(입항스케줄!J:J,입항스케줄!C:C,PSI_메인!A99,입항스케줄!U:U,"2601")</f>
        <v>0</v>
      </c>
      <c r="N99" s="11">
        <f>SUMIFS(입항스케줄!J:J,입항스케줄!C:C,PSI_메인!A99,입항스케줄!V:V,"2601")</f>
        <v>0</v>
      </c>
      <c r="O99" s="280">
        <f t="shared" si="44"/>
        <v>527</v>
      </c>
      <c r="P99" s="277">
        <f t="shared" si="45"/>
        <v>527</v>
      </c>
      <c r="Q99" s="278">
        <v>0</v>
      </c>
      <c r="R99" s="278">
        <v>0</v>
      </c>
      <c r="S99" s="10">
        <v>0</v>
      </c>
      <c r="T99" s="11">
        <v>0</v>
      </c>
      <c r="U99" s="9">
        <f>SUMIFS(입항스케줄!J:J,입항스케줄!C:C,PSI_메인!A99,입항스케줄!U:U,"2602")</f>
        <v>0</v>
      </c>
      <c r="V99" s="11">
        <f>SUMIFS(입항스케줄!J:J,입항스케줄!C:C,PSI_메인!A99,입항스케줄!V:V,"2602")</f>
        <v>0</v>
      </c>
      <c r="W99" s="280">
        <f t="shared" si="46"/>
        <v>527</v>
      </c>
      <c r="X99" s="277">
        <f t="shared" si="47"/>
        <v>527</v>
      </c>
      <c r="Y99" s="278">
        <v>0</v>
      </c>
      <c r="Z99" s="278">
        <v>0</v>
      </c>
      <c r="AA99" s="279">
        <f t="shared" si="34"/>
        <v>0</v>
      </c>
      <c r="AB99" s="11">
        <v>0</v>
      </c>
      <c r="AC99" s="9">
        <f>SUMIFS(입항스케줄!J:J,입항스케줄!C:C,PSI_메인!A99,입항스케줄!U:U,"2603")</f>
        <v>0</v>
      </c>
      <c r="AD99" s="11">
        <f>SUMIFS(입항스케줄!J:J,입항스케줄!C:C,PSI_메인!A99,입항스케줄!V:V,"2603")</f>
        <v>0</v>
      </c>
      <c r="AE99" s="280">
        <f t="shared" si="48"/>
        <v>527</v>
      </c>
      <c r="AF99" s="277">
        <f t="shared" si="49"/>
        <v>527</v>
      </c>
      <c r="AG99" s="278">
        <v>0</v>
      </c>
      <c r="AH99" s="278">
        <v>0</v>
      </c>
      <c r="AI99" s="279">
        <f t="shared" si="35"/>
        <v>0</v>
      </c>
      <c r="AJ99" s="11">
        <v>0</v>
      </c>
      <c r="AK99" s="9">
        <f>SUMIFS(입항스케줄!J:J,입항스케줄!C:C,PSI_메인!A99,입항스케줄!U:U,"2604")</f>
        <v>0</v>
      </c>
      <c r="AL99" s="11">
        <f>SUMIFS(입항스케줄!J:J,입항스케줄!C:C,PSI_메인!A99,입항스케줄!V:V,"2604")</f>
        <v>0</v>
      </c>
      <c r="AM99" s="280">
        <f t="shared" si="50"/>
        <v>527</v>
      </c>
      <c r="AN99" s="277">
        <f t="shared" si="51"/>
        <v>527</v>
      </c>
      <c r="AO99" s="278">
        <v>0</v>
      </c>
      <c r="AP99" s="278">
        <v>0</v>
      </c>
      <c r="AQ99" s="279">
        <f t="shared" si="36"/>
        <v>0</v>
      </c>
      <c r="AR99" s="11">
        <v>0</v>
      </c>
      <c r="AS99" s="9"/>
      <c r="AT99" s="277"/>
      <c r="AU99" s="280">
        <f t="shared" si="52"/>
        <v>527</v>
      </c>
      <c r="AV99" s="277">
        <f t="shared" si="53"/>
        <v>527</v>
      </c>
      <c r="AW99" s="278">
        <v>0</v>
      </c>
      <c r="AX99" s="278">
        <v>0</v>
      </c>
      <c r="AY99" s="279">
        <f t="shared" si="37"/>
        <v>0</v>
      </c>
      <c r="AZ99" s="11">
        <v>0</v>
      </c>
      <c r="BA99" s="9"/>
      <c r="BB99" s="11"/>
      <c r="BC99" s="280">
        <f t="shared" si="54"/>
        <v>527</v>
      </c>
      <c r="BD99" s="277">
        <f t="shared" si="55"/>
        <v>527</v>
      </c>
      <c r="BE99" s="278">
        <v>0</v>
      </c>
      <c r="BF99" s="278">
        <v>0</v>
      </c>
      <c r="BG99" s="279">
        <f t="shared" si="38"/>
        <v>0</v>
      </c>
      <c r="BH99" s="11">
        <v>0</v>
      </c>
      <c r="BI99" s="278"/>
      <c r="BJ99" s="11"/>
      <c r="BK99" s="280">
        <f t="shared" si="56"/>
        <v>527</v>
      </c>
      <c r="BL99" s="277">
        <f t="shared" si="57"/>
        <v>527</v>
      </c>
      <c r="BM99" s="278">
        <v>0</v>
      </c>
      <c r="BN99" s="278">
        <v>0</v>
      </c>
      <c r="BO99" s="279">
        <f t="shared" si="39"/>
        <v>0</v>
      </c>
      <c r="BP99" s="11">
        <v>0</v>
      </c>
      <c r="BQ99" s="278"/>
      <c r="BR99" s="11"/>
      <c r="BS99" s="280">
        <f t="shared" si="58"/>
        <v>527</v>
      </c>
      <c r="BT99" s="277">
        <f t="shared" si="59"/>
        <v>527</v>
      </c>
      <c r="BU99" s="278">
        <v>0</v>
      </c>
      <c r="BV99" s="278">
        <v>0</v>
      </c>
      <c r="BW99" s="279">
        <f t="shared" si="40"/>
        <v>0</v>
      </c>
      <c r="BX99" s="11">
        <v>0</v>
      </c>
      <c r="BY99" s="278"/>
      <c r="BZ99" s="11"/>
      <c r="CA99" s="280">
        <f t="shared" si="60"/>
        <v>527</v>
      </c>
      <c r="CB99" s="277">
        <f t="shared" si="61"/>
        <v>527</v>
      </c>
      <c r="CC99" s="278">
        <v>0</v>
      </c>
      <c r="CD99" s="278">
        <v>0</v>
      </c>
      <c r="CE99" s="279">
        <f t="shared" si="41"/>
        <v>0</v>
      </c>
      <c r="CF99" s="11">
        <v>0</v>
      </c>
      <c r="CG99" s="278"/>
      <c r="CH99" s="11"/>
      <c r="CI99" s="280">
        <f t="shared" si="62"/>
        <v>527</v>
      </c>
      <c r="CJ99" s="277">
        <f t="shared" si="63"/>
        <v>527</v>
      </c>
      <c r="CK99" s="278">
        <v>0</v>
      </c>
      <c r="CL99" s="278">
        <v>0</v>
      </c>
      <c r="CM99" s="279">
        <f t="shared" si="42"/>
        <v>0</v>
      </c>
      <c r="CN99" s="11">
        <v>0</v>
      </c>
      <c r="CO99" s="278"/>
      <c r="CP99" s="277"/>
      <c r="CQ99" s="280">
        <f t="shared" si="64"/>
        <v>527</v>
      </c>
      <c r="CR99" s="277">
        <f t="shared" si="65"/>
        <v>527</v>
      </c>
      <c r="CS99" s="278">
        <v>0</v>
      </c>
      <c r="CT99" s="278">
        <v>0</v>
      </c>
      <c r="CU99" s="279">
        <f t="shared" si="43"/>
        <v>0</v>
      </c>
      <c r="CV99" s="11">
        <v>0</v>
      </c>
      <c r="CW99" s="278"/>
      <c r="CX99" s="277"/>
      <c r="CY99" s="280">
        <f t="shared" si="66"/>
        <v>527</v>
      </c>
      <c r="CZ99" s="277">
        <f t="shared" si="67"/>
        <v>527</v>
      </c>
    </row>
    <row r="100" spans="1:104" ht="17.25" customHeight="1">
      <c r="A100" s="28" t="s">
        <v>677</v>
      </c>
      <c r="B100" s="382"/>
      <c r="C100" s="27"/>
      <c r="D100" s="28" t="str">
        <f>_xlfn.XLOOKUP(A100,'ABC-XYZ분석 (2)'!C:C,'ABC-XYZ분석 (2)'!I:I)</f>
        <v>겨울</v>
      </c>
      <c r="E100" s="28" t="str">
        <f>_xlfn.XLOOKUP(A100,'ABC-XYZ분석 (2)'!C:C,'ABC-XYZ분석 (2)'!AC:AC)</f>
        <v>C</v>
      </c>
      <c r="F100" s="3" t="str">
        <f>_xlfn.XLOOKUP(A100,'ABC-XYZ분석 (2)'!C:C,'ABC-XYZ분석 (2)'!AG:AG)</f>
        <v>Z</v>
      </c>
      <c r="G100" s="14">
        <f>SUMIF(재고!C:C,PSI_메인!A100,재고!I:I)</f>
        <v>99</v>
      </c>
      <c r="H100" s="277">
        <v>138</v>
      </c>
      <c r="I100" s="278">
        <v>0</v>
      </c>
      <c r="J100" s="278">
        <v>0</v>
      </c>
      <c r="K100" s="279">
        <v>85</v>
      </c>
      <c r="L100" s="11">
        <v>0</v>
      </c>
      <c r="M100" s="9">
        <f>SUMIFS(입항스케줄!J:J,입항스케줄!C:C,PSI_메인!A100,입항스케줄!U:U,"2601")</f>
        <v>0</v>
      </c>
      <c r="N100" s="11">
        <f>SUMIFS(입항스케줄!J:J,입항스케줄!C:C,PSI_메인!A100,입항스케줄!V:V,"2601")</f>
        <v>0</v>
      </c>
      <c r="O100" s="280">
        <f t="shared" si="44"/>
        <v>14</v>
      </c>
      <c r="P100" s="277">
        <f t="shared" si="45"/>
        <v>99</v>
      </c>
      <c r="Q100" s="278">
        <v>0</v>
      </c>
      <c r="R100" s="278">
        <v>0</v>
      </c>
      <c r="S100" s="10">
        <v>59</v>
      </c>
      <c r="T100" s="11">
        <v>0</v>
      </c>
      <c r="U100" s="9">
        <f>SUMIFS(입항스케줄!J:J,입항스케줄!C:C,PSI_메인!A100,입항스케줄!U:U,"2602")</f>
        <v>0</v>
      </c>
      <c r="V100" s="11">
        <f>SUMIFS(입항스케줄!J:J,입항스케줄!C:C,PSI_메인!A100,입항스케줄!V:V,"2602")</f>
        <v>0</v>
      </c>
      <c r="W100" s="280">
        <f t="shared" si="46"/>
        <v>40</v>
      </c>
      <c r="X100" s="277">
        <f t="shared" si="47"/>
        <v>99</v>
      </c>
      <c r="Y100" s="278">
        <v>0</v>
      </c>
      <c r="Z100" s="278">
        <v>0</v>
      </c>
      <c r="AA100" s="279">
        <f t="shared" si="34"/>
        <v>0</v>
      </c>
      <c r="AB100" s="11">
        <v>0</v>
      </c>
      <c r="AC100" s="9">
        <f>SUMIFS(입항스케줄!J:J,입항스케줄!C:C,PSI_메인!A100,입항스케줄!U:U,"2603")</f>
        <v>0</v>
      </c>
      <c r="AD100" s="11">
        <f>SUMIFS(입항스케줄!J:J,입항스케줄!C:C,PSI_메인!A100,입항스케줄!V:V,"2603")</f>
        <v>0</v>
      </c>
      <c r="AE100" s="280">
        <f t="shared" si="48"/>
        <v>99</v>
      </c>
      <c r="AF100" s="277">
        <f t="shared" si="49"/>
        <v>99</v>
      </c>
      <c r="AG100" s="278">
        <v>0</v>
      </c>
      <c r="AH100" s="278">
        <v>0</v>
      </c>
      <c r="AI100" s="279">
        <f t="shared" si="35"/>
        <v>0</v>
      </c>
      <c r="AJ100" s="11">
        <v>0</v>
      </c>
      <c r="AK100" s="9">
        <f>SUMIFS(입항스케줄!J:J,입항스케줄!C:C,PSI_메인!A100,입항스케줄!U:U,"2604")</f>
        <v>0</v>
      </c>
      <c r="AL100" s="11">
        <f>SUMIFS(입항스케줄!J:J,입항스케줄!C:C,PSI_메인!A100,입항스케줄!V:V,"2604")</f>
        <v>0</v>
      </c>
      <c r="AM100" s="280">
        <f t="shared" si="50"/>
        <v>99</v>
      </c>
      <c r="AN100" s="277">
        <f t="shared" si="51"/>
        <v>99</v>
      </c>
      <c r="AO100" s="278">
        <v>0</v>
      </c>
      <c r="AP100" s="278">
        <v>0</v>
      </c>
      <c r="AQ100" s="279">
        <f t="shared" si="36"/>
        <v>0</v>
      </c>
      <c r="AR100" s="11">
        <v>0</v>
      </c>
      <c r="AS100" s="9"/>
      <c r="AT100" s="277"/>
      <c r="AU100" s="280">
        <f t="shared" si="52"/>
        <v>99</v>
      </c>
      <c r="AV100" s="277">
        <f t="shared" si="53"/>
        <v>99</v>
      </c>
      <c r="AW100" s="278">
        <v>0</v>
      </c>
      <c r="AX100" s="278">
        <v>0</v>
      </c>
      <c r="AY100" s="279">
        <f t="shared" si="37"/>
        <v>0</v>
      </c>
      <c r="AZ100" s="11">
        <v>0</v>
      </c>
      <c r="BA100" s="9"/>
      <c r="BB100" s="11"/>
      <c r="BC100" s="280">
        <f t="shared" si="54"/>
        <v>99</v>
      </c>
      <c r="BD100" s="277">
        <f t="shared" si="55"/>
        <v>99</v>
      </c>
      <c r="BE100" s="278">
        <v>0</v>
      </c>
      <c r="BF100" s="278">
        <v>0</v>
      </c>
      <c r="BG100" s="279">
        <f t="shared" si="38"/>
        <v>0</v>
      </c>
      <c r="BH100" s="11">
        <v>0</v>
      </c>
      <c r="BI100" s="278"/>
      <c r="BJ100" s="11"/>
      <c r="BK100" s="280">
        <f t="shared" si="56"/>
        <v>99</v>
      </c>
      <c r="BL100" s="277">
        <f t="shared" si="57"/>
        <v>99</v>
      </c>
      <c r="BM100" s="278">
        <v>0</v>
      </c>
      <c r="BN100" s="278">
        <v>0</v>
      </c>
      <c r="BO100" s="279">
        <f t="shared" si="39"/>
        <v>0</v>
      </c>
      <c r="BP100" s="11">
        <v>0</v>
      </c>
      <c r="BQ100" s="278"/>
      <c r="BR100" s="11"/>
      <c r="BS100" s="280">
        <f t="shared" si="58"/>
        <v>99</v>
      </c>
      <c r="BT100" s="277">
        <f t="shared" si="59"/>
        <v>99</v>
      </c>
      <c r="BU100" s="278">
        <v>0</v>
      </c>
      <c r="BV100" s="278">
        <v>0</v>
      </c>
      <c r="BW100" s="279">
        <f t="shared" si="40"/>
        <v>0</v>
      </c>
      <c r="BX100" s="11">
        <v>0</v>
      </c>
      <c r="BY100" s="278"/>
      <c r="BZ100" s="11"/>
      <c r="CA100" s="280">
        <f t="shared" si="60"/>
        <v>99</v>
      </c>
      <c r="CB100" s="277">
        <f t="shared" si="61"/>
        <v>99</v>
      </c>
      <c r="CC100" s="278">
        <v>0</v>
      </c>
      <c r="CD100" s="278">
        <v>0</v>
      </c>
      <c r="CE100" s="279">
        <f t="shared" si="41"/>
        <v>0</v>
      </c>
      <c r="CF100" s="11">
        <v>0</v>
      </c>
      <c r="CG100" s="278"/>
      <c r="CH100" s="11"/>
      <c r="CI100" s="280">
        <f t="shared" si="62"/>
        <v>99</v>
      </c>
      <c r="CJ100" s="277">
        <f t="shared" si="63"/>
        <v>99</v>
      </c>
      <c r="CK100" s="278">
        <v>0</v>
      </c>
      <c r="CL100" s="278">
        <v>0</v>
      </c>
      <c r="CM100" s="279">
        <f t="shared" si="42"/>
        <v>0</v>
      </c>
      <c r="CN100" s="11">
        <v>0</v>
      </c>
      <c r="CO100" s="278"/>
      <c r="CP100" s="277"/>
      <c r="CQ100" s="280">
        <f t="shared" si="64"/>
        <v>99</v>
      </c>
      <c r="CR100" s="277">
        <f t="shared" si="65"/>
        <v>99</v>
      </c>
      <c r="CS100" s="278">
        <v>0</v>
      </c>
      <c r="CT100" s="278">
        <v>0</v>
      </c>
      <c r="CU100" s="279">
        <f t="shared" si="43"/>
        <v>0</v>
      </c>
      <c r="CV100" s="11">
        <v>0</v>
      </c>
      <c r="CW100" s="278"/>
      <c r="CX100" s="277"/>
      <c r="CY100" s="280">
        <f t="shared" si="66"/>
        <v>99</v>
      </c>
      <c r="CZ100" s="277">
        <f t="shared" si="67"/>
        <v>99</v>
      </c>
    </row>
    <row r="101" spans="1:104">
      <c r="A101" s="28" t="s">
        <v>678</v>
      </c>
      <c r="B101" s="434"/>
      <c r="C101" s="434"/>
      <c r="D101" s="28" t="str">
        <f>_xlfn.XLOOKUP(A101,'ABC-XYZ분석 (2)'!C:C,'ABC-XYZ분석 (2)'!I:I)</f>
        <v>사계절</v>
      </c>
      <c r="E101" s="28" t="str">
        <f>_xlfn.XLOOKUP(A101,'ABC-XYZ분석 (2)'!C:C,'ABC-XYZ분석 (2)'!AC:AC)</f>
        <v>C</v>
      </c>
      <c r="F101" s="3" t="str">
        <f>_xlfn.XLOOKUP(A101,'ABC-XYZ분석 (2)'!C:C,'ABC-XYZ분석 (2)'!AG:AG)</f>
        <v>Z</v>
      </c>
      <c r="G101" s="14">
        <f>SUMIF(재고!C:C,PSI_메인!A101,재고!I:I)</f>
        <v>300</v>
      </c>
      <c r="H101" s="277">
        <v>138</v>
      </c>
      <c r="I101" s="278">
        <v>0</v>
      </c>
      <c r="J101" s="278">
        <v>0</v>
      </c>
      <c r="K101" s="279">
        <v>85</v>
      </c>
      <c r="L101" s="11">
        <v>0</v>
      </c>
      <c r="M101" s="9">
        <f>SUMIFS(입항스케줄!J:J,입항스케줄!C:C,PSI_메인!A101,입항스케줄!U:U,"2601")</f>
        <v>275</v>
      </c>
      <c r="N101" s="11">
        <f>SUMIFS(입항스케줄!J:J,입항스케줄!C:C,PSI_메인!A101,입항스케줄!V:V,"2601")</f>
        <v>0</v>
      </c>
      <c r="O101" s="280">
        <f t="shared" ref="O101:O102" si="68">$G101+M101-K101</f>
        <v>490</v>
      </c>
      <c r="P101" s="277">
        <f t="shared" ref="P101:P102" si="69">$G101+N101-L101</f>
        <v>300</v>
      </c>
      <c r="Q101" s="278">
        <v>0</v>
      </c>
      <c r="R101" s="278">
        <v>0</v>
      </c>
      <c r="S101" s="10">
        <v>59</v>
      </c>
      <c r="T101" s="11">
        <v>0</v>
      </c>
      <c r="U101" s="9">
        <f>SUMIFS(입항스케줄!J:J,입항스케줄!C:C,PSI_메인!A101,입항스케줄!U:U,"2602")</f>
        <v>0</v>
      </c>
      <c r="V101" s="11">
        <f>SUMIFS(입항스케줄!J:J,입항스케줄!C:C,PSI_메인!A101,입항스케줄!V:V,"2602")</f>
        <v>275</v>
      </c>
      <c r="W101" s="280">
        <f t="shared" ref="W101:W102" si="70">$G101+U101-S101</f>
        <v>241</v>
      </c>
      <c r="X101" s="277">
        <f t="shared" ref="X101:X102" si="71">$G101+V101-T101</f>
        <v>575</v>
      </c>
      <c r="Y101" s="278">
        <v>0</v>
      </c>
      <c r="Z101" s="278">
        <v>0</v>
      </c>
      <c r="AA101" s="279">
        <f t="shared" ref="AA101:AA102" si="72">ROUND((Y101+Z101)/2,0)</f>
        <v>0</v>
      </c>
      <c r="AB101" s="11">
        <v>0</v>
      </c>
      <c r="AC101" s="9">
        <f>SUMIFS(입항스케줄!J:J,입항스케줄!C:C,PSI_메인!A101,입항스케줄!U:U,"2603")</f>
        <v>0</v>
      </c>
      <c r="AD101" s="11">
        <f>SUMIFS(입항스케줄!J:J,입항스케줄!C:C,PSI_메인!A101,입항스케줄!V:V,"2603")</f>
        <v>0</v>
      </c>
      <c r="AE101" s="280">
        <f t="shared" ref="AE101:AE102" si="73">$G101+AC101-AA101</f>
        <v>300</v>
      </c>
      <c r="AF101" s="277">
        <f t="shared" ref="AF101:AF102" si="74">$G101+AD101-AB101</f>
        <v>300</v>
      </c>
      <c r="AG101" s="278">
        <v>0</v>
      </c>
      <c r="AH101" s="278">
        <v>0</v>
      </c>
      <c r="AI101" s="279">
        <f t="shared" ref="AI101:AI102" si="75">ROUND((AG101+AH101)/2,0)</f>
        <v>0</v>
      </c>
      <c r="AJ101" s="11">
        <v>0</v>
      </c>
      <c r="AK101" s="9">
        <f>SUMIFS(입항스케줄!J:J,입항스케줄!C:C,PSI_메인!A101,입항스케줄!U:U,"2604")</f>
        <v>0</v>
      </c>
      <c r="AL101" s="11">
        <f>SUMIFS(입항스케줄!J:J,입항스케줄!C:C,PSI_메인!A101,입항스케줄!V:V,"2604")</f>
        <v>0</v>
      </c>
      <c r="AM101" s="280">
        <f t="shared" ref="AM101:AM102" si="76">$G101+AK101-AI101</f>
        <v>300</v>
      </c>
      <c r="AN101" s="277">
        <f t="shared" ref="AN101:AN102" si="77">$G101+AL101-AJ101</f>
        <v>300</v>
      </c>
      <c r="AO101" s="278">
        <v>0</v>
      </c>
      <c r="AP101" s="278">
        <v>0</v>
      </c>
      <c r="AQ101" s="279">
        <f t="shared" ref="AQ101:AQ102" si="78">ROUND((AO101+AP101)/2,0)</f>
        <v>0</v>
      </c>
      <c r="AR101" s="11">
        <v>0</v>
      </c>
      <c r="AS101" s="9"/>
      <c r="AT101" s="277"/>
      <c r="AU101" s="280">
        <f t="shared" ref="AU101:AU102" si="79">$G101+AS101-AQ101</f>
        <v>300</v>
      </c>
      <c r="AV101" s="277">
        <f t="shared" ref="AV101:AV102" si="80">$G101+AT101-AR101</f>
        <v>300</v>
      </c>
      <c r="AW101" s="278">
        <v>0</v>
      </c>
      <c r="AX101" s="278">
        <v>0</v>
      </c>
      <c r="AY101" s="279">
        <f t="shared" ref="AY101:AY102" si="81">ROUND((AW101+AX101)/2,0)</f>
        <v>0</v>
      </c>
      <c r="AZ101" s="11">
        <v>0</v>
      </c>
      <c r="BA101" s="9"/>
      <c r="BB101" s="11"/>
      <c r="BC101" s="280">
        <f t="shared" ref="BC101:BC102" si="82">$G101+BA101-AY101</f>
        <v>300</v>
      </c>
      <c r="BD101" s="277">
        <f t="shared" ref="BD101:BD102" si="83">$G101+BB101-AZ101</f>
        <v>300</v>
      </c>
      <c r="BE101" s="278">
        <v>0</v>
      </c>
      <c r="BF101" s="278">
        <v>0</v>
      </c>
      <c r="BG101" s="279">
        <f t="shared" ref="BG101:BG102" si="84">ROUND((BE101+BF101)/2,0)</f>
        <v>0</v>
      </c>
      <c r="BH101" s="11">
        <v>0</v>
      </c>
      <c r="BI101" s="278"/>
      <c r="BJ101" s="11"/>
      <c r="BK101" s="280">
        <f t="shared" ref="BK101:BK102" si="85">$G101+BI101-BG101</f>
        <v>300</v>
      </c>
      <c r="BL101" s="277">
        <f t="shared" ref="BL101:BL102" si="86">$G101+BJ101-BH101</f>
        <v>300</v>
      </c>
      <c r="BM101" s="278">
        <v>0</v>
      </c>
      <c r="BN101" s="278">
        <v>0</v>
      </c>
      <c r="BO101" s="279">
        <f t="shared" ref="BO101:BO102" si="87">ROUND((BM101+BN101)/2,0)</f>
        <v>0</v>
      </c>
      <c r="BP101" s="11">
        <v>0</v>
      </c>
      <c r="BQ101" s="278"/>
      <c r="BR101" s="11"/>
      <c r="BS101" s="280">
        <f t="shared" ref="BS101:BS102" si="88">$G101+BQ101-BO101</f>
        <v>300</v>
      </c>
      <c r="BT101" s="277">
        <f t="shared" ref="BT101:BT102" si="89">$G101+BR101-BP101</f>
        <v>300</v>
      </c>
      <c r="BU101" s="278">
        <v>0</v>
      </c>
      <c r="BV101" s="278">
        <v>0</v>
      </c>
      <c r="BW101" s="279">
        <f t="shared" ref="BW101:BW102" si="90">ROUND((BU101+BV101)/2,0)</f>
        <v>0</v>
      </c>
      <c r="BX101" s="11">
        <v>0</v>
      </c>
      <c r="BY101" s="278"/>
      <c r="BZ101" s="11"/>
      <c r="CA101" s="280">
        <f t="shared" ref="CA101:CA102" si="91">$G101+BY101-BW101</f>
        <v>300</v>
      </c>
      <c r="CB101" s="277">
        <f t="shared" ref="CB101:CB102" si="92">$G101+BZ101-BX101</f>
        <v>300</v>
      </c>
      <c r="CC101" s="278">
        <v>0</v>
      </c>
      <c r="CD101" s="278">
        <v>0</v>
      </c>
      <c r="CE101" s="279">
        <f t="shared" ref="CE101:CE102" si="93">ROUND((CC101+CD101)/2,0)</f>
        <v>0</v>
      </c>
      <c r="CF101" s="11">
        <v>0</v>
      </c>
      <c r="CG101" s="278"/>
      <c r="CH101" s="11"/>
      <c r="CI101" s="280">
        <f t="shared" ref="CI101:CI102" si="94">$G101+CG101-CE101</f>
        <v>300</v>
      </c>
      <c r="CJ101" s="277">
        <f t="shared" ref="CJ101:CJ102" si="95">$G101+CH101-CF101</f>
        <v>300</v>
      </c>
      <c r="CK101" s="278">
        <v>0</v>
      </c>
      <c r="CL101" s="278">
        <v>0</v>
      </c>
      <c r="CM101" s="279">
        <f t="shared" ref="CM101:CM102" si="96">ROUND((CK101+CL101)/2,0)</f>
        <v>0</v>
      </c>
      <c r="CN101" s="11">
        <v>0</v>
      </c>
      <c r="CO101" s="278"/>
      <c r="CP101" s="277"/>
      <c r="CQ101" s="280">
        <f t="shared" ref="CQ101:CQ102" si="97">$G101+CO101-CM101</f>
        <v>300</v>
      </c>
      <c r="CR101" s="277">
        <f t="shared" ref="CR101:CR102" si="98">$G101+CP101-CN101</f>
        <v>300</v>
      </c>
      <c r="CS101" s="278">
        <v>0</v>
      </c>
      <c r="CT101" s="278">
        <v>0</v>
      </c>
      <c r="CU101" s="279">
        <f t="shared" ref="CU101:CU102" si="99">ROUND((CS101+CT101)/2,0)</f>
        <v>0</v>
      </c>
      <c r="CV101" s="11">
        <v>0</v>
      </c>
      <c r="CW101" s="278"/>
      <c r="CX101" s="277"/>
      <c r="CY101" s="280">
        <f t="shared" ref="CY101:CY102" si="100">$G101+CW101-CU101</f>
        <v>300</v>
      </c>
      <c r="CZ101" s="277">
        <f t="shared" ref="CZ101:CZ102" si="101">$G101+CX101-CV101</f>
        <v>300</v>
      </c>
    </row>
    <row r="102" spans="1:104">
      <c r="A102" s="28" t="s">
        <v>679</v>
      </c>
      <c r="B102" s="434"/>
      <c r="C102" s="434"/>
      <c r="D102" s="28" t="str">
        <f>_xlfn.XLOOKUP(A102,'ABC-XYZ분석 (2)'!C:C,'ABC-XYZ분석 (2)'!I:I)</f>
        <v>사계절</v>
      </c>
      <c r="E102" s="28" t="str">
        <f>_xlfn.XLOOKUP(A102,'ABC-XYZ분석 (2)'!C:C,'ABC-XYZ분석 (2)'!AC:AC)</f>
        <v>C</v>
      </c>
      <c r="F102" s="3" t="str">
        <f>_xlfn.XLOOKUP(A102,'ABC-XYZ분석 (2)'!C:C,'ABC-XYZ분석 (2)'!AG:AG)</f>
        <v>Y</v>
      </c>
      <c r="G102" s="14">
        <f>SUMIF(재고!C:C,PSI_메인!A102,재고!I:I)</f>
        <v>500</v>
      </c>
      <c r="H102" s="277">
        <v>138</v>
      </c>
      <c r="I102" s="278">
        <v>0</v>
      </c>
      <c r="J102" s="278">
        <v>0</v>
      </c>
      <c r="K102" s="279">
        <v>85</v>
      </c>
      <c r="L102" s="11">
        <v>0</v>
      </c>
      <c r="M102" s="9">
        <f>SUMIFS(입항스케줄!J:J,입항스케줄!C:C,PSI_메인!A102,입항스케줄!U:U,"2601")</f>
        <v>0</v>
      </c>
      <c r="N102" s="11">
        <f>SUMIFS(입항스케줄!J:J,입항스케줄!C:C,PSI_메인!A102,입항스케줄!V:V,"2601")</f>
        <v>0</v>
      </c>
      <c r="O102" s="280">
        <f t="shared" si="68"/>
        <v>415</v>
      </c>
      <c r="P102" s="277">
        <f t="shared" si="69"/>
        <v>500</v>
      </c>
      <c r="Q102" s="278">
        <v>0</v>
      </c>
      <c r="R102" s="278">
        <v>0</v>
      </c>
      <c r="S102" s="10">
        <v>59</v>
      </c>
      <c r="T102" s="11">
        <v>0</v>
      </c>
      <c r="U102" s="9">
        <f>SUMIFS(입항스케줄!J:J,입항스케줄!C:C,PSI_메인!A102,입항스케줄!U:U,"2602")</f>
        <v>0</v>
      </c>
      <c r="V102" s="11">
        <f>SUMIFS(입항스케줄!J:J,입항스케줄!C:C,PSI_메인!A102,입항스케줄!V:V,"2602")</f>
        <v>0</v>
      </c>
      <c r="W102" s="280">
        <f t="shared" si="70"/>
        <v>441</v>
      </c>
      <c r="X102" s="277">
        <f t="shared" si="71"/>
        <v>500</v>
      </c>
      <c r="Y102" s="278">
        <v>0</v>
      </c>
      <c r="Z102" s="278">
        <v>0</v>
      </c>
      <c r="AA102" s="279">
        <f t="shared" si="72"/>
        <v>0</v>
      </c>
      <c r="AB102" s="11">
        <v>0</v>
      </c>
      <c r="AC102" s="9">
        <f>SUMIFS(입항스케줄!J:J,입항스케줄!C:C,PSI_메인!A102,입항스케줄!U:U,"2603")</f>
        <v>0</v>
      </c>
      <c r="AD102" s="11">
        <f>SUMIFS(입항스케줄!J:J,입항스케줄!C:C,PSI_메인!A102,입항스케줄!V:V,"2603")</f>
        <v>0</v>
      </c>
      <c r="AE102" s="280">
        <f t="shared" si="73"/>
        <v>500</v>
      </c>
      <c r="AF102" s="277">
        <f t="shared" si="74"/>
        <v>500</v>
      </c>
      <c r="AG102" s="278">
        <v>0</v>
      </c>
      <c r="AH102" s="278">
        <v>0</v>
      </c>
      <c r="AI102" s="279">
        <f t="shared" si="75"/>
        <v>0</v>
      </c>
      <c r="AJ102" s="11">
        <v>0</v>
      </c>
      <c r="AK102" s="9">
        <f>SUMIFS(입항스케줄!J:J,입항스케줄!C:C,PSI_메인!A102,입항스케줄!U:U,"2604")</f>
        <v>0</v>
      </c>
      <c r="AL102" s="11">
        <f>SUMIFS(입항스케줄!J:J,입항스케줄!C:C,PSI_메인!A102,입항스케줄!V:V,"2604")</f>
        <v>0</v>
      </c>
      <c r="AM102" s="280">
        <f t="shared" si="76"/>
        <v>500</v>
      </c>
      <c r="AN102" s="277">
        <f t="shared" si="77"/>
        <v>500</v>
      </c>
      <c r="AO102" s="278">
        <v>0</v>
      </c>
      <c r="AP102" s="278">
        <v>0</v>
      </c>
      <c r="AQ102" s="279">
        <f t="shared" si="78"/>
        <v>0</v>
      </c>
      <c r="AR102" s="11">
        <v>0</v>
      </c>
      <c r="AS102" s="9"/>
      <c r="AT102" s="277"/>
      <c r="AU102" s="280">
        <f t="shared" si="79"/>
        <v>500</v>
      </c>
      <c r="AV102" s="277">
        <f t="shared" si="80"/>
        <v>500</v>
      </c>
      <c r="AW102" s="278">
        <v>0</v>
      </c>
      <c r="AX102" s="278">
        <v>0</v>
      </c>
      <c r="AY102" s="279">
        <f t="shared" si="81"/>
        <v>0</v>
      </c>
      <c r="AZ102" s="11">
        <v>0</v>
      </c>
      <c r="BA102" s="9"/>
      <c r="BB102" s="11"/>
      <c r="BC102" s="280">
        <f t="shared" si="82"/>
        <v>500</v>
      </c>
      <c r="BD102" s="277">
        <f t="shared" si="83"/>
        <v>500</v>
      </c>
      <c r="BE102" s="278">
        <v>0</v>
      </c>
      <c r="BF102" s="278">
        <v>0</v>
      </c>
      <c r="BG102" s="279">
        <f t="shared" si="84"/>
        <v>0</v>
      </c>
      <c r="BH102" s="11">
        <v>0</v>
      </c>
      <c r="BI102" s="278"/>
      <c r="BJ102" s="11"/>
      <c r="BK102" s="280">
        <f t="shared" si="85"/>
        <v>500</v>
      </c>
      <c r="BL102" s="277">
        <f t="shared" si="86"/>
        <v>500</v>
      </c>
      <c r="BM102" s="278">
        <v>0</v>
      </c>
      <c r="BN102" s="278">
        <v>0</v>
      </c>
      <c r="BO102" s="279">
        <f t="shared" si="87"/>
        <v>0</v>
      </c>
      <c r="BP102" s="11">
        <v>0</v>
      </c>
      <c r="BQ102" s="278"/>
      <c r="BR102" s="11"/>
      <c r="BS102" s="280">
        <f t="shared" si="88"/>
        <v>500</v>
      </c>
      <c r="BT102" s="277">
        <f t="shared" si="89"/>
        <v>500</v>
      </c>
      <c r="BU102" s="278">
        <v>0</v>
      </c>
      <c r="BV102" s="278">
        <v>0</v>
      </c>
      <c r="BW102" s="279">
        <f t="shared" si="90"/>
        <v>0</v>
      </c>
      <c r="BX102" s="11">
        <v>0</v>
      </c>
      <c r="BY102" s="278"/>
      <c r="BZ102" s="11"/>
      <c r="CA102" s="280">
        <f t="shared" si="91"/>
        <v>500</v>
      </c>
      <c r="CB102" s="277">
        <f t="shared" si="92"/>
        <v>500</v>
      </c>
      <c r="CC102" s="278">
        <v>0</v>
      </c>
      <c r="CD102" s="278">
        <v>0</v>
      </c>
      <c r="CE102" s="279">
        <f t="shared" si="93"/>
        <v>0</v>
      </c>
      <c r="CF102" s="11">
        <v>0</v>
      </c>
      <c r="CG102" s="278"/>
      <c r="CH102" s="11"/>
      <c r="CI102" s="280">
        <f t="shared" si="94"/>
        <v>500</v>
      </c>
      <c r="CJ102" s="277">
        <f t="shared" si="95"/>
        <v>500</v>
      </c>
      <c r="CK102" s="278">
        <v>0</v>
      </c>
      <c r="CL102" s="278">
        <v>0</v>
      </c>
      <c r="CM102" s="279">
        <f t="shared" si="96"/>
        <v>0</v>
      </c>
      <c r="CN102" s="11">
        <v>0</v>
      </c>
      <c r="CO102" s="278"/>
      <c r="CP102" s="277"/>
      <c r="CQ102" s="280">
        <f t="shared" si="97"/>
        <v>500</v>
      </c>
      <c r="CR102" s="277">
        <f t="shared" si="98"/>
        <v>500</v>
      </c>
      <c r="CS102" s="278">
        <v>0</v>
      </c>
      <c r="CT102" s="278">
        <v>0</v>
      </c>
      <c r="CU102" s="279">
        <f t="shared" si="99"/>
        <v>0</v>
      </c>
      <c r="CV102" s="11">
        <v>0</v>
      </c>
      <c r="CW102" s="278"/>
      <c r="CX102" s="277"/>
      <c r="CY102" s="280">
        <f t="shared" si="100"/>
        <v>500</v>
      </c>
      <c r="CZ102" s="277">
        <f t="shared" si="101"/>
        <v>500</v>
      </c>
    </row>
  </sheetData>
  <autoFilter ref="A3:CZ100" xr:uid="{00000000-0001-0000-0100-000000000000}"/>
  <mergeCells count="49">
    <mergeCell ref="G1:G2"/>
    <mergeCell ref="BQ2:BR2"/>
    <mergeCell ref="CY2:CZ2"/>
    <mergeCell ref="BM2:BP2"/>
    <mergeCell ref="Y2:AB2"/>
    <mergeCell ref="AO1:AV1"/>
    <mergeCell ref="AG2:AJ2"/>
    <mergeCell ref="AW1:BD1"/>
    <mergeCell ref="I1:P1"/>
    <mergeCell ref="O2:P2"/>
    <mergeCell ref="CK2:CN2"/>
    <mergeCell ref="CS1:CZ1"/>
    <mergeCell ref="W2:X2"/>
    <mergeCell ref="CS2:CV2"/>
    <mergeCell ref="BS2:BT2"/>
    <mergeCell ref="BK2:BL2"/>
    <mergeCell ref="CW2:CX2"/>
    <mergeCell ref="BU2:BX2"/>
    <mergeCell ref="Q1:X1"/>
    <mergeCell ref="AS2:AT2"/>
    <mergeCell ref="AC2:AD2"/>
    <mergeCell ref="AU2:AV2"/>
    <mergeCell ref="AK2:AL2"/>
    <mergeCell ref="CO2:CP2"/>
    <mergeCell ref="CQ2:CR2"/>
    <mergeCell ref="BE2:BH2"/>
    <mergeCell ref="Q2:T2"/>
    <mergeCell ref="CC1:CJ1"/>
    <mergeCell ref="AG1:AN1"/>
    <mergeCell ref="CC2:CF2"/>
    <mergeCell ref="CK1:CR1"/>
    <mergeCell ref="CG2:CH2"/>
    <mergeCell ref="Y1:AF1"/>
    <mergeCell ref="BU1:CB1"/>
    <mergeCell ref="BC2:BD2"/>
    <mergeCell ref="M2:N2"/>
    <mergeCell ref="U2:V2"/>
    <mergeCell ref="AE2:AF2"/>
    <mergeCell ref="BY2:BZ2"/>
    <mergeCell ref="BE1:BL1"/>
    <mergeCell ref="CA2:CB2"/>
    <mergeCell ref="AO2:AR2"/>
    <mergeCell ref="BM1:BT1"/>
    <mergeCell ref="CI2:CJ2"/>
    <mergeCell ref="AM2:AN2"/>
    <mergeCell ref="BI2:BJ2"/>
    <mergeCell ref="BA2:BB2"/>
    <mergeCell ref="I2:L2"/>
    <mergeCell ref="AW2:AZ2"/>
  </mergeCells>
  <phoneticPr fontId="15" type="noConversion"/>
  <conditionalFormatting sqref="B4:B100">
    <cfRule type="duplicateValues" dxfId="47" priority="1"/>
    <cfRule type="duplicateValues" dxfId="46" priority="2"/>
  </conditionalFormatting>
  <conditionalFormatting sqref="O1:P1048576 W1:X1048576 AE1:AF1048576 AM1:AN1048576 AU1:AV1048576 BC1:BD1048576 BK1:BL1048576 BS1:BT1048576 CA1:CB1048576 CI1:CJ1048576 CQ1:CR1048576 CY1:CZ1048576">
    <cfRule type="cellIs" dxfId="45" priority="5" operator="lessThan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R100"/>
  <sheetViews>
    <sheetView showGridLines="0" zoomScale="130" zoomScaleNormal="130" workbookViewId="0">
      <pane ySplit="1" topLeftCell="A2" activePane="bottomLeft" state="frozen"/>
      <selection pane="bottomLeft" activeCell="I2" sqref="I2"/>
    </sheetView>
  </sheetViews>
  <sheetFormatPr defaultColWidth="15.375" defaultRowHeight="16.5"/>
  <cols>
    <col min="1" max="1" width="8.125" style="158" customWidth="1"/>
    <col min="2" max="2" width="8.625" customWidth="1"/>
    <col min="3" max="3" width="9" customWidth="1"/>
    <col min="4" max="4" width="7.5" style="130" customWidth="1"/>
    <col min="5" max="5" width="9.625" style="130" customWidth="1"/>
    <col min="6" max="6" width="5.125" style="130" customWidth="1"/>
    <col min="7" max="7" width="4.875" style="130" customWidth="1"/>
    <col min="8" max="8" width="6.125" customWidth="1"/>
    <col min="9" max="9" width="5.875" customWidth="1"/>
    <col min="10" max="10" width="30.375" style="143" customWidth="1"/>
    <col min="11" max="11" width="1.125" style="143" customWidth="1"/>
    <col min="12" max="12" width="3.875" style="254" bestFit="1" customWidth="1"/>
    <col min="13" max="13" width="8.625" style="143" customWidth="1"/>
    <col min="14" max="14" width="9.375" customWidth="1"/>
    <col min="15" max="15" width="38.375" customWidth="1"/>
    <col min="16" max="16" width="2.375" customWidth="1"/>
    <col min="17" max="17" width="13.875" style="158" bestFit="1" customWidth="1"/>
    <col min="18" max="18" width="5.625" bestFit="1" customWidth="1"/>
  </cols>
  <sheetData>
    <row r="1" spans="1:18" ht="39.6" customHeight="1">
      <c r="A1" s="282" t="s">
        <v>704</v>
      </c>
      <c r="B1" s="282" t="s">
        <v>11</v>
      </c>
      <c r="C1" s="282" t="s">
        <v>299</v>
      </c>
      <c r="D1" s="283" t="s">
        <v>300</v>
      </c>
      <c r="E1" s="284" t="s">
        <v>298</v>
      </c>
      <c r="F1" s="315" t="s">
        <v>408</v>
      </c>
      <c r="G1" s="315" t="s">
        <v>407</v>
      </c>
      <c r="H1" s="315" t="s">
        <v>513</v>
      </c>
      <c r="I1" s="285" t="s">
        <v>13</v>
      </c>
      <c r="J1" s="286" t="s">
        <v>516</v>
      </c>
      <c r="K1"/>
      <c r="L1" s="220"/>
      <c r="M1" s="346" t="s">
        <v>99</v>
      </c>
      <c r="N1" s="346" t="s">
        <v>515</v>
      </c>
      <c r="O1" s="346" t="s">
        <v>88</v>
      </c>
      <c r="Q1" s="319" t="s">
        <v>535</v>
      </c>
    </row>
    <row r="2" spans="1:18">
      <c r="A2" s="459" t="s">
        <v>581</v>
      </c>
      <c r="B2" s="27"/>
      <c r="C2" s="3">
        <v>30</v>
      </c>
      <c r="D2" s="131">
        <f>30/SUMIF('ABC-XYZ분석 (2)'!C:C,안전재고!A2,'ABC-XYZ분석 (2)'!X:X)</f>
        <v>5</v>
      </c>
      <c r="E2" s="132">
        <f>IFERROR('ABC-XYZ분석 (2)'!AE2/30,0)</f>
        <v>26.102154830061192</v>
      </c>
      <c r="F2" s="132" t="str">
        <f>_xlfn.XLOOKUP(표7[[#This Row],[SKU
코드]],'ABC-XYZ분석 (2)'!C:C,'ABC-XYZ분석 (2)'!AC:AC)</f>
        <v>A</v>
      </c>
      <c r="G2" s="132" t="str">
        <f>_xlfn.XLOOKUP(표7[[#This Row],[SKU
코드]],'ABC-XYZ분석 (2)'!C:C,'ABC-XYZ분석 (2)'!AG:AG)</f>
        <v>Z</v>
      </c>
      <c r="H2" s="318">
        <f>_xlfn.XLOOKUP(표7[[#This Row],[ABC]],L:L,N:N)</f>
        <v>1.48</v>
      </c>
      <c r="I2" s="131">
        <f>ROUND(E2*SQRT(C2)*표7[[#This Row],[안전
계수]]*_xlfn.XLOOKUP(표7[[#This Row],[XYZ]],Q:Q,R:R),0)</f>
        <v>212</v>
      </c>
      <c r="J2" s="281" t="s">
        <v>514</v>
      </c>
      <c r="K2" s="144"/>
      <c r="L2" s="317" t="s">
        <v>512</v>
      </c>
      <c r="M2" s="316">
        <v>0.85</v>
      </c>
      <c r="N2" s="314">
        <v>1.04</v>
      </c>
      <c r="O2" s="314"/>
      <c r="Q2" s="345" t="s">
        <v>404</v>
      </c>
      <c r="R2" s="344">
        <v>0.85</v>
      </c>
    </row>
    <row r="3" spans="1:18">
      <c r="A3" s="459" t="s">
        <v>582</v>
      </c>
      <c r="B3" s="27"/>
      <c r="C3" s="3">
        <v>30</v>
      </c>
      <c r="D3" s="131">
        <f>30/SUMIF('ABC-XYZ분석 (2)'!C:C,안전재고!A3,'ABC-XYZ분석 (2)'!X:X)</f>
        <v>4.7368421052631584</v>
      </c>
      <c r="E3" s="132">
        <f>IFERROR('ABC-XYZ분석 (2)'!AE3/30,0)</f>
        <v>29.274016504880951</v>
      </c>
      <c r="F3" s="132" t="str">
        <f>_xlfn.XLOOKUP(표7[[#This Row],[SKU
코드]],'ABC-XYZ분석 (2)'!C:C,'ABC-XYZ분석 (2)'!AC:AC)</f>
        <v>A</v>
      </c>
      <c r="G3" s="132" t="str">
        <f>_xlfn.XLOOKUP(표7[[#This Row],[SKU
코드]],'ABC-XYZ분석 (2)'!C:C,'ABC-XYZ분석 (2)'!AG:AG)</f>
        <v>Z</v>
      </c>
      <c r="H3" s="318">
        <f>_xlfn.XLOOKUP(표7[[#This Row],[ABC]],L:L,N:N)</f>
        <v>1.48</v>
      </c>
      <c r="I3" s="131">
        <f>ROUND(E3*SQRT(C3)*표7[[#This Row],[안전
계수]]*_xlfn.XLOOKUP(표7[[#This Row],[XYZ]],Q:Q,R:R),0)</f>
        <v>237</v>
      </c>
      <c r="J3" s="281" t="s">
        <v>514</v>
      </c>
      <c r="K3"/>
      <c r="L3" s="220" t="s">
        <v>511</v>
      </c>
      <c r="M3" s="347">
        <v>0.9</v>
      </c>
      <c r="N3" s="348">
        <v>1.28</v>
      </c>
      <c r="O3" s="348" t="s">
        <v>100</v>
      </c>
      <c r="Q3" s="345" t="s">
        <v>405</v>
      </c>
      <c r="R3" s="344">
        <v>1</v>
      </c>
    </row>
    <row r="4" spans="1:18">
      <c r="A4" s="459" t="s">
        <v>583</v>
      </c>
      <c r="B4" s="27"/>
      <c r="C4" s="3">
        <v>30</v>
      </c>
      <c r="D4" s="131">
        <f>30/SUMIF('ABC-XYZ분석 (2)'!C:C,안전재고!A4,'ABC-XYZ분석 (2)'!X:X)</f>
        <v>2.6470588235294117</v>
      </c>
      <c r="E4" s="132">
        <f>IFERROR('ABC-XYZ분석 (2)'!AE4/30,0)</f>
        <v>31.708022285356705</v>
      </c>
      <c r="F4" s="132" t="str">
        <f>_xlfn.XLOOKUP(표7[[#This Row],[SKU
코드]],'ABC-XYZ분석 (2)'!C:C,'ABC-XYZ분석 (2)'!AC:AC)</f>
        <v>A</v>
      </c>
      <c r="G4" s="132" t="str">
        <f>_xlfn.XLOOKUP(표7[[#This Row],[SKU
코드]],'ABC-XYZ분석 (2)'!C:C,'ABC-XYZ분석 (2)'!AG:AG)</f>
        <v>Z</v>
      </c>
      <c r="H4" s="318">
        <f>_xlfn.XLOOKUP(표7[[#This Row],[ABC]],L:L,N:N)</f>
        <v>1.48</v>
      </c>
      <c r="I4" s="131">
        <f>ROUND(E4*SQRT(C4)*표7[[#This Row],[안전
계수]]*_xlfn.XLOOKUP(표7[[#This Row],[XYZ]],Q:Q,R:R),0)</f>
        <v>257</v>
      </c>
      <c r="J4" s="281" t="s">
        <v>514</v>
      </c>
      <c r="K4"/>
      <c r="L4" s="220"/>
      <c r="M4" s="347">
        <v>0.91</v>
      </c>
      <c r="N4" s="348">
        <v>1.34</v>
      </c>
      <c r="O4" s="348"/>
      <c r="Q4" s="345" t="s">
        <v>406</v>
      </c>
      <c r="R4" s="344">
        <v>1</v>
      </c>
    </row>
    <row r="5" spans="1:18">
      <c r="A5" s="459" t="s">
        <v>584</v>
      </c>
      <c r="B5" s="27"/>
      <c r="C5" s="3">
        <v>30</v>
      </c>
      <c r="D5" s="131">
        <f>30/SUMIF('ABC-XYZ분석 (2)'!C:C,안전재고!A5,'ABC-XYZ분석 (2)'!X:X)</f>
        <v>4.0909090909090908</v>
      </c>
      <c r="E5" s="132">
        <f>IFERROR('ABC-XYZ분석 (2)'!AE5/30,0)</f>
        <v>63.898717394452326</v>
      </c>
      <c r="F5" s="132" t="str">
        <f>_xlfn.XLOOKUP(표7[[#This Row],[SKU
코드]],'ABC-XYZ분석 (2)'!C:C,'ABC-XYZ분석 (2)'!AC:AC)</f>
        <v>A</v>
      </c>
      <c r="G5" s="132" t="str">
        <f>_xlfn.XLOOKUP(표7[[#This Row],[SKU
코드]],'ABC-XYZ분석 (2)'!C:C,'ABC-XYZ분석 (2)'!AG:AG)</f>
        <v>Z</v>
      </c>
      <c r="H5" s="318">
        <f>_xlfn.XLOOKUP(표7[[#This Row],[ABC]],L:L,N:N)</f>
        <v>1.48</v>
      </c>
      <c r="I5" s="131">
        <f>ROUND(E5*SQRT(C5)*표7[[#This Row],[안전
계수]]*_xlfn.XLOOKUP(표7[[#This Row],[XYZ]],Q:Q,R:R),0)</f>
        <v>518</v>
      </c>
      <c r="J5" s="281" t="s">
        <v>514</v>
      </c>
      <c r="K5"/>
      <c r="L5" s="220"/>
      <c r="M5" s="347">
        <v>0.92</v>
      </c>
      <c r="N5" s="348">
        <v>1.41</v>
      </c>
      <c r="O5" s="348"/>
    </row>
    <row r="6" spans="1:18">
      <c r="A6" s="459" t="s">
        <v>585</v>
      </c>
      <c r="B6" s="27"/>
      <c r="C6" s="3">
        <v>30</v>
      </c>
      <c r="D6" s="131">
        <f>30/SUMIF('ABC-XYZ분석 (2)'!C:C,안전재고!A6,'ABC-XYZ분석 (2)'!X:X)</f>
        <v>5.625</v>
      </c>
      <c r="E6" s="132">
        <f>IFERROR('ABC-XYZ분석 (2)'!AE6/30,0)</f>
        <v>23.03703827047071</v>
      </c>
      <c r="F6" s="132" t="str">
        <f>_xlfn.XLOOKUP(표7[[#This Row],[SKU
코드]],'ABC-XYZ분석 (2)'!C:C,'ABC-XYZ분석 (2)'!AC:AC)</f>
        <v>A</v>
      </c>
      <c r="G6" s="132" t="str">
        <f>_xlfn.XLOOKUP(표7[[#This Row],[SKU
코드]],'ABC-XYZ분석 (2)'!C:C,'ABC-XYZ분석 (2)'!AG:AG)</f>
        <v>Z</v>
      </c>
      <c r="H6" s="318">
        <f>_xlfn.XLOOKUP(표7[[#This Row],[ABC]],L:L,N:N)</f>
        <v>1.48</v>
      </c>
      <c r="I6" s="131">
        <f>ROUND(E6*SQRT(C6)*표7[[#This Row],[안전
계수]]*_xlfn.XLOOKUP(표7[[#This Row],[XYZ]],Q:Q,R:R),0)</f>
        <v>187</v>
      </c>
      <c r="J6" s="281" t="s">
        <v>514</v>
      </c>
      <c r="K6"/>
      <c r="L6" s="220" t="s">
        <v>510</v>
      </c>
      <c r="M6" s="347">
        <v>0.93</v>
      </c>
      <c r="N6" s="348">
        <v>1.48</v>
      </c>
      <c r="O6" s="348"/>
    </row>
    <row r="7" spans="1:18">
      <c r="A7" s="459" t="s">
        <v>586</v>
      </c>
      <c r="B7" s="27"/>
      <c r="C7" s="3">
        <v>30</v>
      </c>
      <c r="D7" s="131">
        <f>30/SUMIF('ABC-XYZ분석 (2)'!C:C,안전재고!A7,'ABC-XYZ분석 (2)'!X:X)</f>
        <v>6</v>
      </c>
      <c r="E7" s="132">
        <f>IFERROR('ABC-XYZ분석 (2)'!AE7/30,0)</f>
        <v>94.120721197460867</v>
      </c>
      <c r="F7" s="132" t="str">
        <f>_xlfn.XLOOKUP(표7[[#This Row],[SKU
코드]],'ABC-XYZ분석 (2)'!C:C,'ABC-XYZ분석 (2)'!AC:AC)</f>
        <v>A</v>
      </c>
      <c r="G7" s="132" t="str">
        <f>_xlfn.XLOOKUP(표7[[#This Row],[SKU
코드]],'ABC-XYZ분석 (2)'!C:C,'ABC-XYZ분석 (2)'!AG:AG)</f>
        <v>Z</v>
      </c>
      <c r="H7" s="318">
        <f>_xlfn.XLOOKUP(표7[[#This Row],[ABC]],L:L,N:N)</f>
        <v>1.48</v>
      </c>
      <c r="I7" s="131">
        <f>ROUND(E7*SQRT(C7)*표7[[#This Row],[안전
계수]]*_xlfn.XLOOKUP(표7[[#This Row],[XYZ]],Q:Q,R:R),0)</f>
        <v>763</v>
      </c>
      <c r="J7" s="281" t="s">
        <v>514</v>
      </c>
      <c r="K7"/>
      <c r="L7" s="220"/>
      <c r="M7" s="347">
        <v>0.94</v>
      </c>
      <c r="N7" s="348">
        <v>1.55</v>
      </c>
      <c r="O7" s="348"/>
    </row>
    <row r="8" spans="1:18" ht="33">
      <c r="A8" s="459" t="s">
        <v>587</v>
      </c>
      <c r="B8" s="27"/>
      <c r="C8" s="3">
        <v>30</v>
      </c>
      <c r="D8" s="131">
        <f>30/SUMIF('ABC-XYZ분석 (2)'!C:C,안전재고!A8,'ABC-XYZ분석 (2)'!X:X)</f>
        <v>5</v>
      </c>
      <c r="E8" s="132">
        <f>IFERROR('ABC-XYZ분석 (2)'!AE8/30,0)</f>
        <v>77.822558650565043</v>
      </c>
      <c r="F8" s="132" t="str">
        <f>_xlfn.XLOOKUP(표7[[#This Row],[SKU
코드]],'ABC-XYZ분석 (2)'!C:C,'ABC-XYZ분석 (2)'!AC:AC)</f>
        <v>A</v>
      </c>
      <c r="G8" s="132" t="str">
        <f>_xlfn.XLOOKUP(표7[[#This Row],[SKU
코드]],'ABC-XYZ분석 (2)'!C:C,'ABC-XYZ분석 (2)'!AG:AG)</f>
        <v>Z</v>
      </c>
      <c r="H8" s="318">
        <f>_xlfn.XLOOKUP(표7[[#This Row],[ABC]],L:L,N:N)</f>
        <v>1.48</v>
      </c>
      <c r="I8" s="131">
        <f>ROUND(E8*SQRT(C8)*표7[[#This Row],[안전
계수]]*_xlfn.XLOOKUP(표7[[#This Row],[XYZ]],Q:Q,R:R),0)</f>
        <v>631</v>
      </c>
      <c r="J8" s="281" t="s">
        <v>514</v>
      </c>
      <c r="K8"/>
      <c r="L8" s="220"/>
      <c r="M8" s="349">
        <v>0.95</v>
      </c>
      <c r="N8" s="350">
        <v>1.65</v>
      </c>
      <c r="O8" s="351" t="s">
        <v>705</v>
      </c>
    </row>
    <row r="9" spans="1:18">
      <c r="A9" s="459" t="s">
        <v>588</v>
      </c>
      <c r="B9" s="27"/>
      <c r="C9" s="3">
        <v>30</v>
      </c>
      <c r="D9" s="131">
        <f>30/SUMIF('ABC-XYZ분석 (2)'!C:C,안전재고!A9,'ABC-XYZ분석 (2)'!X:X)</f>
        <v>2.9173419773095625E-2</v>
      </c>
      <c r="E9" s="132">
        <f>IFERROR('ABC-XYZ분석 (2)'!AE9/30,0)</f>
        <v>9.1509039558874488</v>
      </c>
      <c r="F9" s="132" t="str">
        <f>_xlfn.XLOOKUP(표7[[#This Row],[SKU
코드]],'ABC-XYZ분석 (2)'!C:C,'ABC-XYZ분석 (2)'!AC:AC)</f>
        <v>A</v>
      </c>
      <c r="G9" s="132" t="str">
        <f>_xlfn.XLOOKUP(표7[[#This Row],[SKU
코드]],'ABC-XYZ분석 (2)'!C:C,'ABC-XYZ분석 (2)'!AG:AG)</f>
        <v>X</v>
      </c>
      <c r="H9" s="318">
        <f>_xlfn.XLOOKUP(표7[[#This Row],[ABC]],L:L,N:N)</f>
        <v>1.48</v>
      </c>
      <c r="I9" s="131">
        <f>ROUND(E9*SQRT(C9)*표7[[#This Row],[안전
계수]]*_xlfn.XLOOKUP(표7[[#This Row],[XYZ]],Q:Q,R:R),0)</f>
        <v>63</v>
      </c>
      <c r="J9" s="281" t="s">
        <v>514</v>
      </c>
      <c r="K9"/>
      <c r="L9" s="220"/>
      <c r="M9" s="347">
        <v>0.96</v>
      </c>
      <c r="N9" s="348">
        <v>1.75</v>
      </c>
      <c r="O9" s="348"/>
    </row>
    <row r="10" spans="1:18">
      <c r="A10" s="459" t="s">
        <v>589</v>
      </c>
      <c r="B10" s="27"/>
      <c r="C10" s="3">
        <v>30</v>
      </c>
      <c r="D10" s="131">
        <f>30/SUMIF('ABC-XYZ분석 (2)'!C:C,안전재고!A10,'ABC-XYZ분석 (2)'!X:X)</f>
        <v>8.1818181818181817</v>
      </c>
      <c r="E10" s="132">
        <f>IFERROR('ABC-XYZ분석 (2)'!AE10/30,0)</f>
        <v>61.129812867078378</v>
      </c>
      <c r="F10" s="132" t="str">
        <f>_xlfn.XLOOKUP(표7[[#This Row],[SKU
코드]],'ABC-XYZ분석 (2)'!C:C,'ABC-XYZ분석 (2)'!AC:AC)</f>
        <v>A</v>
      </c>
      <c r="G10" s="132" t="str">
        <f>_xlfn.XLOOKUP(표7[[#This Row],[SKU
코드]],'ABC-XYZ분석 (2)'!C:C,'ABC-XYZ분석 (2)'!AG:AG)</f>
        <v>Z</v>
      </c>
      <c r="H10" s="318">
        <f>_xlfn.XLOOKUP(표7[[#This Row],[ABC]],L:L,N:N)</f>
        <v>1.48</v>
      </c>
      <c r="I10" s="131">
        <f>ROUND(E10*SQRT(C10)*표7[[#This Row],[안전
계수]]*_xlfn.XLOOKUP(표7[[#This Row],[XYZ]],Q:Q,R:R),0)</f>
        <v>496</v>
      </c>
      <c r="J10" s="281" t="s">
        <v>514</v>
      </c>
      <c r="K10"/>
      <c r="L10" s="220"/>
      <c r="M10" s="347">
        <v>0.97</v>
      </c>
      <c r="N10" s="348">
        <v>1.88</v>
      </c>
      <c r="O10" s="348"/>
    </row>
    <row r="11" spans="1:18">
      <c r="A11" s="459" t="s">
        <v>590</v>
      </c>
      <c r="B11" s="27"/>
      <c r="C11" s="3">
        <v>30</v>
      </c>
      <c r="D11" s="131">
        <f>30/SUMIF('ABC-XYZ분석 (2)'!C:C,안전재고!A11,'ABC-XYZ분석 (2)'!X:X)</f>
        <v>6.2370062370062374E-2</v>
      </c>
      <c r="E11" s="132">
        <f>IFERROR('ABC-XYZ분석 (2)'!AE11/30,0)</f>
        <v>8.2160576552907489</v>
      </c>
      <c r="F11" s="132" t="str">
        <f>_xlfn.XLOOKUP(표7[[#This Row],[SKU
코드]],'ABC-XYZ분석 (2)'!C:C,'ABC-XYZ분석 (2)'!AC:AC)</f>
        <v>A</v>
      </c>
      <c r="G11" s="132" t="str">
        <f>_xlfn.XLOOKUP(표7[[#This Row],[SKU
코드]],'ABC-XYZ분석 (2)'!C:C,'ABC-XYZ분석 (2)'!AG:AG)</f>
        <v>X</v>
      </c>
      <c r="H11" s="318">
        <f>_xlfn.XLOOKUP(표7[[#This Row],[ABC]],L:L,N:N)</f>
        <v>1.48</v>
      </c>
      <c r="I11" s="131">
        <f>ROUND(E11*SQRT(C11)*표7[[#This Row],[안전
계수]]*_xlfn.XLOOKUP(표7[[#This Row],[XYZ]],Q:Q,R:R),0)</f>
        <v>57</v>
      </c>
      <c r="J11" s="281" t="s">
        <v>514</v>
      </c>
      <c r="K11"/>
      <c r="L11" s="220"/>
      <c r="M11" s="347">
        <v>0.97499999999999998</v>
      </c>
      <c r="N11" s="348">
        <v>1.96</v>
      </c>
      <c r="O11" s="348"/>
    </row>
    <row r="12" spans="1:18">
      <c r="A12" s="459" t="s">
        <v>591</v>
      </c>
      <c r="B12" s="27"/>
      <c r="C12" s="3">
        <v>30</v>
      </c>
      <c r="D12" s="131">
        <f>30/SUMIF('ABC-XYZ분석 (2)'!C:C,안전재고!A12,'ABC-XYZ분석 (2)'!X:X)</f>
        <v>1.3895321908290875E-2</v>
      </c>
      <c r="E12" s="132">
        <f>IFERROR('ABC-XYZ분석 (2)'!AE12/30,0)</f>
        <v>23.291969122796036</v>
      </c>
      <c r="F12" s="132" t="str">
        <f>_xlfn.XLOOKUP(표7[[#This Row],[SKU
코드]],'ABC-XYZ분석 (2)'!C:C,'ABC-XYZ분석 (2)'!AC:AC)</f>
        <v>A</v>
      </c>
      <c r="G12" s="132" t="str">
        <f>_xlfn.XLOOKUP(표7[[#This Row],[SKU
코드]],'ABC-XYZ분석 (2)'!C:C,'ABC-XYZ분석 (2)'!AG:AG)</f>
        <v>X</v>
      </c>
      <c r="H12" s="318">
        <f>_xlfn.XLOOKUP(표7[[#This Row],[ABC]],L:L,N:N)</f>
        <v>1.48</v>
      </c>
      <c r="I12" s="131">
        <f>ROUND(E12*SQRT(C12)*표7[[#This Row],[안전
계수]]*_xlfn.XLOOKUP(표7[[#This Row],[XYZ]],Q:Q,R:R),0)</f>
        <v>160</v>
      </c>
      <c r="J12" s="281" t="s">
        <v>514</v>
      </c>
      <c r="K12"/>
      <c r="L12" s="220"/>
      <c r="M12" s="347">
        <v>0.98</v>
      </c>
      <c r="N12" s="348">
        <v>2.0499999999999998</v>
      </c>
      <c r="O12" s="348"/>
    </row>
    <row r="13" spans="1:18">
      <c r="A13" s="459" t="s">
        <v>592</v>
      </c>
      <c r="B13" s="27"/>
      <c r="C13" s="3">
        <v>30</v>
      </c>
      <c r="D13" s="131">
        <f>30/SUMIF('ABC-XYZ분석 (2)'!C:C,안전재고!A13,'ABC-XYZ분석 (2)'!X:X)</f>
        <v>5.328596802841918E-2</v>
      </c>
      <c r="E13" s="132">
        <f>IFERROR('ABC-XYZ분석 (2)'!AE13/30,0)</f>
        <v>7.2478663314126237</v>
      </c>
      <c r="F13" s="132" t="str">
        <f>_xlfn.XLOOKUP(표7[[#This Row],[SKU
코드]],'ABC-XYZ분석 (2)'!C:C,'ABC-XYZ분석 (2)'!AC:AC)</f>
        <v>A</v>
      </c>
      <c r="G13" s="132" t="str">
        <f>_xlfn.XLOOKUP(표7[[#This Row],[SKU
코드]],'ABC-XYZ분석 (2)'!C:C,'ABC-XYZ분석 (2)'!AG:AG)</f>
        <v>X</v>
      </c>
      <c r="H13" s="318">
        <f>_xlfn.XLOOKUP(표7[[#This Row],[ABC]],L:L,N:N)</f>
        <v>1.48</v>
      </c>
      <c r="I13" s="131">
        <f>ROUND(E13*SQRT(C13)*표7[[#This Row],[안전
계수]]*_xlfn.XLOOKUP(표7[[#This Row],[XYZ]],Q:Q,R:R),0)</f>
        <v>50</v>
      </c>
      <c r="J13" s="281" t="s">
        <v>514</v>
      </c>
      <c r="K13"/>
      <c r="L13" s="220"/>
      <c r="M13" s="347">
        <v>0.99</v>
      </c>
      <c r="N13" s="348">
        <v>2.33</v>
      </c>
      <c r="O13" s="348" t="s">
        <v>101</v>
      </c>
    </row>
    <row r="14" spans="1:18">
      <c r="A14" s="459" t="s">
        <v>593</v>
      </c>
      <c r="B14" s="27"/>
      <c r="C14" s="3">
        <v>30</v>
      </c>
      <c r="D14" s="131">
        <f>30/SUMIF('ABC-XYZ분석 (2)'!C:C,안전재고!A14,'ABC-XYZ분석 (2)'!X:X)</f>
        <v>0.38297872340425532</v>
      </c>
      <c r="E14" s="132">
        <f>IFERROR('ABC-XYZ분석 (2)'!AE14/30,0)</f>
        <v>91.580134626462851</v>
      </c>
      <c r="F14" s="132" t="str">
        <f>_xlfn.XLOOKUP(표7[[#This Row],[SKU
코드]],'ABC-XYZ분석 (2)'!C:C,'ABC-XYZ분석 (2)'!AC:AC)</f>
        <v>A</v>
      </c>
      <c r="G14" s="132" t="str">
        <f>_xlfn.XLOOKUP(표7[[#This Row],[SKU
코드]],'ABC-XYZ분석 (2)'!C:C,'ABC-XYZ분석 (2)'!AG:AG)</f>
        <v>Z</v>
      </c>
      <c r="H14" s="318">
        <f>_xlfn.XLOOKUP(표7[[#This Row],[ABC]],L:L,N:N)</f>
        <v>1.48</v>
      </c>
      <c r="I14" s="131">
        <f>ROUND(E14*SQRT(C14)*표7[[#This Row],[안전
계수]]*_xlfn.XLOOKUP(표7[[#This Row],[XYZ]],Q:Q,R:R),0)</f>
        <v>742</v>
      </c>
      <c r="J14" s="281" t="s">
        <v>514</v>
      </c>
      <c r="K14"/>
      <c r="L14" s="220"/>
      <c r="M14" s="347">
        <v>0.995</v>
      </c>
      <c r="N14" s="348">
        <v>2.58</v>
      </c>
      <c r="O14" s="348"/>
    </row>
    <row r="15" spans="1:18">
      <c r="A15" s="459" t="s">
        <v>594</v>
      </c>
      <c r="B15" s="27"/>
      <c r="C15" s="3">
        <v>30</v>
      </c>
      <c r="D15" s="131">
        <f>30/SUMIF('ABC-XYZ분석 (2)'!C:C,안전재고!A15,'ABC-XYZ분석 (2)'!X:X)</f>
        <v>5.379557680812911E-2</v>
      </c>
      <c r="E15" s="132">
        <f>IFERROR('ABC-XYZ분석 (2)'!AE15/30,0)</f>
        <v>5.7777644230614884</v>
      </c>
      <c r="F15" s="132" t="str">
        <f>_xlfn.XLOOKUP(표7[[#This Row],[SKU
코드]],'ABC-XYZ분석 (2)'!C:C,'ABC-XYZ분석 (2)'!AC:AC)</f>
        <v>A</v>
      </c>
      <c r="G15" s="132" t="str">
        <f>_xlfn.XLOOKUP(표7[[#This Row],[SKU
코드]],'ABC-XYZ분석 (2)'!C:C,'ABC-XYZ분석 (2)'!AG:AG)</f>
        <v>Y</v>
      </c>
      <c r="H15" s="318">
        <f>_xlfn.XLOOKUP(표7[[#This Row],[ABC]],L:L,N:N)</f>
        <v>1.48</v>
      </c>
      <c r="I15" s="131">
        <f>ROUND(E15*SQRT(C15)*표7[[#This Row],[안전
계수]]*_xlfn.XLOOKUP(표7[[#This Row],[XYZ]],Q:Q,R:R),0)</f>
        <v>47</v>
      </c>
      <c r="J15" s="281" t="s">
        <v>514</v>
      </c>
      <c r="K15"/>
      <c r="L15" s="220"/>
      <c r="M15" s="347">
        <v>0.999</v>
      </c>
      <c r="N15" s="348">
        <v>3.09</v>
      </c>
      <c r="O15" s="348" t="s">
        <v>102</v>
      </c>
    </row>
    <row r="16" spans="1:18">
      <c r="A16" s="459" t="s">
        <v>595</v>
      </c>
      <c r="B16" s="27"/>
      <c r="C16" s="3">
        <v>30</v>
      </c>
      <c r="D16" s="131">
        <f>30/SUMIF('ABC-XYZ분석 (2)'!C:C,안전재고!A16,'ABC-XYZ분석 (2)'!X:X)</f>
        <v>8.1818181818181817</v>
      </c>
      <c r="E16" s="132">
        <f>IFERROR('ABC-XYZ분석 (2)'!AE16/30,0)</f>
        <v>9.72056675247992</v>
      </c>
      <c r="F16" s="132" t="str">
        <f>_xlfn.XLOOKUP(표7[[#This Row],[SKU
코드]],'ABC-XYZ분석 (2)'!C:C,'ABC-XYZ분석 (2)'!AC:AC)</f>
        <v>A</v>
      </c>
      <c r="G16" s="132" t="str">
        <f>_xlfn.XLOOKUP(표7[[#This Row],[SKU
코드]],'ABC-XYZ분석 (2)'!C:C,'ABC-XYZ분석 (2)'!AG:AG)</f>
        <v>Z</v>
      </c>
      <c r="H16" s="318">
        <f>_xlfn.XLOOKUP(표7[[#This Row],[ABC]],L:L,N:N)</f>
        <v>1.48</v>
      </c>
      <c r="I16" s="131">
        <f>ROUND(E16*SQRT(C16)*표7[[#This Row],[안전
계수]]*_xlfn.XLOOKUP(표7[[#This Row],[XYZ]],Q:Q,R:R),0)</f>
        <v>79</v>
      </c>
      <c r="J16" s="281" t="s">
        <v>514</v>
      </c>
      <c r="K16"/>
      <c r="L16" s="220"/>
      <c r="M16" s="347">
        <v>0.99990000000000001</v>
      </c>
      <c r="N16" s="348">
        <v>3.72</v>
      </c>
      <c r="O16" s="348" t="s">
        <v>103</v>
      </c>
    </row>
    <row r="17" spans="1:15">
      <c r="A17" s="459" t="s">
        <v>596</v>
      </c>
      <c r="B17" s="27"/>
      <c r="C17" s="3">
        <v>30</v>
      </c>
      <c r="D17" s="131">
        <f>30/SUMIF('ABC-XYZ분석 (2)'!C:C,안전재고!A17,'ABC-XYZ분석 (2)'!X:X)</f>
        <v>0.1066350710900474</v>
      </c>
      <c r="E17" s="132">
        <f>IFERROR('ABC-XYZ분석 (2)'!AE17/30,0)</f>
        <v>5.5096121113272529</v>
      </c>
      <c r="F17" s="132" t="str">
        <f>_xlfn.XLOOKUP(표7[[#This Row],[SKU
코드]],'ABC-XYZ분석 (2)'!C:C,'ABC-XYZ분석 (2)'!AC:AC)</f>
        <v>A</v>
      </c>
      <c r="G17" s="132" t="str">
        <f>_xlfn.XLOOKUP(표7[[#This Row],[SKU
코드]],'ABC-XYZ분석 (2)'!C:C,'ABC-XYZ분석 (2)'!AG:AG)</f>
        <v>Y</v>
      </c>
      <c r="H17" s="318">
        <f>_xlfn.XLOOKUP(표7[[#This Row],[ABC]],L:L,N:N)</f>
        <v>1.48</v>
      </c>
      <c r="I17" s="131">
        <f>ROUND(E17*SQRT(C17)*표7[[#This Row],[안전
계수]]*_xlfn.XLOOKUP(표7[[#This Row],[XYZ]],Q:Q,R:R),0)</f>
        <v>45</v>
      </c>
      <c r="J17" s="281" t="s">
        <v>514</v>
      </c>
      <c r="K17"/>
      <c r="L17" s="220"/>
      <c r="M17" s="142" t="s">
        <v>104</v>
      </c>
      <c r="N17" s="143"/>
      <c r="O17" s="143"/>
    </row>
    <row r="18" spans="1:15">
      <c r="A18" s="459" t="s">
        <v>597</v>
      </c>
      <c r="B18" s="27"/>
      <c r="C18" s="3">
        <v>30</v>
      </c>
      <c r="D18" s="131">
        <f>30/SUMIF('ABC-XYZ분석 (2)'!C:C,안전재고!A18,'ABC-XYZ분석 (2)'!X:X)</f>
        <v>0.69230769230769229</v>
      </c>
      <c r="E18" s="132">
        <f>IFERROR('ABC-XYZ분석 (2)'!AE18/30,0)</f>
        <v>2.4131391880164603</v>
      </c>
      <c r="F18" s="132" t="str">
        <f>_xlfn.XLOOKUP(표7[[#This Row],[SKU
코드]],'ABC-XYZ분석 (2)'!C:C,'ABC-XYZ분석 (2)'!AC:AC)</f>
        <v>A</v>
      </c>
      <c r="G18" s="132" t="str">
        <f>_xlfn.XLOOKUP(표7[[#This Row],[SKU
코드]],'ABC-XYZ분석 (2)'!C:C,'ABC-XYZ분석 (2)'!AG:AG)</f>
        <v>Y</v>
      </c>
      <c r="H18" s="318">
        <f>_xlfn.XLOOKUP(표7[[#This Row],[ABC]],L:L,N:N)</f>
        <v>1.48</v>
      </c>
      <c r="I18" s="131">
        <f>ROUND(E18*SQRT(C18)*표7[[#This Row],[안전
계수]]*_xlfn.XLOOKUP(표7[[#This Row],[XYZ]],Q:Q,R:R),0)</f>
        <v>20</v>
      </c>
      <c r="J18" s="281" t="s">
        <v>514</v>
      </c>
      <c r="K18"/>
      <c r="L18" s="220"/>
      <c r="N18" s="143"/>
      <c r="O18" s="143"/>
    </row>
    <row r="19" spans="1:15">
      <c r="A19" s="459" t="s">
        <v>598</v>
      </c>
      <c r="B19" s="27"/>
      <c r="C19" s="3">
        <v>30</v>
      </c>
      <c r="D19" s="131">
        <f>30/SUMIF('ABC-XYZ분석 (2)'!C:C,안전재고!A19,'ABC-XYZ분석 (2)'!X:X)</f>
        <v>4.3352601156069363E-2</v>
      </c>
      <c r="E19" s="132">
        <f>IFERROR('ABC-XYZ분석 (2)'!AE19/30,0)</f>
        <v>8.4867375655296922</v>
      </c>
      <c r="F19" s="132" t="str">
        <f>_xlfn.XLOOKUP(표7[[#This Row],[SKU
코드]],'ABC-XYZ분석 (2)'!C:C,'ABC-XYZ분석 (2)'!AC:AC)</f>
        <v>A</v>
      </c>
      <c r="G19" s="132" t="str">
        <f>_xlfn.XLOOKUP(표7[[#This Row],[SKU
코드]],'ABC-XYZ분석 (2)'!C:C,'ABC-XYZ분석 (2)'!AG:AG)</f>
        <v>Y</v>
      </c>
      <c r="H19" s="318">
        <f>_xlfn.XLOOKUP(표7[[#This Row],[ABC]],L:L,N:N)</f>
        <v>1.48</v>
      </c>
      <c r="I19" s="131">
        <f>ROUND(E19*SQRT(C19)*표7[[#This Row],[안전
계수]]*_xlfn.XLOOKUP(표7[[#This Row],[XYZ]],Q:Q,R:R),0)</f>
        <v>69</v>
      </c>
      <c r="J19" s="281" t="s">
        <v>514</v>
      </c>
      <c r="K19"/>
      <c r="L19" s="220"/>
      <c r="N19" s="143"/>
      <c r="O19" s="143"/>
    </row>
    <row r="20" spans="1:15">
      <c r="A20" s="459" t="s">
        <v>599</v>
      </c>
      <c r="B20" s="27"/>
      <c r="C20" s="3">
        <v>30</v>
      </c>
      <c r="D20" s="131">
        <f>30/SUMIF('ABC-XYZ분석 (2)'!C:C,안전재고!A20,'ABC-XYZ분석 (2)'!X:X)</f>
        <v>0.1337295690936107</v>
      </c>
      <c r="E20" s="132">
        <f>IFERROR('ABC-XYZ분석 (2)'!AE20/30,0)</f>
        <v>3.4813114369426432</v>
      </c>
      <c r="F20" s="132" t="str">
        <f>_xlfn.XLOOKUP(표7[[#This Row],[SKU
코드]],'ABC-XYZ분석 (2)'!C:C,'ABC-XYZ분석 (2)'!AC:AC)</f>
        <v>A</v>
      </c>
      <c r="G20" s="132" t="str">
        <f>_xlfn.XLOOKUP(표7[[#This Row],[SKU
코드]],'ABC-XYZ분석 (2)'!C:C,'ABC-XYZ분석 (2)'!AG:AG)</f>
        <v>X</v>
      </c>
      <c r="H20" s="318">
        <f>_xlfn.XLOOKUP(표7[[#This Row],[ABC]],L:L,N:N)</f>
        <v>1.48</v>
      </c>
      <c r="I20" s="131">
        <f>ROUND(E20*SQRT(C20)*표7[[#This Row],[안전
계수]]*_xlfn.XLOOKUP(표7[[#This Row],[XYZ]],Q:Q,R:R),0)</f>
        <v>24</v>
      </c>
      <c r="J20" s="281" t="s">
        <v>514</v>
      </c>
      <c r="K20"/>
      <c r="L20" s="220"/>
      <c r="N20" s="143"/>
      <c r="O20" s="143"/>
    </row>
    <row r="21" spans="1:15">
      <c r="A21" s="459" t="s">
        <v>600</v>
      </c>
      <c r="B21" s="27"/>
      <c r="C21" s="3">
        <v>30</v>
      </c>
      <c r="D21" s="131">
        <f>30/SUMIF('ABC-XYZ분석 (2)'!C:C,안전재고!A21,'ABC-XYZ분석 (2)'!X:X)</f>
        <v>0.10739856801909309</v>
      </c>
      <c r="E21" s="132">
        <f>IFERROR('ABC-XYZ분석 (2)'!AE21/30,0)</f>
        <v>5.9130505381458276</v>
      </c>
      <c r="F21" s="132" t="str">
        <f>_xlfn.XLOOKUP(표7[[#This Row],[SKU
코드]],'ABC-XYZ분석 (2)'!C:C,'ABC-XYZ분석 (2)'!AC:AC)</f>
        <v>A</v>
      </c>
      <c r="G21" s="132" t="str">
        <f>_xlfn.XLOOKUP(표7[[#This Row],[SKU
코드]],'ABC-XYZ분석 (2)'!C:C,'ABC-XYZ분석 (2)'!AG:AG)</f>
        <v>Y</v>
      </c>
      <c r="H21" s="318">
        <f>_xlfn.XLOOKUP(표7[[#This Row],[ABC]],L:L,N:N)</f>
        <v>1.48</v>
      </c>
      <c r="I21" s="131">
        <f>ROUND(E21*SQRT(C21)*표7[[#This Row],[안전
계수]]*_xlfn.XLOOKUP(표7[[#This Row],[XYZ]],Q:Q,R:R),0)</f>
        <v>48</v>
      </c>
      <c r="J21" s="281" t="s">
        <v>514</v>
      </c>
      <c r="K21"/>
      <c r="L21" s="220"/>
      <c r="N21" s="143"/>
      <c r="O21" s="143"/>
    </row>
    <row r="22" spans="1:15">
      <c r="A22" s="459" t="s">
        <v>601</v>
      </c>
      <c r="B22" s="27"/>
      <c r="C22" s="3">
        <v>30</v>
      </c>
      <c r="D22" s="131">
        <f>30/SUMIF('ABC-XYZ분석 (2)'!C:C,안전재고!A22,'ABC-XYZ분석 (2)'!X:X)</f>
        <v>0.13931888544891641</v>
      </c>
      <c r="E22" s="132">
        <f>IFERROR('ABC-XYZ분석 (2)'!AE22/30,0)</f>
        <v>5.857355300057451</v>
      </c>
      <c r="F22" s="132" t="str">
        <f>_xlfn.XLOOKUP(표7[[#This Row],[SKU
코드]],'ABC-XYZ분석 (2)'!C:C,'ABC-XYZ분석 (2)'!AC:AC)</f>
        <v>A</v>
      </c>
      <c r="G22" s="132" t="str">
        <f>_xlfn.XLOOKUP(표7[[#This Row],[SKU
코드]],'ABC-XYZ분석 (2)'!C:C,'ABC-XYZ분석 (2)'!AG:AG)</f>
        <v>Y</v>
      </c>
      <c r="H22" s="318">
        <f>_xlfn.XLOOKUP(표7[[#This Row],[ABC]],L:L,N:N)</f>
        <v>1.48</v>
      </c>
      <c r="I22" s="131">
        <f>ROUND(E22*SQRT(C22)*표7[[#This Row],[안전
계수]]*_xlfn.XLOOKUP(표7[[#This Row],[XYZ]],Q:Q,R:R),0)</f>
        <v>47</v>
      </c>
      <c r="J22" s="281" t="s">
        <v>514</v>
      </c>
      <c r="K22"/>
      <c r="L22" s="220"/>
      <c r="N22" s="143"/>
      <c r="O22" s="143"/>
    </row>
    <row r="23" spans="1:15">
      <c r="A23" s="459" t="s">
        <v>602</v>
      </c>
      <c r="B23" s="27"/>
      <c r="C23" s="3">
        <v>30</v>
      </c>
      <c r="D23" s="131">
        <f>30/SUMIF('ABC-XYZ분석 (2)'!C:C,안전재고!A23,'ABC-XYZ분석 (2)'!X:X)</f>
        <v>0.5921052631578948</v>
      </c>
      <c r="E23" s="132">
        <f>IFERROR('ABC-XYZ분석 (2)'!AE23/30,0)</f>
        <v>43.141893363214407</v>
      </c>
      <c r="F23" s="132" t="str">
        <f>_xlfn.XLOOKUP(표7[[#This Row],[SKU
코드]],'ABC-XYZ분석 (2)'!C:C,'ABC-XYZ분석 (2)'!AC:AC)</f>
        <v>A</v>
      </c>
      <c r="G23" s="132" t="str">
        <f>_xlfn.XLOOKUP(표7[[#This Row],[SKU
코드]],'ABC-XYZ분석 (2)'!C:C,'ABC-XYZ분석 (2)'!AG:AG)</f>
        <v>Z</v>
      </c>
      <c r="H23" s="318">
        <f>_xlfn.XLOOKUP(표7[[#This Row],[ABC]],L:L,N:N)</f>
        <v>1.48</v>
      </c>
      <c r="I23" s="131">
        <f>ROUND(E23*SQRT(C23)*표7[[#This Row],[안전
계수]]*_xlfn.XLOOKUP(표7[[#This Row],[XYZ]],Q:Q,R:R),0)</f>
        <v>350</v>
      </c>
      <c r="J23" s="281" t="s">
        <v>514</v>
      </c>
      <c r="K23"/>
      <c r="L23" s="220"/>
      <c r="N23" s="143"/>
      <c r="O23" s="143"/>
    </row>
    <row r="24" spans="1:15">
      <c r="A24" s="459" t="s">
        <v>603</v>
      </c>
      <c r="B24" s="27"/>
      <c r="C24" s="3">
        <v>30</v>
      </c>
      <c r="D24" s="131">
        <f>30/SUMIF('ABC-XYZ분석 (2)'!C:C,안전재고!A24,'ABC-XYZ분석 (2)'!X:X)</f>
        <v>8.5066162570888462E-2</v>
      </c>
      <c r="E24" s="132">
        <f>IFERROR('ABC-XYZ분석 (2)'!AE24/30,0)</f>
        <v>3.733701205420437</v>
      </c>
      <c r="F24" s="132" t="str">
        <f>_xlfn.XLOOKUP(표7[[#This Row],[SKU
코드]],'ABC-XYZ분석 (2)'!C:C,'ABC-XYZ분석 (2)'!AC:AC)</f>
        <v>A</v>
      </c>
      <c r="G24" s="132" t="str">
        <f>_xlfn.XLOOKUP(표7[[#This Row],[SKU
코드]],'ABC-XYZ분석 (2)'!C:C,'ABC-XYZ분석 (2)'!AG:AG)</f>
        <v>X</v>
      </c>
      <c r="H24" s="318">
        <f>_xlfn.XLOOKUP(표7[[#This Row],[ABC]],L:L,N:N)</f>
        <v>1.48</v>
      </c>
      <c r="I24" s="131">
        <f>ROUND(E24*SQRT(C24)*표7[[#This Row],[안전
계수]]*_xlfn.XLOOKUP(표7[[#This Row],[XYZ]],Q:Q,R:R),0)</f>
        <v>26</v>
      </c>
      <c r="J24" s="281" t="s">
        <v>514</v>
      </c>
      <c r="K24"/>
      <c r="L24" s="220"/>
      <c r="N24" s="143"/>
      <c r="O24" s="143"/>
    </row>
    <row r="25" spans="1:15">
      <c r="A25" s="459" t="s">
        <v>604</v>
      </c>
      <c r="B25" s="27"/>
      <c r="C25" s="3">
        <v>30</v>
      </c>
      <c r="D25" s="131">
        <f>30/SUMIF('ABC-XYZ분석 (2)'!C:C,안전재고!A25,'ABC-XYZ분석 (2)'!X:X)</f>
        <v>3.9130434782608696</v>
      </c>
      <c r="E25" s="132">
        <f>IFERROR('ABC-XYZ분석 (2)'!AE25/30,0)</f>
        <v>7.3149227773159184</v>
      </c>
      <c r="F25" s="132" t="str">
        <f>_xlfn.XLOOKUP(표7[[#This Row],[SKU
코드]],'ABC-XYZ분석 (2)'!C:C,'ABC-XYZ분석 (2)'!AC:AC)</f>
        <v>A</v>
      </c>
      <c r="G25" s="132" t="str">
        <f>_xlfn.XLOOKUP(표7[[#This Row],[SKU
코드]],'ABC-XYZ분석 (2)'!C:C,'ABC-XYZ분석 (2)'!AG:AG)</f>
        <v>Y</v>
      </c>
      <c r="H25" s="318">
        <f>_xlfn.XLOOKUP(표7[[#This Row],[ABC]],L:L,N:N)</f>
        <v>1.48</v>
      </c>
      <c r="I25" s="131">
        <f>ROUND(E25*SQRT(C25)*표7[[#This Row],[안전
계수]]*_xlfn.XLOOKUP(표7[[#This Row],[XYZ]],Q:Q,R:R),0)</f>
        <v>59</v>
      </c>
      <c r="J25" s="281" t="s">
        <v>514</v>
      </c>
      <c r="K25"/>
      <c r="L25" s="220"/>
      <c r="N25" s="143"/>
      <c r="O25" s="143"/>
    </row>
    <row r="26" spans="1:15">
      <c r="A26" s="459" t="s">
        <v>605</v>
      </c>
      <c r="B26" s="27"/>
      <c r="C26" s="3">
        <v>30</v>
      </c>
      <c r="D26" s="131">
        <f>30/SUMIF('ABC-XYZ분석 (2)'!C:C,안전재고!A26,'ABC-XYZ분석 (2)'!X:X)</f>
        <v>0.14516129032258066</v>
      </c>
      <c r="E26" s="132">
        <f>IFERROR('ABC-XYZ분석 (2)'!AE26/30,0)</f>
        <v>4.8644869230671555</v>
      </c>
      <c r="F26" s="132" t="str">
        <f>_xlfn.XLOOKUP(표7[[#This Row],[SKU
코드]],'ABC-XYZ분석 (2)'!C:C,'ABC-XYZ분석 (2)'!AC:AC)</f>
        <v>A</v>
      </c>
      <c r="G26" s="132" t="str">
        <f>_xlfn.XLOOKUP(표7[[#This Row],[SKU
코드]],'ABC-XYZ분석 (2)'!C:C,'ABC-XYZ분석 (2)'!AG:AG)</f>
        <v>Y</v>
      </c>
      <c r="H26" s="318">
        <f>_xlfn.XLOOKUP(표7[[#This Row],[ABC]],L:L,N:N)</f>
        <v>1.48</v>
      </c>
      <c r="I26" s="131">
        <f>ROUND(E26*SQRT(C26)*표7[[#This Row],[안전
계수]]*_xlfn.XLOOKUP(표7[[#This Row],[XYZ]],Q:Q,R:R),0)</f>
        <v>39</v>
      </c>
      <c r="J26" s="281" t="s">
        <v>514</v>
      </c>
      <c r="K26"/>
      <c r="L26" s="220"/>
      <c r="N26" s="143"/>
      <c r="O26" s="143"/>
    </row>
    <row r="27" spans="1:15">
      <c r="A27" s="459" t="s">
        <v>606</v>
      </c>
      <c r="B27" s="27"/>
      <c r="C27" s="3">
        <v>30</v>
      </c>
      <c r="D27" s="131">
        <f>30/SUMIF('ABC-XYZ분석 (2)'!C:C,안전재고!A27,'ABC-XYZ분석 (2)'!X:X)</f>
        <v>0.11152416356877323</v>
      </c>
      <c r="E27" s="132">
        <f>IFERROR('ABC-XYZ분석 (2)'!AE27/30,0)</f>
        <v>4.8066858015748988</v>
      </c>
      <c r="F27" s="132" t="str">
        <f>_xlfn.XLOOKUP(표7[[#This Row],[SKU
코드]],'ABC-XYZ분석 (2)'!C:C,'ABC-XYZ분석 (2)'!AC:AC)</f>
        <v>A</v>
      </c>
      <c r="G27" s="132" t="str">
        <f>_xlfn.XLOOKUP(표7[[#This Row],[SKU
코드]],'ABC-XYZ분석 (2)'!C:C,'ABC-XYZ분석 (2)'!AG:AG)</f>
        <v>Y</v>
      </c>
      <c r="H27" s="318">
        <f>_xlfn.XLOOKUP(표7[[#This Row],[ABC]],L:L,N:N)</f>
        <v>1.48</v>
      </c>
      <c r="I27" s="131">
        <f>ROUND(E27*SQRT(C27)*표7[[#This Row],[안전
계수]]*_xlfn.XLOOKUP(표7[[#This Row],[XYZ]],Q:Q,R:R),0)</f>
        <v>39</v>
      </c>
      <c r="J27" s="281" t="s">
        <v>514</v>
      </c>
      <c r="K27"/>
      <c r="L27" s="220"/>
      <c r="N27" s="143"/>
      <c r="O27" s="143"/>
    </row>
    <row r="28" spans="1:15">
      <c r="A28" s="459" t="s">
        <v>607</v>
      </c>
      <c r="B28" s="27"/>
      <c r="C28" s="3">
        <v>30</v>
      </c>
      <c r="D28" s="131">
        <f>30/SUMIF('ABC-XYZ분석 (2)'!C:C,안전재고!A28,'ABC-XYZ분석 (2)'!X:X)</f>
        <v>9</v>
      </c>
      <c r="E28" s="132">
        <f>IFERROR('ABC-XYZ분석 (2)'!AE28/30,0)</f>
        <v>21.983094755435484</v>
      </c>
      <c r="F28" s="132" t="str">
        <f>_xlfn.XLOOKUP(표7[[#This Row],[SKU
코드]],'ABC-XYZ분석 (2)'!C:C,'ABC-XYZ분석 (2)'!AC:AC)</f>
        <v>A</v>
      </c>
      <c r="G28" s="132" t="str">
        <f>_xlfn.XLOOKUP(표7[[#This Row],[SKU
코드]],'ABC-XYZ분석 (2)'!C:C,'ABC-XYZ분석 (2)'!AG:AG)</f>
        <v>Z</v>
      </c>
      <c r="H28" s="318">
        <f>_xlfn.XLOOKUP(표7[[#This Row],[ABC]],L:L,N:N)</f>
        <v>1.48</v>
      </c>
      <c r="I28" s="131">
        <f>ROUND(E28*SQRT(C28)*표7[[#This Row],[안전
계수]]*_xlfn.XLOOKUP(표7[[#This Row],[XYZ]],Q:Q,R:R),0)</f>
        <v>178</v>
      </c>
      <c r="J28" s="281" t="s">
        <v>514</v>
      </c>
      <c r="K28"/>
      <c r="L28" s="220"/>
      <c r="N28" s="143"/>
      <c r="O28" s="143"/>
    </row>
    <row r="29" spans="1:15">
      <c r="A29" s="459" t="s">
        <v>608</v>
      </c>
      <c r="B29" s="27"/>
      <c r="C29" s="3">
        <v>30</v>
      </c>
      <c r="D29" s="131">
        <f>30/SUMIF('ABC-XYZ분석 (2)'!C:C,안전재고!A29,'ABC-XYZ분석 (2)'!X:X)</f>
        <v>0.15280135823429541</v>
      </c>
      <c r="E29" s="132">
        <f>IFERROR('ABC-XYZ분석 (2)'!AE29/30,0)</f>
        <v>3.2859443932537196</v>
      </c>
      <c r="F29" s="132" t="str">
        <f>_xlfn.XLOOKUP(표7[[#This Row],[SKU
코드]],'ABC-XYZ분석 (2)'!C:C,'ABC-XYZ분석 (2)'!AC:AC)</f>
        <v>A</v>
      </c>
      <c r="G29" s="132" t="str">
        <f>_xlfn.XLOOKUP(표7[[#This Row],[SKU
코드]],'ABC-XYZ분석 (2)'!C:C,'ABC-XYZ분석 (2)'!AG:AG)</f>
        <v>Y</v>
      </c>
      <c r="H29" s="318">
        <f>_xlfn.XLOOKUP(표7[[#This Row],[ABC]],L:L,N:N)</f>
        <v>1.48</v>
      </c>
      <c r="I29" s="131">
        <f>ROUND(E29*SQRT(C29)*표7[[#This Row],[안전
계수]]*_xlfn.XLOOKUP(표7[[#This Row],[XYZ]],Q:Q,R:R),0)</f>
        <v>27</v>
      </c>
      <c r="J29" s="281" t="s">
        <v>514</v>
      </c>
      <c r="K29"/>
      <c r="L29" s="220"/>
      <c r="N29" s="143"/>
      <c r="O29" s="143"/>
    </row>
    <row r="30" spans="1:15">
      <c r="A30" s="459" t="s">
        <v>609</v>
      </c>
      <c r="B30" s="27"/>
      <c r="C30" s="3">
        <v>30</v>
      </c>
      <c r="D30" s="131">
        <f>30/SUMIF('ABC-XYZ분석 (2)'!C:C,안전재고!A30,'ABC-XYZ분석 (2)'!X:X)</f>
        <v>7.5</v>
      </c>
      <c r="E30" s="132">
        <f>IFERROR('ABC-XYZ분석 (2)'!AE30/30,0)</f>
        <v>7.9714868860585337</v>
      </c>
      <c r="F30" s="132" t="str">
        <f>_xlfn.XLOOKUP(표7[[#This Row],[SKU
코드]],'ABC-XYZ분석 (2)'!C:C,'ABC-XYZ분석 (2)'!AC:AC)</f>
        <v>A</v>
      </c>
      <c r="G30" s="132" t="str">
        <f>_xlfn.XLOOKUP(표7[[#This Row],[SKU
코드]],'ABC-XYZ분석 (2)'!C:C,'ABC-XYZ분석 (2)'!AG:AG)</f>
        <v>Z</v>
      </c>
      <c r="H30" s="318">
        <f>_xlfn.XLOOKUP(표7[[#This Row],[ABC]],L:L,N:N)</f>
        <v>1.48</v>
      </c>
      <c r="I30" s="131">
        <f>ROUND(E30*SQRT(C30)*표7[[#This Row],[안전
계수]]*_xlfn.XLOOKUP(표7[[#This Row],[XYZ]],Q:Q,R:R),0)</f>
        <v>65</v>
      </c>
      <c r="J30" s="281" t="s">
        <v>514</v>
      </c>
      <c r="K30"/>
      <c r="L30" s="220"/>
      <c r="N30" s="143"/>
      <c r="O30" s="143"/>
    </row>
    <row r="31" spans="1:15">
      <c r="A31" s="459" t="s">
        <v>610</v>
      </c>
      <c r="B31" s="27"/>
      <c r="C31" s="3">
        <v>30</v>
      </c>
      <c r="D31" s="131">
        <f>30/SUMIF('ABC-XYZ분석 (2)'!C:C,안전재고!A31,'ABC-XYZ분석 (2)'!X:X)</f>
        <v>7.3289902280130298E-2</v>
      </c>
      <c r="E31" s="132">
        <f>IFERROR('ABC-XYZ분석 (2)'!AE31/30,0)</f>
        <v>5.5799547544517232</v>
      </c>
      <c r="F31" s="132" t="str">
        <f>_xlfn.XLOOKUP(표7[[#This Row],[SKU
코드]],'ABC-XYZ분석 (2)'!C:C,'ABC-XYZ분석 (2)'!AC:AC)</f>
        <v>A</v>
      </c>
      <c r="G31" s="132" t="str">
        <f>_xlfn.XLOOKUP(표7[[#This Row],[SKU
코드]],'ABC-XYZ분석 (2)'!C:C,'ABC-XYZ분석 (2)'!AG:AG)</f>
        <v>X</v>
      </c>
      <c r="H31" s="318">
        <f>_xlfn.XLOOKUP(표7[[#This Row],[ABC]],L:L,N:N)</f>
        <v>1.48</v>
      </c>
      <c r="I31" s="131">
        <f>ROUND(E31*SQRT(C31)*표7[[#This Row],[안전
계수]]*_xlfn.XLOOKUP(표7[[#This Row],[XYZ]],Q:Q,R:R),0)</f>
        <v>38</v>
      </c>
      <c r="J31" s="281" t="s">
        <v>514</v>
      </c>
      <c r="K31"/>
      <c r="L31" s="220"/>
      <c r="N31" s="143"/>
      <c r="O31" s="143"/>
    </row>
    <row r="32" spans="1:15">
      <c r="A32" s="459" t="s">
        <v>611</v>
      </c>
      <c r="B32" s="27"/>
      <c r="C32" s="3">
        <v>30</v>
      </c>
      <c r="D32" s="131">
        <f>30/SUMIF('ABC-XYZ분석 (2)'!C:C,안전재고!A32,'ABC-XYZ분석 (2)'!X:X)</f>
        <v>9</v>
      </c>
      <c r="E32" s="132">
        <f>IFERROR('ABC-XYZ분석 (2)'!AE32/30,0)</f>
        <v>5.0889131488989907</v>
      </c>
      <c r="F32" s="132" t="str">
        <f>_xlfn.XLOOKUP(표7[[#This Row],[SKU
코드]],'ABC-XYZ분석 (2)'!C:C,'ABC-XYZ분석 (2)'!AC:AC)</f>
        <v>A</v>
      </c>
      <c r="G32" s="132" t="str">
        <f>_xlfn.XLOOKUP(표7[[#This Row],[SKU
코드]],'ABC-XYZ분석 (2)'!C:C,'ABC-XYZ분석 (2)'!AG:AG)</f>
        <v>Y</v>
      </c>
      <c r="H32" s="318">
        <f>_xlfn.XLOOKUP(표7[[#This Row],[ABC]],L:L,N:N)</f>
        <v>1.48</v>
      </c>
      <c r="I32" s="131">
        <f>ROUND(E32*SQRT(C32)*표7[[#This Row],[안전
계수]]*_xlfn.XLOOKUP(표7[[#This Row],[XYZ]],Q:Q,R:R),0)</f>
        <v>41</v>
      </c>
      <c r="J32" s="281" t="s">
        <v>514</v>
      </c>
      <c r="K32"/>
      <c r="L32" s="220"/>
      <c r="N32" s="143"/>
      <c r="O32" s="143"/>
    </row>
    <row r="33" spans="1:15">
      <c r="A33" s="459" t="s">
        <v>612</v>
      </c>
      <c r="B33" s="27"/>
      <c r="C33" s="3">
        <v>30</v>
      </c>
      <c r="D33" s="131">
        <f>30/SUMIF('ABC-XYZ분석 (2)'!C:C,안전재고!A33,'ABC-XYZ분석 (2)'!X:X)</f>
        <v>8.1818181818181817</v>
      </c>
      <c r="E33" s="132">
        <f>IFERROR('ABC-XYZ분석 (2)'!AE33/30,0)</f>
        <v>24.540485931119004</v>
      </c>
      <c r="F33" s="132" t="str">
        <f>_xlfn.XLOOKUP(표7[[#This Row],[SKU
코드]],'ABC-XYZ분석 (2)'!C:C,'ABC-XYZ분석 (2)'!AC:AC)</f>
        <v>A</v>
      </c>
      <c r="G33" s="132" t="str">
        <f>_xlfn.XLOOKUP(표7[[#This Row],[SKU
코드]],'ABC-XYZ분석 (2)'!C:C,'ABC-XYZ분석 (2)'!AG:AG)</f>
        <v>Z</v>
      </c>
      <c r="H33" s="318">
        <f>_xlfn.XLOOKUP(표7[[#This Row],[ABC]],L:L,N:N)</f>
        <v>1.48</v>
      </c>
      <c r="I33" s="131">
        <f>ROUND(E33*SQRT(C33)*표7[[#This Row],[안전
계수]]*_xlfn.XLOOKUP(표7[[#This Row],[XYZ]],Q:Q,R:R),0)</f>
        <v>199</v>
      </c>
      <c r="J33" s="281" t="s">
        <v>514</v>
      </c>
      <c r="K33"/>
      <c r="L33" s="220"/>
      <c r="N33" s="143"/>
      <c r="O33" s="143"/>
    </row>
    <row r="34" spans="1:15">
      <c r="A34" s="459" t="s">
        <v>613</v>
      </c>
      <c r="B34" s="27"/>
      <c r="C34" s="3">
        <v>30</v>
      </c>
      <c r="D34" s="131">
        <f>30/SUMIF('ABC-XYZ분석 (2)'!C:C,안전재고!A34,'ABC-XYZ분석 (2)'!X:X)</f>
        <v>7.4503311258278138E-2</v>
      </c>
      <c r="E34" s="132">
        <f ca="1">IFERROR('ABC-XYZ분석 (2)'!AE34/30,0)</f>
        <v>0</v>
      </c>
      <c r="F34" s="132" t="str">
        <f>_xlfn.XLOOKUP(표7[[#This Row],[SKU
코드]],'ABC-XYZ분석 (2)'!C:C,'ABC-XYZ분석 (2)'!AC:AC)</f>
        <v>A</v>
      </c>
      <c r="G34" s="132" t="str">
        <f ca="1">_xlfn.XLOOKUP(표7[[#This Row],[SKU
코드]],'ABC-XYZ분석 (2)'!C:C,'ABC-XYZ분석 (2)'!AG:AG)</f>
        <v>X</v>
      </c>
      <c r="H34" s="318">
        <f>_xlfn.XLOOKUP(표7[[#This Row],[ABC]],L:L,N:N)</f>
        <v>1.48</v>
      </c>
      <c r="I34" s="131">
        <f ca="1">ROUND(E34*SQRT(C34)*표7[[#This Row],[안전
계수]]*_xlfn.XLOOKUP(표7[[#This Row],[XYZ]],Q:Q,R:R),0)</f>
        <v>0</v>
      </c>
      <c r="J34" s="281" t="s">
        <v>514</v>
      </c>
      <c r="K34"/>
      <c r="L34" s="220"/>
      <c r="N34" s="143"/>
      <c r="O34" s="143"/>
    </row>
    <row r="35" spans="1:15">
      <c r="A35" s="459" t="s">
        <v>614</v>
      </c>
      <c r="B35" s="27"/>
      <c r="C35" s="3">
        <v>30</v>
      </c>
      <c r="D35" s="131">
        <f>30/SUMIF('ABC-XYZ분석 (2)'!C:C,안전재고!A35,'ABC-XYZ분석 (2)'!X:X)</f>
        <v>0.4390243902439025</v>
      </c>
      <c r="E35" s="132">
        <f>IFERROR('ABC-XYZ분석 (2)'!AE35/30,0)</f>
        <v>17.135362118164732</v>
      </c>
      <c r="F35" s="132" t="str">
        <f>_xlfn.XLOOKUP(표7[[#This Row],[SKU
코드]],'ABC-XYZ분석 (2)'!C:C,'ABC-XYZ분석 (2)'!AC:AC)</f>
        <v>A</v>
      </c>
      <c r="G35" s="132" t="str">
        <f>_xlfn.XLOOKUP(표7[[#This Row],[SKU
코드]],'ABC-XYZ분석 (2)'!C:C,'ABC-XYZ분석 (2)'!AG:AG)</f>
        <v>Y</v>
      </c>
      <c r="H35" s="318">
        <f>_xlfn.XLOOKUP(표7[[#This Row],[ABC]],L:L,N:N)</f>
        <v>1.48</v>
      </c>
      <c r="I35" s="131">
        <f>ROUND(E35*SQRT(C35)*표7[[#This Row],[안전
계수]]*_xlfn.XLOOKUP(표7[[#This Row],[XYZ]],Q:Q,R:R),0)</f>
        <v>139</v>
      </c>
      <c r="J35" s="281" t="s">
        <v>514</v>
      </c>
      <c r="K35"/>
      <c r="L35" s="220"/>
      <c r="N35" s="143"/>
      <c r="O35" s="143"/>
    </row>
    <row r="36" spans="1:15">
      <c r="A36" s="459" t="s">
        <v>615</v>
      </c>
      <c r="B36" s="27"/>
      <c r="C36" s="3">
        <v>30</v>
      </c>
      <c r="D36" s="131">
        <f>30/SUMIF('ABC-XYZ분석 (2)'!C:C,안전재고!A36,'ABC-XYZ분석 (2)'!X:X)</f>
        <v>8.9108910891089105E-2</v>
      </c>
      <c r="E36" s="132">
        <f>IFERROR('ABC-XYZ분석 (2)'!AE36/30,0)</f>
        <v>4.9141354124455967</v>
      </c>
      <c r="F36" s="132" t="str">
        <f>_xlfn.XLOOKUP(표7[[#This Row],[SKU
코드]],'ABC-XYZ분석 (2)'!C:C,'ABC-XYZ분석 (2)'!AC:AC)</f>
        <v>A</v>
      </c>
      <c r="G36" s="132" t="str">
        <f>_xlfn.XLOOKUP(표7[[#This Row],[SKU
코드]],'ABC-XYZ분석 (2)'!C:C,'ABC-XYZ분석 (2)'!AG:AG)</f>
        <v>X</v>
      </c>
      <c r="H36" s="318">
        <f>_xlfn.XLOOKUP(표7[[#This Row],[ABC]],L:L,N:N)</f>
        <v>1.48</v>
      </c>
      <c r="I36" s="131">
        <f>ROUND(E36*SQRT(C36)*표7[[#This Row],[안전
계수]]*_xlfn.XLOOKUP(표7[[#This Row],[XYZ]],Q:Q,R:R),0)</f>
        <v>34</v>
      </c>
      <c r="J36" s="281" t="s">
        <v>514</v>
      </c>
      <c r="K36"/>
      <c r="L36" s="220"/>
      <c r="N36" s="143"/>
      <c r="O36" s="143"/>
    </row>
    <row r="37" spans="1:15">
      <c r="A37" s="459" t="s">
        <v>616</v>
      </c>
      <c r="B37" s="27"/>
      <c r="C37" s="3">
        <v>30</v>
      </c>
      <c r="D37" s="131">
        <f>30/SUMIF('ABC-XYZ분석 (2)'!C:C,안전재고!A37,'ABC-XYZ분석 (2)'!X:X)</f>
        <v>0.5</v>
      </c>
      <c r="E37" s="132">
        <f>IFERROR('ABC-XYZ분석 (2)'!AE37/30,0)</f>
        <v>1.2269699453994707</v>
      </c>
      <c r="F37" s="132" t="str">
        <f>_xlfn.XLOOKUP(표7[[#This Row],[SKU
코드]],'ABC-XYZ분석 (2)'!C:C,'ABC-XYZ분석 (2)'!AC:AC)</f>
        <v>A</v>
      </c>
      <c r="G37" s="132" t="str">
        <f>_xlfn.XLOOKUP(표7[[#This Row],[SKU
코드]],'ABC-XYZ분석 (2)'!C:C,'ABC-XYZ분석 (2)'!AG:AG)</f>
        <v>X</v>
      </c>
      <c r="H37" s="318">
        <f>_xlfn.XLOOKUP(표7[[#This Row],[ABC]],L:L,N:N)</f>
        <v>1.48</v>
      </c>
      <c r="I37" s="131">
        <f>ROUND(E37*SQRT(C37)*표7[[#This Row],[안전
계수]]*_xlfn.XLOOKUP(표7[[#This Row],[XYZ]],Q:Q,R:R),0)</f>
        <v>8</v>
      </c>
      <c r="J37" s="281" t="s">
        <v>514</v>
      </c>
      <c r="K37"/>
      <c r="L37" s="220"/>
      <c r="N37" s="143"/>
      <c r="O37" s="143"/>
    </row>
    <row r="38" spans="1:15">
      <c r="A38" s="459" t="s">
        <v>617</v>
      </c>
      <c r="B38" s="27"/>
      <c r="C38" s="3">
        <v>30</v>
      </c>
      <c r="D38" s="131">
        <f>30/SUMIF('ABC-XYZ분석 (2)'!C:C,안전재고!A38,'ABC-XYZ분석 (2)'!X:X)</f>
        <v>0.16187050359712229</v>
      </c>
      <c r="E38" s="132">
        <f>IFERROR('ABC-XYZ분석 (2)'!AE38/30,0)</f>
        <v>4.4603214674048539</v>
      </c>
      <c r="F38" s="132" t="str">
        <f>_xlfn.XLOOKUP(표7[[#This Row],[SKU
코드]],'ABC-XYZ분석 (2)'!C:C,'ABC-XYZ분석 (2)'!AC:AC)</f>
        <v>A</v>
      </c>
      <c r="G38" s="132" t="str">
        <f>_xlfn.XLOOKUP(표7[[#This Row],[SKU
코드]],'ABC-XYZ분석 (2)'!C:C,'ABC-XYZ분석 (2)'!AG:AG)</f>
        <v>Y</v>
      </c>
      <c r="H38" s="318">
        <f>_xlfn.XLOOKUP(표7[[#This Row],[ABC]],L:L,N:N)</f>
        <v>1.48</v>
      </c>
      <c r="I38" s="131">
        <f>ROUND(E38*SQRT(C38)*표7[[#This Row],[안전
계수]]*_xlfn.XLOOKUP(표7[[#This Row],[XYZ]],Q:Q,R:R),0)</f>
        <v>36</v>
      </c>
      <c r="J38" s="281" t="s">
        <v>514</v>
      </c>
      <c r="K38"/>
      <c r="L38" s="220"/>
      <c r="N38" s="143"/>
      <c r="O38" s="143"/>
    </row>
    <row r="39" spans="1:15">
      <c r="A39" s="459" t="s">
        <v>618</v>
      </c>
      <c r="B39" s="27"/>
      <c r="C39" s="3">
        <v>30</v>
      </c>
      <c r="D39" s="131">
        <f>30/SUMIF('ABC-XYZ분석 (2)'!C:C,안전재고!A39,'ABC-XYZ분석 (2)'!X:X)</f>
        <v>0.11612903225806452</v>
      </c>
      <c r="E39" s="132">
        <f>IFERROR('ABC-XYZ분석 (2)'!AE39/30,0)</f>
        <v>4.1818713322514087</v>
      </c>
      <c r="F39" s="132" t="str">
        <f>_xlfn.XLOOKUP(표7[[#This Row],[SKU
코드]],'ABC-XYZ분석 (2)'!C:C,'ABC-XYZ분석 (2)'!AC:AC)</f>
        <v>A</v>
      </c>
      <c r="G39" s="132" t="str">
        <f>_xlfn.XLOOKUP(표7[[#This Row],[SKU
코드]],'ABC-XYZ분석 (2)'!C:C,'ABC-XYZ분석 (2)'!AG:AG)</f>
        <v>Y</v>
      </c>
      <c r="H39" s="318">
        <f>_xlfn.XLOOKUP(표7[[#This Row],[ABC]],L:L,N:N)</f>
        <v>1.48</v>
      </c>
      <c r="I39" s="131">
        <f>ROUND(E39*SQRT(C39)*표7[[#This Row],[안전
계수]]*_xlfn.XLOOKUP(표7[[#This Row],[XYZ]],Q:Q,R:R),0)</f>
        <v>34</v>
      </c>
      <c r="J39" s="281" t="s">
        <v>514</v>
      </c>
      <c r="K39"/>
      <c r="L39" s="220"/>
      <c r="N39" s="143"/>
      <c r="O39" s="143"/>
    </row>
    <row r="40" spans="1:15">
      <c r="A40" s="459" t="s">
        <v>619</v>
      </c>
      <c r="B40" s="27"/>
      <c r="C40" s="3">
        <v>30</v>
      </c>
      <c r="D40" s="131">
        <f>30/SUMIF('ABC-XYZ분석 (2)'!C:C,안전재고!A40,'ABC-XYZ분석 (2)'!X:X)</f>
        <v>4.5</v>
      </c>
      <c r="E40" s="132">
        <f>IFERROR('ABC-XYZ분석 (2)'!AE40/30,0)</f>
        <v>5.8878248514609774</v>
      </c>
      <c r="F40" s="132" t="str">
        <f>_xlfn.XLOOKUP(표7[[#This Row],[SKU
코드]],'ABC-XYZ분석 (2)'!C:C,'ABC-XYZ분석 (2)'!AC:AC)</f>
        <v>A</v>
      </c>
      <c r="G40" s="132" t="str">
        <f>_xlfn.XLOOKUP(표7[[#This Row],[SKU
코드]],'ABC-XYZ분석 (2)'!C:C,'ABC-XYZ분석 (2)'!AG:AG)</f>
        <v>Y</v>
      </c>
      <c r="H40" s="318">
        <f>_xlfn.XLOOKUP(표7[[#This Row],[ABC]],L:L,N:N)</f>
        <v>1.48</v>
      </c>
      <c r="I40" s="131">
        <f>ROUND(E40*SQRT(C40)*표7[[#This Row],[안전
계수]]*_xlfn.XLOOKUP(표7[[#This Row],[XYZ]],Q:Q,R:R),0)</f>
        <v>48</v>
      </c>
      <c r="J40" s="281" t="s">
        <v>514</v>
      </c>
      <c r="K40"/>
      <c r="L40" s="220"/>
      <c r="N40" s="143"/>
      <c r="O40" s="143"/>
    </row>
    <row r="41" spans="1:15">
      <c r="A41" s="459" t="s">
        <v>620</v>
      </c>
      <c r="B41" s="27"/>
      <c r="C41" s="3">
        <v>30</v>
      </c>
      <c r="D41" s="131">
        <f>30/SUMIF('ABC-XYZ분석 (2)'!C:C,안전재고!A41,'ABC-XYZ분석 (2)'!X:X)</f>
        <v>6.3694267515923567E-2</v>
      </c>
      <c r="E41" s="132">
        <f>IFERROR('ABC-XYZ분석 (2)'!AE41/30,0)</f>
        <v>5.2817353582948217</v>
      </c>
      <c r="F41" s="132" t="str">
        <f>_xlfn.XLOOKUP(표7[[#This Row],[SKU
코드]],'ABC-XYZ분석 (2)'!C:C,'ABC-XYZ분석 (2)'!AC:AC)</f>
        <v>A</v>
      </c>
      <c r="G41" s="132" t="str">
        <f>_xlfn.XLOOKUP(표7[[#This Row],[SKU
코드]],'ABC-XYZ분석 (2)'!C:C,'ABC-XYZ분석 (2)'!AG:AG)</f>
        <v>Y</v>
      </c>
      <c r="H41" s="318">
        <f>_xlfn.XLOOKUP(표7[[#This Row],[ABC]],L:L,N:N)</f>
        <v>1.48</v>
      </c>
      <c r="I41" s="131">
        <f>ROUND(E41*SQRT(C41)*표7[[#This Row],[안전
계수]]*_xlfn.XLOOKUP(표7[[#This Row],[XYZ]],Q:Q,R:R),0)</f>
        <v>43</v>
      </c>
      <c r="J41" s="281" t="s">
        <v>514</v>
      </c>
      <c r="K41"/>
      <c r="L41" s="220"/>
      <c r="N41" s="143"/>
      <c r="O41" s="143"/>
    </row>
    <row r="42" spans="1:15">
      <c r="A42" s="459" t="s">
        <v>621</v>
      </c>
      <c r="B42" s="27"/>
      <c r="C42" s="3">
        <v>30</v>
      </c>
      <c r="D42" s="131">
        <f>30/SUMIF('ABC-XYZ분석 (2)'!C:C,안전재고!A42,'ABC-XYZ분석 (2)'!X:X)</f>
        <v>0.1271186440677966</v>
      </c>
      <c r="E42" s="132">
        <f>IFERROR('ABC-XYZ분석 (2)'!AE42/30,0)</f>
        <v>5.0775126055244071</v>
      </c>
      <c r="F42" s="132" t="str">
        <f>_xlfn.XLOOKUP(표7[[#This Row],[SKU
코드]],'ABC-XYZ분석 (2)'!C:C,'ABC-XYZ분석 (2)'!AC:AC)</f>
        <v>B</v>
      </c>
      <c r="G42" s="132" t="str">
        <f>_xlfn.XLOOKUP(표7[[#This Row],[SKU
코드]],'ABC-XYZ분석 (2)'!C:C,'ABC-XYZ분석 (2)'!AG:AG)</f>
        <v>Y</v>
      </c>
      <c r="H42" s="318">
        <f>_xlfn.XLOOKUP(표7[[#This Row],[ABC]],L:L,N:N)</f>
        <v>1.28</v>
      </c>
      <c r="I42" s="131">
        <f>ROUND(E42*SQRT(C42)*표7[[#This Row],[안전
계수]]*_xlfn.XLOOKUP(표7[[#This Row],[XYZ]],Q:Q,R:R),0)</f>
        <v>36</v>
      </c>
      <c r="J42" s="281" t="s">
        <v>514</v>
      </c>
      <c r="K42"/>
      <c r="L42" s="220"/>
      <c r="N42" s="143"/>
      <c r="O42" s="143"/>
    </row>
    <row r="43" spans="1:15">
      <c r="A43" s="459" t="s">
        <v>622</v>
      </c>
      <c r="B43" s="27"/>
      <c r="C43" s="3">
        <v>30</v>
      </c>
      <c r="D43" s="131">
        <f>30/SUMIF('ABC-XYZ분석 (2)'!C:C,안전재고!A43,'ABC-XYZ분석 (2)'!X:X)</f>
        <v>4.5</v>
      </c>
      <c r="E43" s="132">
        <f>IFERROR('ABC-XYZ분석 (2)'!AE43/30,0)</f>
        <v>24.84345058636254</v>
      </c>
      <c r="F43" s="132" t="str">
        <f>_xlfn.XLOOKUP(표7[[#This Row],[SKU
코드]],'ABC-XYZ분석 (2)'!C:C,'ABC-XYZ분석 (2)'!AC:AC)</f>
        <v>B</v>
      </c>
      <c r="G43" s="132" t="str">
        <f>_xlfn.XLOOKUP(표7[[#This Row],[SKU
코드]],'ABC-XYZ분석 (2)'!C:C,'ABC-XYZ분석 (2)'!AG:AG)</f>
        <v>Z</v>
      </c>
      <c r="H43" s="318">
        <f>_xlfn.XLOOKUP(표7[[#This Row],[ABC]],L:L,N:N)</f>
        <v>1.28</v>
      </c>
      <c r="I43" s="131">
        <f>ROUND(E43*SQRT(C43)*표7[[#This Row],[안전
계수]]*_xlfn.XLOOKUP(표7[[#This Row],[XYZ]],Q:Q,R:R),0)</f>
        <v>174</v>
      </c>
      <c r="J43" s="281" t="s">
        <v>514</v>
      </c>
      <c r="K43"/>
      <c r="L43" s="220"/>
      <c r="N43" s="143"/>
      <c r="O43" s="143"/>
    </row>
    <row r="44" spans="1:15">
      <c r="A44" s="459" t="s">
        <v>623</v>
      </c>
      <c r="B44" s="27"/>
      <c r="C44" s="3">
        <v>30</v>
      </c>
      <c r="D44" s="131">
        <f>30/SUMIF('ABC-XYZ분석 (2)'!C:C,안전재고!A44,'ABC-XYZ분석 (2)'!X:X)</f>
        <v>0.17892644135188868</v>
      </c>
      <c r="E44" s="132">
        <f>IFERROR('ABC-XYZ분석 (2)'!AE44/30,0)</f>
        <v>4.0314236372787562</v>
      </c>
      <c r="F44" s="132" t="str">
        <f>_xlfn.XLOOKUP(표7[[#This Row],[SKU
코드]],'ABC-XYZ분석 (2)'!C:C,'ABC-XYZ분석 (2)'!AC:AC)</f>
        <v>B</v>
      </c>
      <c r="G44" s="132" t="str">
        <f>_xlfn.XLOOKUP(표7[[#This Row],[SKU
코드]],'ABC-XYZ분석 (2)'!C:C,'ABC-XYZ분석 (2)'!AG:AG)</f>
        <v>Y</v>
      </c>
      <c r="H44" s="318">
        <f>_xlfn.XLOOKUP(표7[[#This Row],[ABC]],L:L,N:N)</f>
        <v>1.28</v>
      </c>
      <c r="I44" s="131">
        <f>ROUND(E44*SQRT(C44)*표7[[#This Row],[안전
계수]]*_xlfn.XLOOKUP(표7[[#This Row],[XYZ]],Q:Q,R:R),0)</f>
        <v>28</v>
      </c>
      <c r="J44" s="281" t="s">
        <v>514</v>
      </c>
      <c r="K44"/>
      <c r="L44" s="220"/>
      <c r="N44" s="143"/>
      <c r="O44" s="143"/>
    </row>
    <row r="45" spans="1:15">
      <c r="A45" s="459" t="s">
        <v>624</v>
      </c>
      <c r="B45" s="27"/>
      <c r="C45" s="3">
        <v>30</v>
      </c>
      <c r="D45" s="131">
        <f>30/SUMIF('ABC-XYZ분석 (2)'!C:C,안전재고!A45,'ABC-XYZ분석 (2)'!X:X)</f>
        <v>2.0035618878005344E-2</v>
      </c>
      <c r="E45" s="132">
        <f>IFERROR('ABC-XYZ분석 (2)'!AE45/30,0)</f>
        <v>19.469745444004165</v>
      </c>
      <c r="F45" s="132" t="str">
        <f>_xlfn.XLOOKUP(표7[[#This Row],[SKU
코드]],'ABC-XYZ분석 (2)'!C:C,'ABC-XYZ분석 (2)'!AC:AC)</f>
        <v>B</v>
      </c>
      <c r="G45" s="132" t="str">
        <f>_xlfn.XLOOKUP(표7[[#This Row],[SKU
코드]],'ABC-XYZ분석 (2)'!C:C,'ABC-XYZ분석 (2)'!AG:AG)</f>
        <v>Y</v>
      </c>
      <c r="H45" s="318">
        <f>_xlfn.XLOOKUP(표7[[#This Row],[ABC]],L:L,N:N)</f>
        <v>1.28</v>
      </c>
      <c r="I45" s="131">
        <f>ROUND(E45*SQRT(C45)*표7[[#This Row],[안전
계수]]*_xlfn.XLOOKUP(표7[[#This Row],[XYZ]],Q:Q,R:R),0)</f>
        <v>136</v>
      </c>
      <c r="J45" s="281" t="s">
        <v>514</v>
      </c>
      <c r="K45"/>
      <c r="L45" s="220"/>
      <c r="N45" s="143"/>
      <c r="O45" s="143"/>
    </row>
    <row r="46" spans="1:15">
      <c r="A46" s="459" t="s">
        <v>625</v>
      </c>
      <c r="B46" s="27"/>
      <c r="C46" s="3">
        <v>30</v>
      </c>
      <c r="D46" s="131">
        <f>30/SUMIF('ABC-XYZ분석 (2)'!C:C,안전재고!A46,'ABC-XYZ분석 (2)'!X:X)</f>
        <v>0.26239067055393589</v>
      </c>
      <c r="E46" s="132">
        <f>IFERROR('ABC-XYZ분석 (2)'!AE46/30,0)</f>
        <v>1.9476402309296761</v>
      </c>
      <c r="F46" s="132" t="str">
        <f>_xlfn.XLOOKUP(표7[[#This Row],[SKU
코드]],'ABC-XYZ분석 (2)'!C:C,'ABC-XYZ분석 (2)'!AC:AC)</f>
        <v>B</v>
      </c>
      <c r="G46" s="132" t="str">
        <f>_xlfn.XLOOKUP(표7[[#This Row],[SKU
코드]],'ABC-XYZ분석 (2)'!C:C,'ABC-XYZ분석 (2)'!AG:AG)</f>
        <v>X</v>
      </c>
      <c r="H46" s="318">
        <f>_xlfn.XLOOKUP(표7[[#This Row],[ABC]],L:L,N:N)</f>
        <v>1.28</v>
      </c>
      <c r="I46" s="131">
        <f>ROUND(E46*SQRT(C46)*표7[[#This Row],[안전
계수]]*_xlfn.XLOOKUP(표7[[#This Row],[XYZ]],Q:Q,R:R),0)</f>
        <v>12</v>
      </c>
      <c r="J46" s="281" t="s">
        <v>514</v>
      </c>
      <c r="K46"/>
      <c r="L46" s="220"/>
      <c r="N46" s="143"/>
      <c r="O46" s="143"/>
    </row>
    <row r="47" spans="1:15">
      <c r="A47" s="459" t="s">
        <v>626</v>
      </c>
      <c r="B47" s="27"/>
      <c r="C47" s="3">
        <v>30</v>
      </c>
      <c r="D47" s="131">
        <f>30/SUMIF('ABC-XYZ분석 (2)'!C:C,안전재고!A47,'ABC-XYZ분석 (2)'!X:X)</f>
        <v>0.27692307692307694</v>
      </c>
      <c r="E47" s="132">
        <f>IFERROR('ABC-XYZ분석 (2)'!AE47/30,0)</f>
        <v>4.5273133708662909</v>
      </c>
      <c r="F47" s="132" t="str">
        <f>_xlfn.XLOOKUP(표7[[#This Row],[SKU
코드]],'ABC-XYZ분석 (2)'!C:C,'ABC-XYZ분석 (2)'!AC:AC)</f>
        <v>B</v>
      </c>
      <c r="G47" s="132" t="str">
        <f>_xlfn.XLOOKUP(표7[[#This Row],[SKU
코드]],'ABC-XYZ분석 (2)'!C:C,'ABC-XYZ분석 (2)'!AG:AG)</f>
        <v>Z</v>
      </c>
      <c r="H47" s="318">
        <f>_xlfn.XLOOKUP(표7[[#This Row],[ABC]],L:L,N:N)</f>
        <v>1.28</v>
      </c>
      <c r="I47" s="131">
        <f>ROUND(E47*SQRT(C47)*표7[[#This Row],[안전
계수]]*_xlfn.XLOOKUP(표7[[#This Row],[XYZ]],Q:Q,R:R),0)</f>
        <v>32</v>
      </c>
      <c r="J47" s="281" t="s">
        <v>514</v>
      </c>
      <c r="K47"/>
      <c r="L47" s="220"/>
      <c r="N47" s="143"/>
      <c r="O47" s="143"/>
    </row>
    <row r="48" spans="1:15">
      <c r="A48" s="459" t="s">
        <v>627</v>
      </c>
      <c r="B48" s="27"/>
      <c r="C48" s="3">
        <v>30</v>
      </c>
      <c r="D48" s="131">
        <f>30/SUMIF('ABC-XYZ분석 (2)'!C:C,안전재고!A48,'ABC-XYZ분석 (2)'!X:X)</f>
        <v>0.42654028436018959</v>
      </c>
      <c r="E48" s="132">
        <f>IFERROR('ABC-XYZ분석 (2)'!AE48/30,0)</f>
        <v>1.1746913174779257</v>
      </c>
      <c r="F48" s="132" t="str">
        <f>_xlfn.XLOOKUP(표7[[#This Row],[SKU
코드]],'ABC-XYZ분석 (2)'!C:C,'ABC-XYZ분석 (2)'!AC:AC)</f>
        <v>B</v>
      </c>
      <c r="G48" s="132" t="str">
        <f>_xlfn.XLOOKUP(표7[[#This Row],[SKU
코드]],'ABC-XYZ분석 (2)'!C:C,'ABC-XYZ분석 (2)'!AG:AG)</f>
        <v>X</v>
      </c>
      <c r="H48" s="318">
        <f>_xlfn.XLOOKUP(표7[[#This Row],[ABC]],L:L,N:N)</f>
        <v>1.28</v>
      </c>
      <c r="I48" s="131">
        <f>ROUND(E48*SQRT(C48)*표7[[#This Row],[안전
계수]]*_xlfn.XLOOKUP(표7[[#This Row],[XYZ]],Q:Q,R:R),0)</f>
        <v>7</v>
      </c>
      <c r="J48" s="281" t="s">
        <v>514</v>
      </c>
      <c r="K48"/>
      <c r="L48" s="220"/>
      <c r="N48" s="143"/>
      <c r="O48" s="143"/>
    </row>
    <row r="49" spans="1:15">
      <c r="A49" s="459" t="s">
        <v>628</v>
      </c>
      <c r="B49" s="27"/>
      <c r="C49" s="3">
        <v>30</v>
      </c>
      <c r="D49" s="131">
        <f>30/SUMIF('ABC-XYZ분석 (2)'!C:C,안전재고!A49,'ABC-XYZ분석 (2)'!X:X)</f>
        <v>0.14516129032258066</v>
      </c>
      <c r="E49" s="132">
        <f>IFERROR('ABC-XYZ분석 (2)'!AE49/30,0)</f>
        <v>2.1767075034454115</v>
      </c>
      <c r="F49" s="132" t="str">
        <f>_xlfn.XLOOKUP(표7[[#This Row],[SKU
코드]],'ABC-XYZ분석 (2)'!C:C,'ABC-XYZ분석 (2)'!AC:AC)</f>
        <v>B</v>
      </c>
      <c r="G49" s="132" t="str">
        <f>_xlfn.XLOOKUP(표7[[#This Row],[SKU
코드]],'ABC-XYZ분석 (2)'!C:C,'ABC-XYZ분석 (2)'!AG:AG)</f>
        <v>X</v>
      </c>
      <c r="H49" s="318">
        <f>_xlfn.XLOOKUP(표7[[#This Row],[ABC]],L:L,N:N)</f>
        <v>1.28</v>
      </c>
      <c r="I49" s="131">
        <f>ROUND(E49*SQRT(C49)*표7[[#This Row],[안전
계수]]*_xlfn.XLOOKUP(표7[[#This Row],[XYZ]],Q:Q,R:R),0)</f>
        <v>13</v>
      </c>
      <c r="J49" s="281" t="s">
        <v>514</v>
      </c>
      <c r="K49"/>
      <c r="L49" s="220"/>
      <c r="N49" s="143"/>
      <c r="O49" s="143"/>
    </row>
    <row r="50" spans="1:15">
      <c r="A50" s="459" t="s">
        <v>629</v>
      </c>
      <c r="B50" s="27"/>
      <c r="C50" s="3">
        <v>30</v>
      </c>
      <c r="D50" s="131">
        <f>30/SUMIF('ABC-XYZ분석 (2)'!C:C,안전재고!A50,'ABC-XYZ분석 (2)'!X:X)</f>
        <v>2.0867145838163691E-2</v>
      </c>
      <c r="E50" s="132">
        <f>IFERROR('ABC-XYZ분석 (2)'!AE50/30,0)</f>
        <v>21.799059011008527</v>
      </c>
      <c r="F50" s="132" t="str">
        <f>_xlfn.XLOOKUP(표7[[#This Row],[SKU
코드]],'ABC-XYZ분석 (2)'!C:C,'ABC-XYZ분석 (2)'!AC:AC)</f>
        <v>B</v>
      </c>
      <c r="G50" s="132" t="str">
        <f>_xlfn.XLOOKUP(표7[[#This Row],[SKU
코드]],'ABC-XYZ분석 (2)'!C:C,'ABC-XYZ분석 (2)'!AG:AG)</f>
        <v>Y</v>
      </c>
      <c r="H50" s="318">
        <f>_xlfn.XLOOKUP(표7[[#This Row],[ABC]],L:L,N:N)</f>
        <v>1.28</v>
      </c>
      <c r="I50" s="131">
        <f>ROUND(E50*SQRT(C50)*표7[[#This Row],[안전
계수]]*_xlfn.XLOOKUP(표7[[#This Row],[XYZ]],Q:Q,R:R),0)</f>
        <v>153</v>
      </c>
      <c r="J50" s="281" t="s">
        <v>514</v>
      </c>
      <c r="K50"/>
      <c r="L50" s="220"/>
      <c r="N50" s="143"/>
      <c r="O50" s="143"/>
    </row>
    <row r="51" spans="1:15">
      <c r="A51" s="459" t="s">
        <v>630</v>
      </c>
      <c r="B51" s="27"/>
      <c r="C51" s="3">
        <v>30</v>
      </c>
      <c r="D51" s="131">
        <f>30/SUMIF('ABC-XYZ분석 (2)'!C:C,안전재고!A51,'ABC-XYZ분석 (2)'!X:X)</f>
        <v>0.16728624535315983</v>
      </c>
      <c r="E51" s="132">
        <f>IFERROR('ABC-XYZ분석 (2)'!AE51/30,0)</f>
        <v>4.1481244832327606</v>
      </c>
      <c r="F51" s="132" t="str">
        <f>_xlfn.XLOOKUP(표7[[#This Row],[SKU
코드]],'ABC-XYZ분석 (2)'!C:C,'ABC-XYZ분석 (2)'!AC:AC)</f>
        <v>B</v>
      </c>
      <c r="G51" s="132" t="str">
        <f>_xlfn.XLOOKUP(표7[[#This Row],[SKU
코드]],'ABC-XYZ분석 (2)'!C:C,'ABC-XYZ분석 (2)'!AG:AG)</f>
        <v>Y</v>
      </c>
      <c r="H51" s="318">
        <f>_xlfn.XLOOKUP(표7[[#This Row],[ABC]],L:L,N:N)</f>
        <v>1.28</v>
      </c>
      <c r="I51" s="131">
        <f>ROUND(E51*SQRT(C51)*표7[[#This Row],[안전
계수]]*_xlfn.XLOOKUP(표7[[#This Row],[XYZ]],Q:Q,R:R),0)</f>
        <v>29</v>
      </c>
      <c r="J51" s="281" t="s">
        <v>514</v>
      </c>
      <c r="K51"/>
      <c r="L51" s="220"/>
      <c r="N51" s="143"/>
      <c r="O51" s="143"/>
    </row>
    <row r="52" spans="1:15">
      <c r="A52" s="459" t="s">
        <v>631</v>
      </c>
      <c r="B52" s="27"/>
      <c r="C52" s="3">
        <v>30</v>
      </c>
      <c r="D52" s="131">
        <f>30/SUMIF('ABC-XYZ분석 (2)'!C:C,안전재고!A52,'ABC-XYZ분석 (2)'!X:X)</f>
        <v>0.27027027027027029</v>
      </c>
      <c r="E52" s="132">
        <f>IFERROR('ABC-XYZ분석 (2)'!AE52/30,0)</f>
        <v>2.587988636989194</v>
      </c>
      <c r="F52" s="132" t="str">
        <f>_xlfn.XLOOKUP(표7[[#This Row],[SKU
코드]],'ABC-XYZ분석 (2)'!C:C,'ABC-XYZ분석 (2)'!AC:AC)</f>
        <v>B</v>
      </c>
      <c r="G52" s="132" t="str">
        <f>_xlfn.XLOOKUP(표7[[#This Row],[SKU
코드]],'ABC-XYZ분석 (2)'!C:C,'ABC-XYZ분석 (2)'!AG:AG)</f>
        <v>Y</v>
      </c>
      <c r="H52" s="318">
        <f>_xlfn.XLOOKUP(표7[[#This Row],[ABC]],L:L,N:N)</f>
        <v>1.28</v>
      </c>
      <c r="I52" s="131">
        <f>ROUND(E52*SQRT(C52)*표7[[#This Row],[안전
계수]]*_xlfn.XLOOKUP(표7[[#This Row],[XYZ]],Q:Q,R:R),0)</f>
        <v>18</v>
      </c>
      <c r="J52" s="281" t="s">
        <v>514</v>
      </c>
      <c r="K52"/>
      <c r="L52" s="220"/>
      <c r="N52" s="143"/>
      <c r="O52" s="143"/>
    </row>
    <row r="53" spans="1:15">
      <c r="A53" s="459" t="s">
        <v>632</v>
      </c>
      <c r="B53" s="27"/>
      <c r="C53" s="3">
        <v>30</v>
      </c>
      <c r="D53" s="131">
        <f>30/SUMIF('ABC-XYZ분석 (2)'!C:C,안전재고!A53,'ABC-XYZ분석 (2)'!X:X)</f>
        <v>5</v>
      </c>
      <c r="E53" s="132">
        <f>IFERROR('ABC-XYZ분석 (2)'!AE53/30,0)</f>
        <v>21.383965213541856</v>
      </c>
      <c r="F53" s="132" t="str">
        <f>_xlfn.XLOOKUP(표7[[#This Row],[SKU
코드]],'ABC-XYZ분석 (2)'!C:C,'ABC-XYZ분석 (2)'!AC:AC)</f>
        <v>B</v>
      </c>
      <c r="G53" s="132" t="str">
        <f>_xlfn.XLOOKUP(표7[[#This Row],[SKU
코드]],'ABC-XYZ분석 (2)'!C:C,'ABC-XYZ분석 (2)'!AG:AG)</f>
        <v>Z</v>
      </c>
      <c r="H53" s="318">
        <f>_xlfn.XLOOKUP(표7[[#This Row],[ABC]],L:L,N:N)</f>
        <v>1.28</v>
      </c>
      <c r="I53" s="131">
        <f>ROUND(E53*SQRT(C53)*표7[[#This Row],[안전
계수]]*_xlfn.XLOOKUP(표7[[#This Row],[XYZ]],Q:Q,R:R),0)</f>
        <v>150</v>
      </c>
      <c r="J53" s="281" t="s">
        <v>514</v>
      </c>
      <c r="K53"/>
      <c r="L53" s="220"/>
      <c r="N53" s="143"/>
      <c r="O53" s="143"/>
    </row>
    <row r="54" spans="1:15">
      <c r="A54" s="459" t="s">
        <v>633</v>
      </c>
      <c r="B54" s="27"/>
      <c r="C54" s="3">
        <v>30</v>
      </c>
      <c r="D54" s="131">
        <f>30/SUMIF('ABC-XYZ분석 (2)'!C:C,안전재고!A54,'ABC-XYZ분석 (2)'!X:X)</f>
        <v>0.26392961876832843</v>
      </c>
      <c r="E54" s="132">
        <f>IFERROR('ABC-XYZ분석 (2)'!AE54/30,0)</f>
        <v>3.2802015520730161</v>
      </c>
      <c r="F54" s="132" t="str">
        <f>_xlfn.XLOOKUP(표7[[#This Row],[SKU
코드]],'ABC-XYZ분석 (2)'!C:C,'ABC-XYZ분석 (2)'!AC:AC)</f>
        <v>B</v>
      </c>
      <c r="G54" s="132" t="str">
        <f>_xlfn.XLOOKUP(표7[[#This Row],[SKU
코드]],'ABC-XYZ분석 (2)'!C:C,'ABC-XYZ분석 (2)'!AG:AG)</f>
        <v>Y</v>
      </c>
      <c r="H54" s="318">
        <f>_xlfn.XLOOKUP(표7[[#This Row],[ABC]],L:L,N:N)</f>
        <v>1.28</v>
      </c>
      <c r="I54" s="131">
        <f>ROUND(E54*SQRT(C54)*표7[[#This Row],[안전
계수]]*_xlfn.XLOOKUP(표7[[#This Row],[XYZ]],Q:Q,R:R),0)</f>
        <v>23</v>
      </c>
      <c r="J54" s="281" t="s">
        <v>514</v>
      </c>
      <c r="K54"/>
      <c r="L54" s="220"/>
      <c r="N54" s="143"/>
      <c r="O54" s="143"/>
    </row>
    <row r="55" spans="1:15">
      <c r="A55" s="459" t="s">
        <v>634</v>
      </c>
      <c r="B55" s="27"/>
      <c r="C55" s="3">
        <v>30</v>
      </c>
      <c r="D55" s="131">
        <f>30/SUMIF('ABC-XYZ분석 (2)'!C:C,안전재고!A55,'ABC-XYZ분석 (2)'!X:X)</f>
        <v>1.0344827586206897</v>
      </c>
      <c r="E55" s="132">
        <f>IFERROR('ABC-XYZ분석 (2)'!AE55/30,0)</f>
        <v>31.947743376932067</v>
      </c>
      <c r="F55" s="132" t="str">
        <f>_xlfn.XLOOKUP(표7[[#This Row],[SKU
코드]],'ABC-XYZ분석 (2)'!C:C,'ABC-XYZ분석 (2)'!AC:AC)</f>
        <v>B</v>
      </c>
      <c r="G55" s="132" t="str">
        <f>_xlfn.XLOOKUP(표7[[#This Row],[SKU
코드]],'ABC-XYZ분석 (2)'!C:C,'ABC-XYZ분석 (2)'!AG:AG)</f>
        <v>Y</v>
      </c>
      <c r="H55" s="318">
        <f>_xlfn.XLOOKUP(표7[[#This Row],[ABC]],L:L,N:N)</f>
        <v>1.28</v>
      </c>
      <c r="I55" s="131">
        <f>ROUND(E55*SQRT(C55)*표7[[#This Row],[안전
계수]]*_xlfn.XLOOKUP(표7[[#This Row],[XYZ]],Q:Q,R:R),0)</f>
        <v>224</v>
      </c>
      <c r="J55" s="281" t="s">
        <v>514</v>
      </c>
      <c r="K55"/>
      <c r="L55" s="220"/>
      <c r="N55" s="143"/>
      <c r="O55" s="143"/>
    </row>
    <row r="56" spans="1:15">
      <c r="A56" s="459" t="s">
        <v>635</v>
      </c>
      <c r="B56" s="27"/>
      <c r="C56" s="3">
        <v>30</v>
      </c>
      <c r="D56" s="131">
        <f>30/SUMIF('ABC-XYZ분석 (2)'!C:C,안전재고!A56,'ABC-XYZ분석 (2)'!X:X)</f>
        <v>0.33582089552238809</v>
      </c>
      <c r="E56" s="132">
        <f>IFERROR('ABC-XYZ분석 (2)'!AE56/30,0)</f>
        <v>1.0270417785147861</v>
      </c>
      <c r="F56" s="132" t="str">
        <f>_xlfn.XLOOKUP(표7[[#This Row],[SKU
코드]],'ABC-XYZ분석 (2)'!C:C,'ABC-XYZ분석 (2)'!AC:AC)</f>
        <v>B</v>
      </c>
      <c r="G56" s="132" t="str">
        <f>_xlfn.XLOOKUP(표7[[#This Row],[SKU
코드]],'ABC-XYZ분석 (2)'!C:C,'ABC-XYZ분석 (2)'!AG:AG)</f>
        <v>X</v>
      </c>
      <c r="H56" s="318">
        <f>_xlfn.XLOOKUP(표7[[#This Row],[ABC]],L:L,N:N)</f>
        <v>1.28</v>
      </c>
      <c r="I56" s="131">
        <f>ROUND(E56*SQRT(C56)*표7[[#This Row],[안전
계수]]*_xlfn.XLOOKUP(표7[[#This Row],[XYZ]],Q:Q,R:R),0)</f>
        <v>6</v>
      </c>
      <c r="J56" s="281" t="s">
        <v>514</v>
      </c>
      <c r="K56"/>
      <c r="L56" s="220"/>
      <c r="N56" s="143"/>
      <c r="O56" s="143"/>
    </row>
    <row r="57" spans="1:15">
      <c r="A57" s="459" t="s">
        <v>636</v>
      </c>
      <c r="B57" s="27"/>
      <c r="C57" s="3">
        <v>30</v>
      </c>
      <c r="D57" s="131">
        <f>30/SUMIF('ABC-XYZ분석 (2)'!C:C,안전재고!A57,'ABC-XYZ분석 (2)'!X:X)</f>
        <v>0.75630252100840345</v>
      </c>
      <c r="E57" s="132">
        <f>IFERROR('ABC-XYZ분석 (2)'!AE57/30,0)</f>
        <v>0.61483712587808548</v>
      </c>
      <c r="F57" s="132" t="str">
        <f>_xlfn.XLOOKUP(표7[[#This Row],[SKU
코드]],'ABC-XYZ분석 (2)'!C:C,'ABC-XYZ분석 (2)'!AC:AC)</f>
        <v>B</v>
      </c>
      <c r="G57" s="132" t="str">
        <f>_xlfn.XLOOKUP(표7[[#This Row],[SKU
코드]],'ABC-XYZ분석 (2)'!C:C,'ABC-XYZ분석 (2)'!AG:AG)</f>
        <v>X</v>
      </c>
      <c r="H57" s="318">
        <f>_xlfn.XLOOKUP(표7[[#This Row],[ABC]],L:L,N:N)</f>
        <v>1.28</v>
      </c>
      <c r="I57" s="131">
        <f>ROUND(E57*SQRT(C57)*표7[[#This Row],[안전
계수]]*_xlfn.XLOOKUP(표7[[#This Row],[XYZ]],Q:Q,R:R),0)</f>
        <v>4</v>
      </c>
      <c r="J57" s="281" t="s">
        <v>514</v>
      </c>
      <c r="K57"/>
      <c r="L57" s="220"/>
      <c r="N57" s="143"/>
      <c r="O57" s="143"/>
    </row>
    <row r="58" spans="1:15">
      <c r="A58" s="459" t="s">
        <v>637</v>
      </c>
      <c r="B58" s="27"/>
      <c r="C58" s="3">
        <v>30</v>
      </c>
      <c r="D58" s="131">
        <f>30/SUMIF('ABC-XYZ분석 (2)'!C:C,안전재고!A58,'ABC-XYZ분석 (2)'!X:X)</f>
        <v>0.38297872340425532</v>
      </c>
      <c r="E58" s="132">
        <f>IFERROR('ABC-XYZ분석 (2)'!AE58/30,0)</f>
        <v>1.907075438569503</v>
      </c>
      <c r="F58" s="132" t="str">
        <f>_xlfn.XLOOKUP(표7[[#This Row],[SKU
코드]],'ABC-XYZ분석 (2)'!C:C,'ABC-XYZ분석 (2)'!AC:AC)</f>
        <v>B</v>
      </c>
      <c r="G58" s="132" t="str">
        <f>_xlfn.XLOOKUP(표7[[#This Row],[SKU
코드]],'ABC-XYZ분석 (2)'!C:C,'ABC-XYZ분석 (2)'!AG:AG)</f>
        <v>Y</v>
      </c>
      <c r="H58" s="318">
        <f>_xlfn.XLOOKUP(표7[[#This Row],[ABC]],L:L,N:N)</f>
        <v>1.28</v>
      </c>
      <c r="I58" s="131">
        <f>ROUND(E58*SQRT(C58)*표7[[#This Row],[안전
계수]]*_xlfn.XLOOKUP(표7[[#This Row],[XYZ]],Q:Q,R:R),0)</f>
        <v>13</v>
      </c>
      <c r="J58" s="281" t="s">
        <v>514</v>
      </c>
      <c r="K58"/>
      <c r="L58" s="220"/>
      <c r="N58" s="143"/>
      <c r="O58" s="143"/>
    </row>
    <row r="59" spans="1:15">
      <c r="A59" s="459" t="s">
        <v>638</v>
      </c>
      <c r="B59" s="27"/>
      <c r="C59" s="3">
        <v>30</v>
      </c>
      <c r="D59" s="131">
        <f>30/SUMIF('ABC-XYZ분석 (2)'!C:C,안전재고!A59,'ABC-XYZ분석 (2)'!X:X)</f>
        <v>0.48128342245989303</v>
      </c>
      <c r="E59" s="132">
        <f>IFERROR('ABC-XYZ분석 (2)'!AE59/30,0)</f>
        <v>1.8816364036538928</v>
      </c>
      <c r="F59" s="132" t="str">
        <f>_xlfn.XLOOKUP(표7[[#This Row],[SKU
코드]],'ABC-XYZ분석 (2)'!C:C,'ABC-XYZ분석 (2)'!AC:AC)</f>
        <v>B</v>
      </c>
      <c r="G59" s="132" t="str">
        <f>_xlfn.XLOOKUP(표7[[#This Row],[SKU
코드]],'ABC-XYZ분석 (2)'!C:C,'ABC-XYZ분석 (2)'!AG:AG)</f>
        <v>Y</v>
      </c>
      <c r="H59" s="318">
        <f>_xlfn.XLOOKUP(표7[[#This Row],[ABC]],L:L,N:N)</f>
        <v>1.28</v>
      </c>
      <c r="I59" s="131">
        <f>ROUND(E59*SQRT(C59)*표7[[#This Row],[안전
계수]]*_xlfn.XLOOKUP(표7[[#This Row],[XYZ]],Q:Q,R:R),0)</f>
        <v>13</v>
      </c>
      <c r="J59" s="281" t="s">
        <v>514</v>
      </c>
      <c r="K59"/>
      <c r="L59" s="220"/>
      <c r="N59" s="143"/>
      <c r="O59" s="143"/>
    </row>
    <row r="60" spans="1:15">
      <c r="A60" s="459" t="s">
        <v>639</v>
      </c>
      <c r="B60" s="27"/>
      <c r="C60" s="3">
        <v>30</v>
      </c>
      <c r="D60" s="131">
        <f>30/SUMIF('ABC-XYZ분석 (2)'!C:C,안전재고!A60,'ABC-XYZ분석 (2)'!X:X)</f>
        <v>0.27522935779816515</v>
      </c>
      <c r="E60" s="132">
        <f>IFERROR('ABC-XYZ분석 (2)'!AE60/30,0)</f>
        <v>1.7622126768692019</v>
      </c>
      <c r="F60" s="132" t="str">
        <f>_xlfn.XLOOKUP(표7[[#This Row],[SKU
코드]],'ABC-XYZ분석 (2)'!C:C,'ABC-XYZ분석 (2)'!AC:AC)</f>
        <v>B</v>
      </c>
      <c r="G60" s="132" t="str">
        <f>_xlfn.XLOOKUP(표7[[#This Row],[SKU
코드]],'ABC-XYZ분석 (2)'!C:C,'ABC-XYZ분석 (2)'!AG:AG)</f>
        <v>Y</v>
      </c>
      <c r="H60" s="318">
        <f>_xlfn.XLOOKUP(표7[[#This Row],[ABC]],L:L,N:N)</f>
        <v>1.28</v>
      </c>
      <c r="I60" s="131">
        <f>ROUND(E60*SQRT(C60)*표7[[#This Row],[안전
계수]]*_xlfn.XLOOKUP(표7[[#This Row],[XYZ]],Q:Q,R:R),0)</f>
        <v>12</v>
      </c>
      <c r="J60" s="281" t="s">
        <v>514</v>
      </c>
      <c r="K60"/>
      <c r="L60" s="220"/>
      <c r="N60" s="143"/>
      <c r="O60" s="143"/>
    </row>
    <row r="61" spans="1:15">
      <c r="A61" s="459" t="s">
        <v>640</v>
      </c>
      <c r="B61" s="27"/>
      <c r="C61" s="3">
        <v>30</v>
      </c>
      <c r="D61" s="131">
        <f>30/SUMIF('ABC-XYZ분석 (2)'!C:C,안전재고!A61,'ABC-XYZ분석 (2)'!X:X)</f>
        <v>0.12605042016806722</v>
      </c>
      <c r="E61" s="132">
        <f>IFERROR('ABC-XYZ분석 (2)'!AE61/30,0)</f>
        <v>8.347720913186091</v>
      </c>
      <c r="F61" s="132" t="str">
        <f>_xlfn.XLOOKUP(표7[[#This Row],[SKU
코드]],'ABC-XYZ분석 (2)'!C:C,'ABC-XYZ분석 (2)'!AC:AC)</f>
        <v>B</v>
      </c>
      <c r="G61" s="132" t="str">
        <f>_xlfn.XLOOKUP(표7[[#This Row],[SKU
코드]],'ABC-XYZ분석 (2)'!C:C,'ABC-XYZ분석 (2)'!AG:AG)</f>
        <v>Z</v>
      </c>
      <c r="H61" s="318">
        <f>_xlfn.XLOOKUP(표7[[#This Row],[ABC]],L:L,N:N)</f>
        <v>1.28</v>
      </c>
      <c r="I61" s="131">
        <f>ROUND(E61*SQRT(C61)*표7[[#This Row],[안전
계수]]*_xlfn.XLOOKUP(표7[[#This Row],[XYZ]],Q:Q,R:R),0)</f>
        <v>59</v>
      </c>
      <c r="J61" s="281" t="s">
        <v>514</v>
      </c>
      <c r="K61"/>
      <c r="L61" s="220"/>
      <c r="N61" s="143"/>
      <c r="O61" s="143"/>
    </row>
    <row r="62" spans="1:15">
      <c r="A62" s="459" t="s">
        <v>641</v>
      </c>
      <c r="B62" s="27"/>
      <c r="C62" s="3">
        <v>30</v>
      </c>
      <c r="D62" s="131">
        <f>30/SUMIF('ABC-XYZ분석 (2)'!C:C,안전재고!A62,'ABC-XYZ분석 (2)'!X:X)</f>
        <v>2.5714285714285716</v>
      </c>
      <c r="E62" s="132">
        <f>IFERROR('ABC-XYZ분석 (2)'!AE62/30,0)</f>
        <v>20.017370763292874</v>
      </c>
      <c r="F62" s="132" t="str">
        <f>_xlfn.XLOOKUP(표7[[#This Row],[SKU
코드]],'ABC-XYZ분석 (2)'!C:C,'ABC-XYZ분석 (2)'!AC:AC)</f>
        <v>B</v>
      </c>
      <c r="G62" s="132" t="str">
        <f>_xlfn.XLOOKUP(표7[[#This Row],[SKU
코드]],'ABC-XYZ분석 (2)'!C:C,'ABC-XYZ분석 (2)'!AG:AG)</f>
        <v>Z</v>
      </c>
      <c r="H62" s="318">
        <f>_xlfn.XLOOKUP(표7[[#This Row],[ABC]],L:L,N:N)</f>
        <v>1.28</v>
      </c>
      <c r="I62" s="131">
        <f>ROUND(E62*SQRT(C62)*표7[[#This Row],[안전
계수]]*_xlfn.XLOOKUP(표7[[#This Row],[XYZ]],Q:Q,R:R),0)</f>
        <v>140</v>
      </c>
      <c r="J62" s="281" t="s">
        <v>514</v>
      </c>
      <c r="K62"/>
      <c r="L62" s="220"/>
      <c r="N62" s="143"/>
      <c r="O62" s="143"/>
    </row>
    <row r="63" spans="1:15">
      <c r="A63" s="459" t="s">
        <v>642</v>
      </c>
      <c r="B63" s="27"/>
      <c r="C63" s="3">
        <v>30</v>
      </c>
      <c r="D63" s="131">
        <f>30/SUMIF('ABC-XYZ분석 (2)'!C:C,안전재고!A63,'ABC-XYZ분석 (2)'!X:X)</f>
        <v>12.857142857142856</v>
      </c>
      <c r="E63" s="132">
        <f>IFERROR('ABC-XYZ분석 (2)'!AE63/30,0)</f>
        <v>1.8028196610195735</v>
      </c>
      <c r="F63" s="132" t="str">
        <f>_xlfn.XLOOKUP(표7[[#This Row],[SKU
코드]],'ABC-XYZ분석 (2)'!C:C,'ABC-XYZ분석 (2)'!AC:AC)</f>
        <v>B</v>
      </c>
      <c r="G63" s="132" t="str">
        <f>_xlfn.XLOOKUP(표7[[#This Row],[SKU
코드]],'ABC-XYZ분석 (2)'!C:C,'ABC-XYZ분석 (2)'!AG:AG)</f>
        <v>Y</v>
      </c>
      <c r="H63" s="318">
        <f>_xlfn.XLOOKUP(표7[[#This Row],[ABC]],L:L,N:N)</f>
        <v>1.28</v>
      </c>
      <c r="I63" s="131">
        <f>ROUND(E63*SQRT(C63)*표7[[#This Row],[안전
계수]]*_xlfn.XLOOKUP(표7[[#This Row],[XYZ]],Q:Q,R:R),0)</f>
        <v>13</v>
      </c>
      <c r="J63" s="281" t="s">
        <v>514</v>
      </c>
      <c r="K63"/>
      <c r="L63" s="220"/>
      <c r="N63" s="143"/>
      <c r="O63" s="143"/>
    </row>
    <row r="64" spans="1:15">
      <c r="A64" s="459" t="s">
        <v>643</v>
      </c>
      <c r="B64" s="27"/>
      <c r="C64" s="3">
        <v>30</v>
      </c>
      <c r="D64" s="131">
        <f>30/SUMIF('ABC-XYZ분석 (2)'!C:C,안전재고!A64,'ABC-XYZ분석 (2)'!X:X)</f>
        <v>0.13698630136986301</v>
      </c>
      <c r="E64" s="132">
        <f>IFERROR('ABC-XYZ분석 (2)'!AE64/30,0)</f>
        <v>4.5711141832755846</v>
      </c>
      <c r="F64" s="132" t="str">
        <f>_xlfn.XLOOKUP(표7[[#This Row],[SKU
코드]],'ABC-XYZ분석 (2)'!C:C,'ABC-XYZ분석 (2)'!AC:AC)</f>
        <v>B</v>
      </c>
      <c r="G64" s="132" t="str">
        <f>_xlfn.XLOOKUP(표7[[#This Row],[SKU
코드]],'ABC-XYZ분석 (2)'!C:C,'ABC-XYZ분석 (2)'!AG:AG)</f>
        <v>Y</v>
      </c>
      <c r="H64" s="318">
        <f>_xlfn.XLOOKUP(표7[[#This Row],[ABC]],L:L,N:N)</f>
        <v>1.28</v>
      </c>
      <c r="I64" s="131">
        <f>ROUND(E64*SQRT(C64)*표7[[#This Row],[안전
계수]]*_xlfn.XLOOKUP(표7[[#This Row],[XYZ]],Q:Q,R:R),0)</f>
        <v>32</v>
      </c>
      <c r="J64" s="281" t="s">
        <v>514</v>
      </c>
      <c r="K64"/>
      <c r="L64" s="220"/>
      <c r="N64" s="143"/>
      <c r="O64" s="143"/>
    </row>
    <row r="65" spans="1:15">
      <c r="A65" s="459" t="s">
        <v>644</v>
      </c>
      <c r="B65" s="27"/>
      <c r="C65" s="3">
        <v>30</v>
      </c>
      <c r="D65" s="131">
        <f>30/SUMIF('ABC-XYZ분석 (2)'!C:C,안전재고!A65,'ABC-XYZ분석 (2)'!X:X)</f>
        <v>0.26785714285714285</v>
      </c>
      <c r="E65" s="132">
        <f>IFERROR('ABC-XYZ분석 (2)'!AE65/30,0)</f>
        <v>3.3817992781986179</v>
      </c>
      <c r="F65" s="132" t="str">
        <f>_xlfn.XLOOKUP(표7[[#This Row],[SKU
코드]],'ABC-XYZ분석 (2)'!C:C,'ABC-XYZ분석 (2)'!AC:AC)</f>
        <v>B</v>
      </c>
      <c r="G65" s="132" t="str">
        <f>_xlfn.XLOOKUP(표7[[#This Row],[SKU
코드]],'ABC-XYZ분석 (2)'!C:C,'ABC-XYZ분석 (2)'!AG:AG)</f>
        <v>Z</v>
      </c>
      <c r="H65" s="318">
        <f>_xlfn.XLOOKUP(표7[[#This Row],[ABC]],L:L,N:N)</f>
        <v>1.28</v>
      </c>
      <c r="I65" s="131">
        <f>ROUND(E65*SQRT(C65)*표7[[#This Row],[안전
계수]]*_xlfn.XLOOKUP(표7[[#This Row],[XYZ]],Q:Q,R:R),0)</f>
        <v>24</v>
      </c>
      <c r="J65" s="281" t="s">
        <v>514</v>
      </c>
      <c r="K65"/>
      <c r="L65" s="220"/>
      <c r="N65" s="143"/>
      <c r="O65" s="143"/>
    </row>
    <row r="66" spans="1:15">
      <c r="A66" s="459" t="s">
        <v>645</v>
      </c>
      <c r="B66" s="27"/>
      <c r="C66" s="3">
        <v>30</v>
      </c>
      <c r="D66" s="131">
        <f>30/SUMIF('ABC-XYZ분석 (2)'!C:C,안전재고!A66,'ABC-XYZ분석 (2)'!X:X)</f>
        <v>0.24390243902439024</v>
      </c>
      <c r="E66" s="132">
        <f>IFERROR('ABC-XYZ분석 (2)'!AE66/30,0)</f>
        <v>1.0728517150422681</v>
      </c>
      <c r="F66" s="132" t="str">
        <f>_xlfn.XLOOKUP(표7[[#This Row],[SKU
코드]],'ABC-XYZ분석 (2)'!C:C,'ABC-XYZ분석 (2)'!AC:AC)</f>
        <v>B</v>
      </c>
      <c r="G66" s="132" t="str">
        <f>_xlfn.XLOOKUP(표7[[#This Row],[SKU
코드]],'ABC-XYZ분석 (2)'!C:C,'ABC-XYZ분석 (2)'!AG:AG)</f>
        <v>X</v>
      </c>
      <c r="H66" s="318">
        <f>_xlfn.XLOOKUP(표7[[#This Row],[ABC]],L:L,N:N)</f>
        <v>1.28</v>
      </c>
      <c r="I66" s="131">
        <f>ROUND(E66*SQRT(C66)*표7[[#This Row],[안전
계수]]*_xlfn.XLOOKUP(표7[[#This Row],[XYZ]],Q:Q,R:R),0)</f>
        <v>6</v>
      </c>
      <c r="J66" s="281" t="s">
        <v>514</v>
      </c>
      <c r="K66"/>
      <c r="L66" s="220"/>
      <c r="N66" s="143"/>
      <c r="O66" s="143"/>
    </row>
    <row r="67" spans="1:15">
      <c r="A67" s="459" t="s">
        <v>646</v>
      </c>
      <c r="B67" s="27"/>
      <c r="C67" s="3">
        <v>30</v>
      </c>
      <c r="D67" s="131">
        <f>30/SUMIF('ABC-XYZ분석 (2)'!C:C,안전재고!A67,'ABC-XYZ분석 (2)'!X:X)</f>
        <v>3.0010003334444816E-2</v>
      </c>
      <c r="E67" s="132">
        <f>IFERROR('ABC-XYZ분석 (2)'!AE67/30,0)</f>
        <v>14.97568605572066</v>
      </c>
      <c r="F67" s="132" t="str">
        <f>_xlfn.XLOOKUP(표7[[#This Row],[SKU
코드]],'ABC-XYZ분석 (2)'!C:C,'ABC-XYZ분석 (2)'!AC:AC)</f>
        <v>B</v>
      </c>
      <c r="G67" s="132" t="str">
        <f>_xlfn.XLOOKUP(표7[[#This Row],[SKU
코드]],'ABC-XYZ분석 (2)'!C:C,'ABC-XYZ분석 (2)'!AG:AG)</f>
        <v>Z</v>
      </c>
      <c r="H67" s="318">
        <f>_xlfn.XLOOKUP(표7[[#This Row],[ABC]],L:L,N:N)</f>
        <v>1.28</v>
      </c>
      <c r="I67" s="131">
        <f>ROUND(E67*SQRT(C67)*표7[[#This Row],[안전
계수]]*_xlfn.XLOOKUP(표7[[#This Row],[XYZ]],Q:Q,R:R),0)</f>
        <v>105</v>
      </c>
      <c r="J67" s="281" t="s">
        <v>514</v>
      </c>
      <c r="K67"/>
      <c r="L67" s="220"/>
      <c r="N67" s="143"/>
      <c r="O67" s="143"/>
    </row>
    <row r="68" spans="1:15">
      <c r="A68" s="459" t="s">
        <v>647</v>
      </c>
      <c r="B68" s="27"/>
      <c r="C68" s="3">
        <v>30</v>
      </c>
      <c r="D68" s="131">
        <f>30/SUMIF('ABC-XYZ분석 (2)'!C:C,안전재고!A68,'ABC-XYZ분석 (2)'!X:X)</f>
        <v>0.9375</v>
      </c>
      <c r="E68" s="132">
        <f>IFERROR('ABC-XYZ분석 (2)'!AE68/30,0)</f>
        <v>34.033029526702911</v>
      </c>
      <c r="F68" s="132" t="str">
        <f>_xlfn.XLOOKUP(표7[[#This Row],[SKU
코드]],'ABC-XYZ분석 (2)'!C:C,'ABC-XYZ분석 (2)'!AC:AC)</f>
        <v>B</v>
      </c>
      <c r="G68" s="132" t="str">
        <f>_xlfn.XLOOKUP(표7[[#This Row],[SKU
코드]],'ABC-XYZ분석 (2)'!C:C,'ABC-XYZ분석 (2)'!AG:AG)</f>
        <v>Z</v>
      </c>
      <c r="H68" s="318">
        <f>_xlfn.XLOOKUP(표7[[#This Row],[ABC]],L:L,N:N)</f>
        <v>1.28</v>
      </c>
      <c r="I68" s="131">
        <f>ROUND(E68*SQRT(C68)*표7[[#This Row],[안전
계수]]*_xlfn.XLOOKUP(표7[[#This Row],[XYZ]],Q:Q,R:R),0)</f>
        <v>239</v>
      </c>
      <c r="J68" s="281" t="s">
        <v>514</v>
      </c>
      <c r="K68"/>
      <c r="L68" s="220"/>
      <c r="N68" s="143"/>
      <c r="O68" s="143"/>
    </row>
    <row r="69" spans="1:15">
      <c r="A69" s="459" t="s">
        <v>648</v>
      </c>
      <c r="B69" s="27"/>
      <c r="C69" s="3">
        <v>30</v>
      </c>
      <c r="D69" s="131">
        <f>30/SUMIF('ABC-XYZ분석 (2)'!C:C,안전재고!A69,'ABC-XYZ분석 (2)'!X:X)</f>
        <v>0.12379642365887207</v>
      </c>
      <c r="E69" s="132">
        <f>IFERROR('ABC-XYZ분석 (2)'!AE69/30,0)</f>
        <v>4.2839889972308596</v>
      </c>
      <c r="F69" s="132" t="str">
        <f>_xlfn.XLOOKUP(표7[[#This Row],[SKU
코드]],'ABC-XYZ분석 (2)'!C:C,'ABC-XYZ분석 (2)'!AC:AC)</f>
        <v>B</v>
      </c>
      <c r="G69" s="132" t="str">
        <f>_xlfn.XLOOKUP(표7[[#This Row],[SKU
코드]],'ABC-XYZ분석 (2)'!C:C,'ABC-XYZ분석 (2)'!AG:AG)</f>
        <v>Y</v>
      </c>
      <c r="H69" s="318">
        <f>_xlfn.XLOOKUP(표7[[#This Row],[ABC]],L:L,N:N)</f>
        <v>1.28</v>
      </c>
      <c r="I69" s="131">
        <f>ROUND(E69*SQRT(C69)*표7[[#This Row],[안전
계수]]*_xlfn.XLOOKUP(표7[[#This Row],[XYZ]],Q:Q,R:R),0)</f>
        <v>30</v>
      </c>
      <c r="J69" s="281" t="s">
        <v>514</v>
      </c>
      <c r="K69"/>
      <c r="L69" s="220"/>
      <c r="N69" s="143"/>
      <c r="O69" s="143"/>
    </row>
    <row r="70" spans="1:15">
      <c r="A70" s="459" t="s">
        <v>649</v>
      </c>
      <c r="B70" s="27"/>
      <c r="C70" s="3">
        <v>30</v>
      </c>
      <c r="D70" s="131">
        <f>30/SUMIF('ABC-XYZ분석 (2)'!C:C,안전재고!A70,'ABC-XYZ분석 (2)'!X:X)</f>
        <v>0.20881670533642693</v>
      </c>
      <c r="E70" s="132">
        <f>IFERROR('ABC-XYZ분석 (2)'!AE70/30,0)</f>
        <v>4.0047772398400312</v>
      </c>
      <c r="F70" s="132" t="str">
        <f>_xlfn.XLOOKUP(표7[[#This Row],[SKU
코드]],'ABC-XYZ분석 (2)'!C:C,'ABC-XYZ분석 (2)'!AC:AC)</f>
        <v>B</v>
      </c>
      <c r="G70" s="132" t="str">
        <f>_xlfn.XLOOKUP(표7[[#This Row],[SKU
코드]],'ABC-XYZ분석 (2)'!C:C,'ABC-XYZ분석 (2)'!AG:AG)</f>
        <v>Y</v>
      </c>
      <c r="H70" s="318">
        <f>_xlfn.XLOOKUP(표7[[#This Row],[ABC]],L:L,N:N)</f>
        <v>1.28</v>
      </c>
      <c r="I70" s="131">
        <f>ROUND(E70*SQRT(C70)*표7[[#This Row],[안전
계수]]*_xlfn.XLOOKUP(표7[[#This Row],[XYZ]],Q:Q,R:R),0)</f>
        <v>28</v>
      </c>
      <c r="J70" s="281" t="s">
        <v>514</v>
      </c>
      <c r="K70"/>
      <c r="L70" s="220"/>
      <c r="N70" s="143"/>
      <c r="O70" s="143"/>
    </row>
    <row r="71" spans="1:15">
      <c r="A71" s="459" t="s">
        <v>650</v>
      </c>
      <c r="B71" s="27"/>
      <c r="C71" s="3">
        <v>30</v>
      </c>
      <c r="D71" s="131">
        <f>30/SUMIF('ABC-XYZ분석 (2)'!C:C,안전재고!A71,'ABC-XYZ분석 (2)'!X:X)</f>
        <v>0.20089285714285712</v>
      </c>
      <c r="E71" s="132">
        <f>IFERROR('ABC-XYZ분석 (2)'!AE71/30,0)</f>
        <v>5.1369838811370361</v>
      </c>
      <c r="F71" s="132" t="str">
        <f>_xlfn.XLOOKUP(표7[[#This Row],[SKU
코드]],'ABC-XYZ분석 (2)'!C:C,'ABC-XYZ분석 (2)'!AC:AC)</f>
        <v>B</v>
      </c>
      <c r="G71" s="132" t="str">
        <f>_xlfn.XLOOKUP(표7[[#This Row],[SKU
코드]],'ABC-XYZ분석 (2)'!C:C,'ABC-XYZ분석 (2)'!AG:AG)</f>
        <v>Z</v>
      </c>
      <c r="H71" s="318">
        <f>_xlfn.XLOOKUP(표7[[#This Row],[ABC]],L:L,N:N)</f>
        <v>1.28</v>
      </c>
      <c r="I71" s="131">
        <f>ROUND(E71*SQRT(C71)*표7[[#This Row],[안전
계수]]*_xlfn.XLOOKUP(표7[[#This Row],[XYZ]],Q:Q,R:R),0)</f>
        <v>36</v>
      </c>
      <c r="J71" s="281" t="s">
        <v>514</v>
      </c>
      <c r="K71"/>
      <c r="L71" s="220"/>
      <c r="N71" s="143"/>
      <c r="O71" s="143"/>
    </row>
    <row r="72" spans="1:15">
      <c r="A72" s="459" t="s">
        <v>651</v>
      </c>
      <c r="B72" s="27"/>
      <c r="C72" s="3">
        <v>30</v>
      </c>
      <c r="D72" s="131">
        <f>30/SUMIF('ABC-XYZ분석 (2)'!C:C,안전재고!A72,'ABC-XYZ분석 (2)'!X:X)</f>
        <v>0.47872340425531917</v>
      </c>
      <c r="E72" s="132">
        <f>IFERROR('ABC-XYZ분석 (2)'!AE72/30,0)</f>
        <v>1.5712968419213786</v>
      </c>
      <c r="F72" s="132" t="str">
        <f>_xlfn.XLOOKUP(표7[[#This Row],[SKU
코드]],'ABC-XYZ분석 (2)'!C:C,'ABC-XYZ분석 (2)'!AC:AC)</f>
        <v>B</v>
      </c>
      <c r="G72" s="132" t="str">
        <f>_xlfn.XLOOKUP(표7[[#This Row],[SKU
코드]],'ABC-XYZ분석 (2)'!C:C,'ABC-XYZ분석 (2)'!AG:AG)</f>
        <v>Y</v>
      </c>
      <c r="H72" s="318">
        <f>_xlfn.XLOOKUP(표7[[#This Row],[ABC]],L:L,N:N)</f>
        <v>1.28</v>
      </c>
      <c r="I72" s="131">
        <f>ROUND(E72*SQRT(C72)*표7[[#This Row],[안전
계수]]*_xlfn.XLOOKUP(표7[[#This Row],[XYZ]],Q:Q,R:R),0)</f>
        <v>11</v>
      </c>
      <c r="J72" s="281" t="s">
        <v>514</v>
      </c>
      <c r="K72"/>
      <c r="L72" s="220"/>
      <c r="N72" s="143"/>
      <c r="O72" s="143"/>
    </row>
    <row r="73" spans="1:15">
      <c r="A73" s="459" t="s">
        <v>652</v>
      </c>
      <c r="B73" s="27"/>
      <c r="C73" s="3">
        <v>30</v>
      </c>
      <c r="D73" s="131">
        <f>30/SUMIF('ABC-XYZ분석 (2)'!C:C,안전재고!A73,'ABC-XYZ분석 (2)'!X:X)</f>
        <v>6.9875776397515535E-2</v>
      </c>
      <c r="E73" s="132">
        <f>IFERROR('ABC-XYZ분석 (2)'!AE73/30,0)</f>
        <v>10.068510301497337</v>
      </c>
      <c r="F73" s="132" t="str">
        <f>_xlfn.XLOOKUP(표7[[#This Row],[SKU
코드]],'ABC-XYZ분석 (2)'!C:C,'ABC-XYZ분석 (2)'!AC:AC)</f>
        <v>C</v>
      </c>
      <c r="G73" s="132" t="str">
        <f>_xlfn.XLOOKUP(표7[[#This Row],[SKU
코드]],'ABC-XYZ분석 (2)'!C:C,'ABC-XYZ분석 (2)'!AG:AG)</f>
        <v>Y</v>
      </c>
      <c r="H73" s="318">
        <f>_xlfn.XLOOKUP(표7[[#This Row],[ABC]],L:L,N:N)</f>
        <v>1.04</v>
      </c>
      <c r="I73" s="131">
        <f>ROUND(E73*SQRT(C73)*표7[[#This Row],[안전
계수]]*_xlfn.XLOOKUP(표7[[#This Row],[XYZ]],Q:Q,R:R),0)</f>
        <v>57</v>
      </c>
      <c r="J73" s="281" t="s">
        <v>514</v>
      </c>
      <c r="K73"/>
      <c r="L73" s="220"/>
      <c r="N73" s="143"/>
      <c r="O73" s="143"/>
    </row>
    <row r="74" spans="1:15">
      <c r="A74" s="459" t="s">
        <v>653</v>
      </c>
      <c r="B74" s="27"/>
      <c r="C74" s="3">
        <v>30</v>
      </c>
      <c r="D74" s="131">
        <f>30/SUMIF('ABC-XYZ분석 (2)'!C:C,안전재고!A74,'ABC-XYZ분석 (2)'!X:X)</f>
        <v>0.14084507042253522</v>
      </c>
      <c r="E74" s="132">
        <f>IFERROR('ABC-XYZ분석 (2)'!AE74/30,0)</f>
        <v>3.9933702774523057</v>
      </c>
      <c r="F74" s="132" t="str">
        <f>_xlfn.XLOOKUP(표7[[#This Row],[SKU
코드]],'ABC-XYZ분석 (2)'!C:C,'ABC-XYZ분석 (2)'!AC:AC)</f>
        <v>C</v>
      </c>
      <c r="G74" s="132" t="str">
        <f>_xlfn.XLOOKUP(표7[[#This Row],[SKU
코드]],'ABC-XYZ분석 (2)'!C:C,'ABC-XYZ분석 (2)'!AG:AG)</f>
        <v>Z</v>
      </c>
      <c r="H74" s="318">
        <f>_xlfn.XLOOKUP(표7[[#This Row],[ABC]],L:L,N:N)</f>
        <v>1.04</v>
      </c>
      <c r="I74" s="131">
        <f>ROUND(E74*SQRT(C74)*표7[[#This Row],[안전
계수]]*_xlfn.XLOOKUP(표7[[#This Row],[XYZ]],Q:Q,R:R),0)</f>
        <v>23</v>
      </c>
      <c r="J74" s="281" t="s">
        <v>514</v>
      </c>
      <c r="K74"/>
      <c r="L74" s="220"/>
      <c r="N74" s="143"/>
      <c r="O74" s="143"/>
    </row>
    <row r="75" spans="1:15">
      <c r="A75" s="459" t="s">
        <v>654</v>
      </c>
      <c r="B75" s="27"/>
      <c r="C75" s="3">
        <v>30</v>
      </c>
      <c r="D75" s="131">
        <f>30/SUMIF('ABC-XYZ분석 (2)'!C:C,안전재고!A75,'ABC-XYZ분석 (2)'!X:X)</f>
        <v>0.33834586466165412</v>
      </c>
      <c r="E75" s="132">
        <f>IFERROR('ABC-XYZ분석 (2)'!AE75/30,0)</f>
        <v>1.3492110177323524</v>
      </c>
      <c r="F75" s="132" t="str">
        <f>_xlfn.XLOOKUP(표7[[#This Row],[SKU
코드]],'ABC-XYZ분석 (2)'!C:C,'ABC-XYZ분석 (2)'!AC:AC)</f>
        <v>C</v>
      </c>
      <c r="G75" s="132" t="str">
        <f>_xlfn.XLOOKUP(표7[[#This Row],[SKU
코드]],'ABC-XYZ분석 (2)'!C:C,'ABC-XYZ분석 (2)'!AG:AG)</f>
        <v>Y</v>
      </c>
      <c r="H75" s="318">
        <f>_xlfn.XLOOKUP(표7[[#This Row],[ABC]],L:L,N:N)</f>
        <v>1.04</v>
      </c>
      <c r="I75" s="131">
        <f>ROUND(E75*SQRT(C75)*표7[[#This Row],[안전
계수]]*_xlfn.XLOOKUP(표7[[#This Row],[XYZ]],Q:Q,R:R),0)</f>
        <v>8</v>
      </c>
      <c r="J75" s="281" t="s">
        <v>514</v>
      </c>
      <c r="K75"/>
      <c r="L75" s="220"/>
      <c r="N75" s="143"/>
      <c r="O75" s="143"/>
    </row>
    <row r="76" spans="1:15">
      <c r="A76" s="459" t="s">
        <v>655</v>
      </c>
      <c r="B76" s="27"/>
      <c r="C76" s="3">
        <v>30</v>
      </c>
      <c r="D76" s="131">
        <f>30/SUMIF('ABC-XYZ분석 (2)'!C:C,안전재고!A76,'ABC-XYZ분석 (2)'!X:X)</f>
        <v>0.11523687580025609</v>
      </c>
      <c r="E76" s="132">
        <f>IFERROR('ABC-XYZ분석 (2)'!AE76/30,0)</f>
        <v>3.7172977374883227</v>
      </c>
      <c r="F76" s="132" t="str">
        <f>_xlfn.XLOOKUP(표7[[#This Row],[SKU
코드]],'ABC-XYZ분석 (2)'!C:C,'ABC-XYZ분석 (2)'!AC:AC)</f>
        <v>C</v>
      </c>
      <c r="G76" s="132" t="str">
        <f>_xlfn.XLOOKUP(표7[[#This Row],[SKU
코드]],'ABC-XYZ분석 (2)'!C:C,'ABC-XYZ분석 (2)'!AG:AG)</f>
        <v>Z</v>
      </c>
      <c r="H76" s="318">
        <f>_xlfn.XLOOKUP(표7[[#This Row],[ABC]],L:L,N:N)</f>
        <v>1.04</v>
      </c>
      <c r="I76" s="131">
        <f>ROUND(E76*SQRT(C76)*표7[[#This Row],[안전
계수]]*_xlfn.XLOOKUP(표7[[#This Row],[XYZ]],Q:Q,R:R),0)</f>
        <v>21</v>
      </c>
      <c r="J76" s="281" t="s">
        <v>514</v>
      </c>
      <c r="K76"/>
      <c r="L76" s="220"/>
      <c r="N76" s="143"/>
      <c r="O76" s="143"/>
    </row>
    <row r="77" spans="1:15">
      <c r="A77" s="459" t="s">
        <v>656</v>
      </c>
      <c r="B77" s="27"/>
      <c r="C77" s="3">
        <v>30</v>
      </c>
      <c r="D77" s="131">
        <f>30/SUMIF('ABC-XYZ분석 (2)'!C:C,안전재고!A77,'ABC-XYZ분석 (2)'!X:X)</f>
        <v>1.40625</v>
      </c>
      <c r="E77" s="132">
        <f>IFERROR('ABC-XYZ분석 (2)'!AE77/30,0)</f>
        <v>0.86042983803029494</v>
      </c>
      <c r="F77" s="132" t="str">
        <f>_xlfn.XLOOKUP(표7[[#This Row],[SKU
코드]],'ABC-XYZ분석 (2)'!C:C,'ABC-XYZ분석 (2)'!AC:AC)</f>
        <v>C</v>
      </c>
      <c r="G77" s="132" t="str">
        <f>_xlfn.XLOOKUP(표7[[#This Row],[SKU
코드]],'ABC-XYZ분석 (2)'!C:C,'ABC-XYZ분석 (2)'!AG:AG)</f>
        <v>Y</v>
      </c>
      <c r="H77" s="318">
        <f>_xlfn.XLOOKUP(표7[[#This Row],[ABC]],L:L,N:N)</f>
        <v>1.04</v>
      </c>
      <c r="I77" s="131">
        <f>ROUND(E77*SQRT(C77)*표7[[#This Row],[안전
계수]]*_xlfn.XLOOKUP(표7[[#This Row],[XYZ]],Q:Q,R:R),0)</f>
        <v>5</v>
      </c>
      <c r="J77" s="281" t="s">
        <v>514</v>
      </c>
      <c r="K77"/>
      <c r="L77" s="220"/>
      <c r="N77" s="143"/>
      <c r="O77" s="143"/>
    </row>
    <row r="78" spans="1:15">
      <c r="A78" s="459" t="s">
        <v>657</v>
      </c>
      <c r="B78" s="27"/>
      <c r="C78" s="3">
        <v>30</v>
      </c>
      <c r="D78" s="131">
        <f>30/SUMIF('ABC-XYZ분석 (2)'!C:C,안전재고!A78,'ABC-XYZ분석 (2)'!X:X)</f>
        <v>6.4377682403433473E-2</v>
      </c>
      <c r="E78" s="132">
        <f>IFERROR('ABC-XYZ분석 (2)'!AE78/30,0)</f>
        <v>7.7027347035699112</v>
      </c>
      <c r="F78" s="132" t="str">
        <f>_xlfn.XLOOKUP(표7[[#This Row],[SKU
코드]],'ABC-XYZ분석 (2)'!C:C,'ABC-XYZ분석 (2)'!AC:AC)</f>
        <v>C</v>
      </c>
      <c r="G78" s="132" t="str">
        <f>_xlfn.XLOOKUP(표7[[#This Row],[SKU
코드]],'ABC-XYZ분석 (2)'!C:C,'ABC-XYZ분석 (2)'!AG:AG)</f>
        <v>X</v>
      </c>
      <c r="H78" s="318">
        <f>_xlfn.XLOOKUP(표7[[#This Row],[ABC]],L:L,N:N)</f>
        <v>1.04</v>
      </c>
      <c r="I78" s="131">
        <f>ROUND(E78*SQRT(C78)*표7[[#This Row],[안전
계수]]*_xlfn.XLOOKUP(표7[[#This Row],[XYZ]],Q:Q,R:R),0)</f>
        <v>37</v>
      </c>
      <c r="J78" s="281" t="s">
        <v>514</v>
      </c>
      <c r="K78"/>
      <c r="L78" s="220"/>
      <c r="N78" s="143"/>
      <c r="O78" s="143"/>
    </row>
    <row r="79" spans="1:15">
      <c r="A79" s="459" t="s">
        <v>658</v>
      </c>
      <c r="B79" s="27"/>
      <c r="C79" s="3">
        <v>30</v>
      </c>
      <c r="D79" s="131">
        <f>30/SUMIF('ABC-XYZ분석 (2)'!C:C,안전재고!A79,'ABC-XYZ분석 (2)'!X:X)</f>
        <v>0.51136363636363635</v>
      </c>
      <c r="E79" s="132">
        <f>IFERROR('ABC-XYZ분석 (2)'!AE79/30,0)</f>
        <v>0.7243132123809628</v>
      </c>
      <c r="F79" s="132" t="str">
        <f>_xlfn.XLOOKUP(표7[[#This Row],[SKU
코드]],'ABC-XYZ분석 (2)'!C:C,'ABC-XYZ분석 (2)'!AC:AC)</f>
        <v>C</v>
      </c>
      <c r="G79" s="132" t="str">
        <f>_xlfn.XLOOKUP(표7[[#This Row],[SKU
코드]],'ABC-XYZ분석 (2)'!C:C,'ABC-XYZ분석 (2)'!AG:AG)</f>
        <v>X</v>
      </c>
      <c r="H79" s="318">
        <f>_xlfn.XLOOKUP(표7[[#This Row],[ABC]],L:L,N:N)</f>
        <v>1.04</v>
      </c>
      <c r="I79" s="131">
        <f>ROUND(E79*SQRT(C79)*표7[[#This Row],[안전
계수]]*_xlfn.XLOOKUP(표7[[#This Row],[XYZ]],Q:Q,R:R),0)</f>
        <v>4</v>
      </c>
      <c r="J79" s="281" t="s">
        <v>514</v>
      </c>
      <c r="K79"/>
      <c r="L79" s="220"/>
      <c r="N79" s="143"/>
      <c r="O79" s="143"/>
    </row>
    <row r="80" spans="1:15">
      <c r="A80" s="459" t="s">
        <v>659</v>
      </c>
      <c r="B80" s="27"/>
      <c r="C80" s="3">
        <v>30</v>
      </c>
      <c r="D80" s="131">
        <f>30/SUMIF('ABC-XYZ분석 (2)'!C:C,안전재고!A80,'ABC-XYZ분석 (2)'!X:X)</f>
        <v>4.1879944160074449E-2</v>
      </c>
      <c r="E80" s="132">
        <f>IFERROR('ABC-XYZ분석 (2)'!AE80/30,0)</f>
        <v>11.334117619921818</v>
      </c>
      <c r="F80" s="132" t="str">
        <f>_xlfn.XLOOKUP(표7[[#This Row],[SKU
코드]],'ABC-XYZ분석 (2)'!C:C,'ABC-XYZ분석 (2)'!AC:AC)</f>
        <v>C</v>
      </c>
      <c r="G80" s="132" t="str">
        <f>_xlfn.XLOOKUP(표7[[#This Row],[SKU
코드]],'ABC-XYZ분석 (2)'!C:C,'ABC-XYZ분석 (2)'!AG:AG)</f>
        <v>Y</v>
      </c>
      <c r="H80" s="318">
        <f>_xlfn.XLOOKUP(표7[[#This Row],[ABC]],L:L,N:N)</f>
        <v>1.04</v>
      </c>
      <c r="I80" s="131">
        <f>ROUND(E80*SQRT(C80)*표7[[#This Row],[안전
계수]]*_xlfn.XLOOKUP(표7[[#This Row],[XYZ]],Q:Q,R:R),0)</f>
        <v>65</v>
      </c>
      <c r="J80" s="281" t="s">
        <v>514</v>
      </c>
      <c r="K80"/>
      <c r="L80" s="220"/>
      <c r="N80" s="143"/>
      <c r="O80" s="143"/>
    </row>
    <row r="81" spans="1:15">
      <c r="A81" s="459" t="s">
        <v>660</v>
      </c>
      <c r="B81" s="27"/>
      <c r="C81" s="3">
        <v>30</v>
      </c>
      <c r="D81" s="131">
        <f>30/SUMIF('ABC-XYZ분석 (2)'!C:C,안전재고!A81,'ABC-XYZ분석 (2)'!X:X)</f>
        <v>0.23936170212765959</v>
      </c>
      <c r="E81" s="132">
        <f>IFERROR('ABC-XYZ분석 (2)'!AE81/30,0)</f>
        <v>2.6570602431639498</v>
      </c>
      <c r="F81" s="132" t="str">
        <f>_xlfn.XLOOKUP(표7[[#This Row],[SKU
코드]],'ABC-XYZ분석 (2)'!C:C,'ABC-XYZ분석 (2)'!AC:AC)</f>
        <v>C</v>
      </c>
      <c r="G81" s="132" t="str">
        <f>_xlfn.XLOOKUP(표7[[#This Row],[SKU
코드]],'ABC-XYZ분석 (2)'!C:C,'ABC-XYZ분석 (2)'!AG:AG)</f>
        <v>Z</v>
      </c>
      <c r="H81" s="318">
        <f>_xlfn.XLOOKUP(표7[[#This Row],[ABC]],L:L,N:N)</f>
        <v>1.04</v>
      </c>
      <c r="I81" s="131">
        <f>ROUND(E81*SQRT(C81)*표7[[#This Row],[안전
계수]]*_xlfn.XLOOKUP(표7[[#This Row],[XYZ]],Q:Q,R:R),0)</f>
        <v>15</v>
      </c>
      <c r="J81" s="281" t="s">
        <v>514</v>
      </c>
      <c r="K81"/>
      <c r="L81" s="220"/>
      <c r="N81" s="143"/>
      <c r="O81" s="143"/>
    </row>
    <row r="82" spans="1:15">
      <c r="A82" s="459" t="s">
        <v>661</v>
      </c>
      <c r="B82" s="27"/>
      <c r="C82" s="3">
        <v>30</v>
      </c>
      <c r="D82" s="131">
        <f>30/SUMIF('ABC-XYZ분석 (2)'!C:C,안전재고!A82,'ABC-XYZ분석 (2)'!X:X)</f>
        <v>0.36437246963562753</v>
      </c>
      <c r="E82" s="132">
        <f>IFERROR('ABC-XYZ분석 (2)'!AE82/30,0)</f>
        <v>2.1193607089909956</v>
      </c>
      <c r="F82" s="132" t="str">
        <f>_xlfn.XLOOKUP(표7[[#This Row],[SKU
코드]],'ABC-XYZ분석 (2)'!C:C,'ABC-XYZ분석 (2)'!AC:AC)</f>
        <v>C</v>
      </c>
      <c r="G82" s="132" t="str">
        <f>_xlfn.XLOOKUP(표7[[#This Row],[SKU
코드]],'ABC-XYZ분석 (2)'!C:C,'ABC-XYZ분석 (2)'!AG:AG)</f>
        <v>Y</v>
      </c>
      <c r="H82" s="318">
        <f>_xlfn.XLOOKUP(표7[[#This Row],[ABC]],L:L,N:N)</f>
        <v>1.04</v>
      </c>
      <c r="I82" s="131">
        <f>ROUND(E82*SQRT(C82)*표7[[#This Row],[안전
계수]]*_xlfn.XLOOKUP(표7[[#This Row],[XYZ]],Q:Q,R:R),0)</f>
        <v>12</v>
      </c>
      <c r="J82" s="281" t="s">
        <v>514</v>
      </c>
      <c r="K82"/>
      <c r="L82" s="220"/>
      <c r="N82" s="143"/>
      <c r="O82" s="143"/>
    </row>
    <row r="83" spans="1:15">
      <c r="A83" s="459" t="s">
        <v>662</v>
      </c>
      <c r="B83" s="27"/>
      <c r="C83" s="3">
        <v>30</v>
      </c>
      <c r="D83" s="131">
        <f>30/SUMIF('ABC-XYZ분석 (2)'!C:C,안전재고!A83,'ABC-XYZ분석 (2)'!X:X)</f>
        <v>4.7872340425531915E-2</v>
      </c>
      <c r="E83" s="132">
        <f>IFERROR('ABC-XYZ분석 (2)'!AE83/30,0)</f>
        <v>14.176979634012664</v>
      </c>
      <c r="F83" s="132" t="str">
        <f>_xlfn.XLOOKUP(표7[[#This Row],[SKU
코드]],'ABC-XYZ분석 (2)'!C:C,'ABC-XYZ분석 (2)'!AC:AC)</f>
        <v>C</v>
      </c>
      <c r="G83" s="132" t="str">
        <f>_xlfn.XLOOKUP(표7[[#This Row],[SKU
코드]],'ABC-XYZ분석 (2)'!C:C,'ABC-XYZ분석 (2)'!AG:AG)</f>
        <v>Y</v>
      </c>
      <c r="H83" s="318">
        <f>_xlfn.XLOOKUP(표7[[#This Row],[ABC]],L:L,N:N)</f>
        <v>1.04</v>
      </c>
      <c r="I83" s="131">
        <f>ROUND(E83*SQRT(C83)*표7[[#This Row],[안전
계수]]*_xlfn.XLOOKUP(표7[[#This Row],[XYZ]],Q:Q,R:R),0)</f>
        <v>81</v>
      </c>
      <c r="J83" s="281" t="s">
        <v>514</v>
      </c>
      <c r="K83"/>
      <c r="L83" s="220"/>
      <c r="N83" s="143"/>
      <c r="O83" s="143"/>
    </row>
    <row r="84" spans="1:15">
      <c r="A84" s="459" t="s">
        <v>663</v>
      </c>
      <c r="B84" s="27"/>
      <c r="C84" s="3">
        <v>30</v>
      </c>
      <c r="D84" s="131">
        <f>30/SUMIF('ABC-XYZ분석 (2)'!C:C,안전재고!A84,'ABC-XYZ분석 (2)'!X:X)</f>
        <v>0.44334975369458124</v>
      </c>
      <c r="E84" s="132">
        <f>IFERROR('ABC-XYZ분석 (2)'!AE84/30,0)</f>
        <v>1.1775255233007442</v>
      </c>
      <c r="F84" s="132" t="str">
        <f>_xlfn.XLOOKUP(표7[[#This Row],[SKU
코드]],'ABC-XYZ분석 (2)'!C:C,'ABC-XYZ분석 (2)'!AC:AC)</f>
        <v>C</v>
      </c>
      <c r="G84" s="132" t="str">
        <f>_xlfn.XLOOKUP(표7[[#This Row],[SKU
코드]],'ABC-XYZ분석 (2)'!C:C,'ABC-XYZ분석 (2)'!AG:AG)</f>
        <v>Z</v>
      </c>
      <c r="H84" s="318">
        <f>_xlfn.XLOOKUP(표7[[#This Row],[ABC]],L:L,N:N)</f>
        <v>1.04</v>
      </c>
      <c r="I84" s="131">
        <f>ROUND(E84*SQRT(C84)*표7[[#This Row],[안전
계수]]*_xlfn.XLOOKUP(표7[[#This Row],[XYZ]],Q:Q,R:R),0)</f>
        <v>7</v>
      </c>
      <c r="J84" s="281" t="s">
        <v>514</v>
      </c>
      <c r="K84"/>
      <c r="L84" s="220"/>
      <c r="N84" s="143"/>
      <c r="O84" s="143"/>
    </row>
    <row r="85" spans="1:15">
      <c r="A85" s="459" t="s">
        <v>664</v>
      </c>
      <c r="B85" s="27"/>
      <c r="C85" s="3">
        <v>30</v>
      </c>
      <c r="D85" s="131">
        <f>30/SUMIF('ABC-XYZ분석 (2)'!C:C,안전재고!A85,'ABC-XYZ분석 (2)'!X:X)</f>
        <v>0.25139664804469275</v>
      </c>
      <c r="E85" s="132">
        <f>IFERROR('ABC-XYZ분석 (2)'!AE85/30,0)</f>
        <v>2.1870603614649866</v>
      </c>
      <c r="F85" s="132" t="str">
        <f>_xlfn.XLOOKUP(표7[[#This Row],[SKU
코드]],'ABC-XYZ분석 (2)'!C:C,'ABC-XYZ분석 (2)'!AC:AC)</f>
        <v>C</v>
      </c>
      <c r="G85" s="132" t="str">
        <f>_xlfn.XLOOKUP(표7[[#This Row],[SKU
코드]],'ABC-XYZ분석 (2)'!C:C,'ABC-XYZ분석 (2)'!AG:AG)</f>
        <v>Z</v>
      </c>
      <c r="H85" s="318">
        <f>_xlfn.XLOOKUP(표7[[#This Row],[ABC]],L:L,N:N)</f>
        <v>1.04</v>
      </c>
      <c r="I85" s="131">
        <f>ROUND(E85*SQRT(C85)*표7[[#This Row],[안전
계수]]*_xlfn.XLOOKUP(표7[[#This Row],[XYZ]],Q:Q,R:R),0)</f>
        <v>12</v>
      </c>
      <c r="J85" s="281" t="s">
        <v>514</v>
      </c>
      <c r="K85"/>
      <c r="L85" s="220"/>
      <c r="N85" s="143"/>
      <c r="O85" s="143"/>
    </row>
    <row r="86" spans="1:15">
      <c r="A86" s="459" t="s">
        <v>665</v>
      </c>
      <c r="B86" s="27"/>
      <c r="C86" s="3">
        <v>30</v>
      </c>
      <c r="D86" s="131">
        <f>30/SUMIF('ABC-XYZ분석 (2)'!C:C,안전재고!A86,'ABC-XYZ분석 (2)'!X:X)</f>
        <v>0.33088235294117646</v>
      </c>
      <c r="E86" s="132">
        <f>IFERROR('ABC-XYZ분석 (2)'!AE86/30,0)</f>
        <v>1.2081768736508289</v>
      </c>
      <c r="F86" s="132" t="str">
        <f>_xlfn.XLOOKUP(표7[[#This Row],[SKU
코드]],'ABC-XYZ분석 (2)'!C:C,'ABC-XYZ분석 (2)'!AC:AC)</f>
        <v>C</v>
      </c>
      <c r="G86" s="132" t="str">
        <f>_xlfn.XLOOKUP(표7[[#This Row],[SKU
코드]],'ABC-XYZ분석 (2)'!C:C,'ABC-XYZ분석 (2)'!AG:AG)</f>
        <v>Y</v>
      </c>
      <c r="H86" s="318">
        <f>_xlfn.XLOOKUP(표7[[#This Row],[ABC]],L:L,N:N)</f>
        <v>1.04</v>
      </c>
      <c r="I86" s="131">
        <f>ROUND(E86*SQRT(C86)*표7[[#This Row],[안전
계수]]*_xlfn.XLOOKUP(표7[[#This Row],[XYZ]],Q:Q,R:R),0)</f>
        <v>7</v>
      </c>
      <c r="J86" s="281" t="s">
        <v>514</v>
      </c>
      <c r="K86"/>
      <c r="L86" s="220"/>
      <c r="N86" s="143"/>
      <c r="O86" s="143"/>
    </row>
    <row r="87" spans="1:15">
      <c r="A87" s="459" t="s">
        <v>666</v>
      </c>
      <c r="B87" s="27"/>
      <c r="C87" s="3">
        <v>30</v>
      </c>
      <c r="D87" s="131">
        <f>30/SUMIF('ABC-XYZ분석 (2)'!C:C,안전재고!A87,'ABC-XYZ분석 (2)'!X:X)</f>
        <v>0.60810810810810811</v>
      </c>
      <c r="E87" s="132">
        <f>IFERROR('ABC-XYZ분석 (2)'!AE87/30,0)</f>
        <v>1.4761974632877826</v>
      </c>
      <c r="F87" s="132" t="str">
        <f>_xlfn.XLOOKUP(표7[[#This Row],[SKU
코드]],'ABC-XYZ분석 (2)'!C:C,'ABC-XYZ분석 (2)'!AC:AC)</f>
        <v>C</v>
      </c>
      <c r="G87" s="132" t="str">
        <f>_xlfn.XLOOKUP(표7[[#This Row],[SKU
코드]],'ABC-XYZ분석 (2)'!C:C,'ABC-XYZ분석 (2)'!AG:AG)</f>
        <v>Y</v>
      </c>
      <c r="H87" s="318">
        <f>_xlfn.XLOOKUP(표7[[#This Row],[ABC]],L:L,N:N)</f>
        <v>1.04</v>
      </c>
      <c r="I87" s="131">
        <f>ROUND(E87*SQRT(C87)*표7[[#This Row],[안전
계수]]*_xlfn.XLOOKUP(표7[[#This Row],[XYZ]],Q:Q,R:R),0)</f>
        <v>8</v>
      </c>
      <c r="J87" s="281" t="s">
        <v>514</v>
      </c>
      <c r="K87"/>
      <c r="L87" s="220"/>
      <c r="N87" s="143"/>
      <c r="O87" s="143"/>
    </row>
    <row r="88" spans="1:15">
      <c r="A88" s="459" t="s">
        <v>667</v>
      </c>
      <c r="B88" s="27"/>
      <c r="C88" s="3">
        <v>30</v>
      </c>
      <c r="D88" s="131">
        <f>30/SUMIF('ABC-XYZ분석 (2)'!C:C,안전재고!A88,'ABC-XYZ분석 (2)'!X:X)</f>
        <v>5.4945054945054944E-2</v>
      </c>
      <c r="E88" s="132">
        <f>IFERROR('ABC-XYZ분석 (2)'!AE88/30,0)</f>
        <v>13.123384086299662</v>
      </c>
      <c r="F88" s="132" t="str">
        <f>_xlfn.XLOOKUP(표7[[#This Row],[SKU
코드]],'ABC-XYZ분석 (2)'!C:C,'ABC-XYZ분석 (2)'!AC:AC)</f>
        <v>C</v>
      </c>
      <c r="G88" s="132" t="str">
        <f>_xlfn.XLOOKUP(표7[[#This Row],[SKU
코드]],'ABC-XYZ분석 (2)'!C:C,'ABC-XYZ분석 (2)'!AG:AG)</f>
        <v>Y</v>
      </c>
      <c r="H88" s="318">
        <f>_xlfn.XLOOKUP(표7[[#This Row],[ABC]],L:L,N:N)</f>
        <v>1.04</v>
      </c>
      <c r="I88" s="131">
        <f>ROUND(E88*SQRT(C88)*표7[[#This Row],[안전
계수]]*_xlfn.XLOOKUP(표7[[#This Row],[XYZ]],Q:Q,R:R),0)</f>
        <v>75</v>
      </c>
      <c r="J88" s="281" t="s">
        <v>514</v>
      </c>
      <c r="K88"/>
      <c r="L88" s="220"/>
      <c r="N88" s="143"/>
      <c r="O88" s="143"/>
    </row>
    <row r="89" spans="1:15">
      <c r="A89" s="459" t="s">
        <v>668</v>
      </c>
      <c r="B89" s="27"/>
      <c r="C89" s="3">
        <v>30</v>
      </c>
      <c r="D89" s="131">
        <f>30/SUMIF('ABC-XYZ분석 (2)'!C:C,안전재고!A89,'ABC-XYZ분석 (2)'!X:X)</f>
        <v>1.3636363636363635</v>
      </c>
      <c r="E89" s="132">
        <f>IFERROR('ABC-XYZ분석 (2)'!AE89/30,0)</f>
        <v>0.50978087764242053</v>
      </c>
      <c r="F89" s="132" t="str">
        <f>_xlfn.XLOOKUP(표7[[#This Row],[SKU
코드]],'ABC-XYZ분석 (2)'!C:C,'ABC-XYZ분석 (2)'!AC:AC)</f>
        <v>C</v>
      </c>
      <c r="G89" s="132" t="str">
        <f>_xlfn.XLOOKUP(표7[[#This Row],[SKU
코드]],'ABC-XYZ분석 (2)'!C:C,'ABC-XYZ분석 (2)'!AG:AG)</f>
        <v>X</v>
      </c>
      <c r="H89" s="318">
        <f>_xlfn.XLOOKUP(표7[[#This Row],[ABC]],L:L,N:N)</f>
        <v>1.04</v>
      </c>
      <c r="I89" s="131">
        <f>ROUND(E89*SQRT(C89)*표7[[#This Row],[안전
계수]]*_xlfn.XLOOKUP(표7[[#This Row],[XYZ]],Q:Q,R:R),0)</f>
        <v>2</v>
      </c>
      <c r="J89" s="281" t="s">
        <v>514</v>
      </c>
      <c r="K89"/>
      <c r="L89" s="220"/>
      <c r="N89" s="143"/>
      <c r="O89" s="143"/>
    </row>
    <row r="90" spans="1:15">
      <c r="A90" s="459" t="s">
        <v>669</v>
      </c>
      <c r="B90" s="27"/>
      <c r="C90" s="3">
        <v>30</v>
      </c>
      <c r="D90" s="131">
        <f>30/SUMIF('ABC-XYZ분석 (2)'!C:C,안전재고!A90,'ABC-XYZ분석 (2)'!X:X)</f>
        <v>0.62068965517241381</v>
      </c>
      <c r="E90" s="132">
        <f>IFERROR('ABC-XYZ분석 (2)'!AE90/30,0)</f>
        <v>0.73578609176818921</v>
      </c>
      <c r="F90" s="132" t="str">
        <f>_xlfn.XLOOKUP(표7[[#This Row],[SKU
코드]],'ABC-XYZ분석 (2)'!C:C,'ABC-XYZ분석 (2)'!AC:AC)</f>
        <v>C</v>
      </c>
      <c r="G90" s="132" t="str">
        <f>_xlfn.XLOOKUP(표7[[#This Row],[SKU
코드]],'ABC-XYZ분석 (2)'!C:C,'ABC-XYZ분석 (2)'!AG:AG)</f>
        <v>Y</v>
      </c>
      <c r="H90" s="318">
        <f>_xlfn.XLOOKUP(표7[[#This Row],[ABC]],L:L,N:N)</f>
        <v>1.04</v>
      </c>
      <c r="I90" s="131">
        <f>ROUND(E90*SQRT(C90)*표7[[#This Row],[안전
계수]]*_xlfn.XLOOKUP(표7[[#This Row],[XYZ]],Q:Q,R:R),0)</f>
        <v>4</v>
      </c>
      <c r="J90" s="281" t="s">
        <v>514</v>
      </c>
      <c r="K90"/>
      <c r="L90" s="220"/>
      <c r="N90" s="143"/>
      <c r="O90" s="143"/>
    </row>
    <row r="91" spans="1:15">
      <c r="A91" s="459" t="s">
        <v>670</v>
      </c>
      <c r="B91" s="27"/>
      <c r="C91" s="3">
        <v>30</v>
      </c>
      <c r="D91" s="131">
        <f>30/SUMIF('ABC-XYZ분석 (2)'!C:C,안전재고!A91,'ABC-XYZ분석 (2)'!X:X)</f>
        <v>0.15</v>
      </c>
      <c r="E91" s="132">
        <f>IFERROR('ABC-XYZ분석 (2)'!AE91/30,0)</f>
        <v>5.6953115870928492</v>
      </c>
      <c r="F91" s="132" t="str">
        <f>_xlfn.XLOOKUP(표7[[#This Row],[SKU
코드]],'ABC-XYZ분석 (2)'!C:C,'ABC-XYZ분석 (2)'!AC:AC)</f>
        <v>C</v>
      </c>
      <c r="G91" s="132" t="str">
        <f>_xlfn.XLOOKUP(표7[[#This Row],[SKU
코드]],'ABC-XYZ분석 (2)'!C:C,'ABC-XYZ분석 (2)'!AG:AG)</f>
        <v>Z</v>
      </c>
      <c r="H91" s="318">
        <f>_xlfn.XLOOKUP(표7[[#This Row],[ABC]],L:L,N:N)</f>
        <v>1.04</v>
      </c>
      <c r="I91" s="131">
        <f>ROUND(E91*SQRT(C91)*표7[[#This Row],[안전
계수]]*_xlfn.XLOOKUP(표7[[#This Row],[XYZ]],Q:Q,R:R),0)</f>
        <v>32</v>
      </c>
      <c r="J91" s="281" t="s">
        <v>514</v>
      </c>
      <c r="K91"/>
      <c r="L91" s="220"/>
      <c r="N91" s="143"/>
      <c r="O91" s="143"/>
    </row>
    <row r="92" spans="1:15">
      <c r="A92" s="459" t="s">
        <v>671</v>
      </c>
      <c r="B92" s="27"/>
      <c r="C92" s="3">
        <v>30</v>
      </c>
      <c r="D92" s="131">
        <f>30/SUMIF('ABC-XYZ분석 (2)'!C:C,안전재고!A92,'ABC-XYZ분석 (2)'!X:X)</f>
        <v>0.32608695652173914</v>
      </c>
      <c r="E92" s="132">
        <f>IFERROR('ABC-XYZ분석 (2)'!AE92/30,0)</f>
        <v>1.2931771335611499</v>
      </c>
      <c r="F92" s="132" t="str">
        <f>_xlfn.XLOOKUP(표7[[#This Row],[SKU
코드]],'ABC-XYZ분석 (2)'!C:C,'ABC-XYZ분석 (2)'!AC:AC)</f>
        <v>C</v>
      </c>
      <c r="G92" s="132" t="str">
        <f>_xlfn.XLOOKUP(표7[[#This Row],[SKU
코드]],'ABC-XYZ분석 (2)'!C:C,'ABC-XYZ분석 (2)'!AG:AG)</f>
        <v>Y</v>
      </c>
      <c r="H92" s="318">
        <f>_xlfn.XLOOKUP(표7[[#This Row],[ABC]],L:L,N:N)</f>
        <v>1.04</v>
      </c>
      <c r="I92" s="131">
        <f>ROUND(E92*SQRT(C92)*표7[[#This Row],[안전
계수]]*_xlfn.XLOOKUP(표7[[#This Row],[XYZ]],Q:Q,R:R),0)</f>
        <v>7</v>
      </c>
      <c r="J92" s="281" t="s">
        <v>514</v>
      </c>
      <c r="K92"/>
      <c r="L92" s="220"/>
      <c r="N92" s="143"/>
      <c r="O92" s="143"/>
    </row>
    <row r="93" spans="1:15">
      <c r="A93" s="459" t="s">
        <v>672</v>
      </c>
      <c r="B93" s="27"/>
      <c r="C93" s="3">
        <v>30</v>
      </c>
      <c r="D93" s="131">
        <f>30/SUMIF('ABC-XYZ분석 (2)'!C:C,안전재고!A93,'ABC-XYZ분석 (2)'!X:X)</f>
        <v>0.39130434782608692</v>
      </c>
      <c r="E93" s="132">
        <f>IFERROR('ABC-XYZ분석 (2)'!AE93/30,0)</f>
        <v>1.8649711214789941</v>
      </c>
      <c r="F93" s="132" t="str">
        <f>_xlfn.XLOOKUP(표7[[#This Row],[SKU
코드]],'ABC-XYZ분석 (2)'!C:C,'ABC-XYZ분석 (2)'!AC:AC)</f>
        <v>C</v>
      </c>
      <c r="G93" s="132" t="str">
        <f>_xlfn.XLOOKUP(표7[[#This Row],[SKU
코드]],'ABC-XYZ분석 (2)'!C:C,'ABC-XYZ분석 (2)'!AG:AG)</f>
        <v>Z</v>
      </c>
      <c r="H93" s="318">
        <f>_xlfn.XLOOKUP(표7[[#This Row],[ABC]],L:L,N:N)</f>
        <v>1.04</v>
      </c>
      <c r="I93" s="131">
        <f>ROUND(E93*SQRT(C93)*표7[[#This Row],[안전
계수]]*_xlfn.XLOOKUP(표7[[#This Row],[XYZ]],Q:Q,R:R),0)</f>
        <v>11</v>
      </c>
      <c r="J93" s="281" t="s">
        <v>514</v>
      </c>
      <c r="K93"/>
      <c r="L93" s="220"/>
      <c r="N93" s="143"/>
      <c r="O93" s="143"/>
    </row>
    <row r="94" spans="1:15">
      <c r="A94" s="459" t="s">
        <v>673</v>
      </c>
      <c r="B94" s="27"/>
      <c r="C94" s="3">
        <v>30</v>
      </c>
      <c r="D94" s="131">
        <f>30/SUMIF('ABC-XYZ분석 (2)'!C:C,안전재고!A94,'ABC-XYZ분석 (2)'!X:X)</f>
        <v>0.5625</v>
      </c>
      <c r="E94" s="132">
        <f>IFERROR('ABC-XYZ분석 (2)'!AE94/30,0)</f>
        <v>0.85524886277851941</v>
      </c>
      <c r="F94" s="132" t="str">
        <f>_xlfn.XLOOKUP(표7[[#This Row],[SKU
코드]],'ABC-XYZ분석 (2)'!C:C,'ABC-XYZ분석 (2)'!AC:AC)</f>
        <v>C</v>
      </c>
      <c r="G94" s="132" t="str">
        <f>_xlfn.XLOOKUP(표7[[#This Row],[SKU
코드]],'ABC-XYZ분석 (2)'!C:C,'ABC-XYZ분석 (2)'!AG:AG)</f>
        <v>Z</v>
      </c>
      <c r="H94" s="318">
        <f>_xlfn.XLOOKUP(표7[[#This Row],[ABC]],L:L,N:N)</f>
        <v>1.04</v>
      </c>
      <c r="I94" s="131">
        <f>ROUND(E94*SQRT(C94)*표7[[#This Row],[안전
계수]]*_xlfn.XLOOKUP(표7[[#This Row],[XYZ]],Q:Q,R:R),0)</f>
        <v>5</v>
      </c>
      <c r="J94" s="281" t="s">
        <v>514</v>
      </c>
      <c r="K94"/>
      <c r="L94" s="220"/>
      <c r="N94" s="143"/>
      <c r="O94" s="143"/>
    </row>
    <row r="95" spans="1:15">
      <c r="A95" s="459" t="s">
        <v>674</v>
      </c>
      <c r="B95" s="27"/>
      <c r="C95" s="3">
        <v>30</v>
      </c>
      <c r="D95" s="131">
        <f>30/SUMIF('ABC-XYZ분석 (2)'!C:C,안전재고!A95,'ABC-XYZ분석 (2)'!X:X)</f>
        <v>0.34615384615384615</v>
      </c>
      <c r="E95" s="132">
        <f>IFERROR('ABC-XYZ분석 (2)'!AE95/30,0)</f>
        <v>2.083533323734255</v>
      </c>
      <c r="F95" s="132" t="str">
        <f>_xlfn.XLOOKUP(표7[[#This Row],[SKU
코드]],'ABC-XYZ분석 (2)'!C:C,'ABC-XYZ분석 (2)'!AC:AC)</f>
        <v>C</v>
      </c>
      <c r="G95" s="132" t="str">
        <f>_xlfn.XLOOKUP(표7[[#This Row],[SKU
코드]],'ABC-XYZ분석 (2)'!C:C,'ABC-XYZ분석 (2)'!AG:AG)</f>
        <v>Z</v>
      </c>
      <c r="H95" s="318">
        <f>_xlfn.XLOOKUP(표7[[#This Row],[ABC]],L:L,N:N)</f>
        <v>1.04</v>
      </c>
      <c r="I95" s="131">
        <f>ROUND(E95*SQRT(C95)*표7[[#This Row],[안전
계수]]*_xlfn.XLOOKUP(표7[[#This Row],[XYZ]],Q:Q,R:R),0)</f>
        <v>12</v>
      </c>
      <c r="J95" s="281" t="s">
        <v>514</v>
      </c>
      <c r="K95"/>
      <c r="L95" s="220"/>
      <c r="N95" s="143"/>
      <c r="O95" s="143"/>
    </row>
    <row r="96" spans="1:15">
      <c r="A96" s="459" t="s">
        <v>675</v>
      </c>
      <c r="B96" s="27"/>
      <c r="C96" s="3">
        <v>30</v>
      </c>
      <c r="D96" s="131">
        <f>30/SUMIF('ABC-XYZ분석 (2)'!C:C,안전재고!A96,'ABC-XYZ분석 (2)'!X:X)</f>
        <v>0.83333333333333337</v>
      </c>
      <c r="E96" s="132">
        <f>IFERROR('ABC-XYZ분석 (2)'!AE96/30,0)</f>
        <v>0.85184530995877739</v>
      </c>
      <c r="F96" s="132" t="str">
        <f>_xlfn.XLOOKUP(표7[[#This Row],[SKU
코드]],'ABC-XYZ분석 (2)'!C:C,'ABC-XYZ분석 (2)'!AC:AC)</f>
        <v>C</v>
      </c>
      <c r="G96" s="132" t="str">
        <f>_xlfn.XLOOKUP(표7[[#This Row],[SKU
코드]],'ABC-XYZ분석 (2)'!C:C,'ABC-XYZ분석 (2)'!AG:AG)</f>
        <v>Z</v>
      </c>
      <c r="H96" s="318">
        <f>_xlfn.XLOOKUP(표7[[#This Row],[ABC]],L:L,N:N)</f>
        <v>1.04</v>
      </c>
      <c r="I96" s="131">
        <f>ROUND(E96*SQRT(C96)*표7[[#This Row],[안전
계수]]*_xlfn.XLOOKUP(표7[[#This Row],[XYZ]],Q:Q,R:R),0)</f>
        <v>5</v>
      </c>
      <c r="J96" s="281" t="s">
        <v>514</v>
      </c>
      <c r="K96"/>
      <c r="L96" s="220"/>
      <c r="N96" s="143"/>
      <c r="O96" s="143"/>
    </row>
    <row r="97" spans="1:15">
      <c r="A97" s="459" t="s">
        <v>676</v>
      </c>
      <c r="B97" s="27"/>
      <c r="C97" s="3">
        <v>30</v>
      </c>
      <c r="D97" s="131">
        <f>30/SUMIF('ABC-XYZ분석 (2)'!C:C,안전재고!A97,'ABC-XYZ분석 (2)'!X:X)</f>
        <v>0.19522776572668113</v>
      </c>
      <c r="E97" s="132">
        <f>IFERROR('ABC-XYZ분석 (2)'!AE97/30,0)</f>
        <v>3.1318800806394504</v>
      </c>
      <c r="F97" s="132" t="str">
        <f>_xlfn.XLOOKUP(표7[[#This Row],[SKU
코드]],'ABC-XYZ분석 (2)'!C:C,'ABC-XYZ분석 (2)'!AC:AC)</f>
        <v>C</v>
      </c>
      <c r="G97" s="132" t="str">
        <f>_xlfn.XLOOKUP(표7[[#This Row],[SKU
코드]],'ABC-XYZ분석 (2)'!C:C,'ABC-XYZ분석 (2)'!AG:AG)</f>
        <v>Z</v>
      </c>
      <c r="H97" s="318">
        <f>_xlfn.XLOOKUP(표7[[#This Row],[ABC]],L:L,N:N)</f>
        <v>1.04</v>
      </c>
      <c r="I97" s="131">
        <f>ROUND(E97*SQRT(C97)*표7[[#This Row],[안전
계수]]*_xlfn.XLOOKUP(표7[[#This Row],[XYZ]],Q:Q,R:R),0)</f>
        <v>18</v>
      </c>
      <c r="J97" s="281" t="s">
        <v>514</v>
      </c>
      <c r="K97"/>
      <c r="L97" s="220"/>
      <c r="N97" s="143"/>
      <c r="O97" s="143"/>
    </row>
    <row r="98" spans="1:15">
      <c r="A98" s="459" t="s">
        <v>677</v>
      </c>
      <c r="B98" s="27"/>
      <c r="C98" s="3">
        <v>30</v>
      </c>
      <c r="D98" s="131">
        <f>30/SUMIF('ABC-XYZ분석 (2)'!C:C,안전재고!A98,'ABC-XYZ분석 (2)'!X:X)</f>
        <v>0.69767441860465118</v>
      </c>
      <c r="E98" s="132">
        <f>IFERROR('ABC-XYZ분석 (2)'!AE98/30,0)</f>
        <v>1.4811031924436147</v>
      </c>
      <c r="F98" s="132" t="str">
        <f>_xlfn.XLOOKUP(표7[[#This Row],[SKU
코드]],'ABC-XYZ분석 (2)'!C:C,'ABC-XYZ분석 (2)'!AC:AC)</f>
        <v>C</v>
      </c>
      <c r="G98" s="132" t="str">
        <f>_xlfn.XLOOKUP(표7[[#This Row],[SKU
코드]],'ABC-XYZ분석 (2)'!C:C,'ABC-XYZ분석 (2)'!AG:AG)</f>
        <v>Z</v>
      </c>
      <c r="H98" s="318">
        <f>_xlfn.XLOOKUP(표7[[#This Row],[ABC]],L:L,N:N)</f>
        <v>1.04</v>
      </c>
      <c r="I98" s="131">
        <f>ROUND(E98*SQRT(C98)*표7[[#This Row],[안전
계수]]*_xlfn.XLOOKUP(표7[[#This Row],[XYZ]],Q:Q,R:R),0)</f>
        <v>8</v>
      </c>
      <c r="J98" s="281" t="s">
        <v>514</v>
      </c>
      <c r="K98"/>
      <c r="L98" s="220"/>
      <c r="N98" s="143"/>
      <c r="O98" s="143"/>
    </row>
    <row r="99" spans="1:15">
      <c r="A99" s="459" t="s">
        <v>678</v>
      </c>
      <c r="B99" s="27"/>
      <c r="C99" s="3">
        <v>30</v>
      </c>
      <c r="D99" s="131">
        <f>30/SUMIF('ABC-XYZ분석 (2)'!C:C,안전재고!A99,'ABC-XYZ분석 (2)'!X:X)</f>
        <v>0.49723756906077349</v>
      </c>
      <c r="E99" s="132">
        <f>IFERROR('ABC-XYZ분석 (2)'!AE99/30,0)</f>
        <v>1.0307726635639001</v>
      </c>
      <c r="F99" s="132" t="str">
        <f>_xlfn.XLOOKUP(표7[[#This Row],[SKU
코드]],'ABC-XYZ분석 (2)'!C:C,'ABC-XYZ분석 (2)'!AC:AC)</f>
        <v>C</v>
      </c>
      <c r="G99" s="132" t="str">
        <f>_xlfn.XLOOKUP(표7[[#This Row],[SKU
코드]],'ABC-XYZ분석 (2)'!C:C,'ABC-XYZ분석 (2)'!AG:AG)</f>
        <v>Z</v>
      </c>
      <c r="H99" s="318">
        <f>_xlfn.XLOOKUP(표7[[#This Row],[ABC]],L:L,N:N)</f>
        <v>1.04</v>
      </c>
      <c r="I99" s="131">
        <f>ROUND(E99*SQRT(C99)*표7[[#This Row],[안전
계수]]*_xlfn.XLOOKUP(표7[[#This Row],[XYZ]],Q:Q,R:R),0)</f>
        <v>6</v>
      </c>
      <c r="J99" s="281" t="s">
        <v>514</v>
      </c>
      <c r="K99"/>
      <c r="L99" s="220"/>
      <c r="N99" s="143"/>
      <c r="O99" s="143"/>
    </row>
    <row r="100" spans="1:15">
      <c r="A100" s="459" t="s">
        <v>679</v>
      </c>
      <c r="B100" s="27"/>
      <c r="C100" s="3">
        <v>30</v>
      </c>
      <c r="D100" s="131">
        <f>30/SUMIF('ABC-XYZ분석 (2)'!C:C,안전재고!A100,'ABC-XYZ분석 (2)'!X:X)</f>
        <v>0.88235294117647056</v>
      </c>
      <c r="E100" s="132">
        <f>IFERROR('ABC-XYZ분석 (2)'!AE100/30,0)</f>
        <v>1.2968950336843232</v>
      </c>
      <c r="F100" s="132" t="str">
        <f>_xlfn.XLOOKUP(표7[[#This Row],[SKU
코드]],'ABC-XYZ분석 (2)'!C:C,'ABC-XYZ분석 (2)'!AC:AC)</f>
        <v>C</v>
      </c>
      <c r="G100" s="402" t="str">
        <f>_xlfn.XLOOKUP(표7[[#This Row],[SKU
코드]],'ABC-XYZ분석 (2)'!C:C,'ABC-XYZ분석 (2)'!AG:AG)</f>
        <v>Y</v>
      </c>
      <c r="H100" s="318">
        <f>_xlfn.XLOOKUP(표7[[#This Row],[ABC]],L:L,N:N)</f>
        <v>1.04</v>
      </c>
      <c r="I100" s="131">
        <f>ROUND(E100*SQRT(C100)*표7[[#This Row],[안전
계수]]*_xlfn.XLOOKUP(표7[[#This Row],[XYZ]],Q:Q,R:R),0)</f>
        <v>7</v>
      </c>
      <c r="J100" s="281" t="s">
        <v>514</v>
      </c>
      <c r="K100"/>
      <c r="L100" s="220"/>
      <c r="N100" s="143"/>
      <c r="O100" s="143"/>
    </row>
  </sheetData>
  <phoneticPr fontId="15" type="noConversion"/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BR100"/>
  <sheetViews>
    <sheetView showGridLines="0" zoomScaleNormal="100" workbookViewId="0">
      <pane xSplit="8" ySplit="1" topLeftCell="I2" activePane="bottomRight" state="frozen"/>
      <selection activeCell="AU31" sqref="AU31"/>
      <selection pane="topRight" activeCell="AU31" sqref="AU31"/>
      <selection pane="bottomLeft" activeCell="AU31" sqref="AU31"/>
      <selection pane="bottomRight" activeCell="AF2" sqref="AF2"/>
    </sheetView>
  </sheetViews>
  <sheetFormatPr defaultColWidth="8.625" defaultRowHeight="16.5" outlineLevelCol="1"/>
  <cols>
    <col min="1" max="1" width="7.5" style="41" hidden="1" customWidth="1"/>
    <col min="2" max="2" width="6.375" style="41" customWidth="1"/>
    <col min="3" max="3" width="11.125" style="41" customWidth="1"/>
    <col min="4" max="4" width="12.5" style="41" hidden="1" customWidth="1" outlineLevel="1"/>
    <col min="5" max="5" width="5.75" style="41" hidden="1" customWidth="1" outlineLevel="1"/>
    <col min="6" max="6" width="11.375" style="41" hidden="1" customWidth="1" outlineLevel="1"/>
    <col min="7" max="7" width="11.375" style="41" bestFit="1" customWidth="1" collapsed="1"/>
    <col min="8" max="8" width="7.875" style="41" customWidth="1"/>
    <col min="9" max="9" width="7.125" style="32" customWidth="1"/>
    <col min="10" max="10" width="9.875" style="41" customWidth="1" outlineLevel="1" collapsed="1"/>
    <col min="11" max="21" width="9.875" style="41" customWidth="1" outlineLevel="1"/>
    <col min="22" max="22" width="9.875" style="60" customWidth="1" outlineLevel="1"/>
    <col min="23" max="23" width="10.625" style="60" customWidth="1"/>
    <col min="24" max="24" width="13.875" style="60" customWidth="1"/>
    <col min="25" max="25" width="13.625" style="60" bestFit="1" customWidth="1"/>
    <col min="26" max="26" width="13" style="60" bestFit="1" customWidth="1"/>
    <col min="27" max="27" width="9" style="76" customWidth="1"/>
    <col min="28" max="28" width="8.875" style="74" customWidth="1"/>
    <col min="29" max="29" width="5.625" style="32" customWidth="1"/>
    <col min="30" max="30" width="12.875" style="60" customWidth="1"/>
    <col min="31" max="31" width="8" style="60" customWidth="1"/>
    <col min="32" max="32" width="9.75" style="32" customWidth="1"/>
    <col min="33" max="33" width="5.5" style="32" bestFit="1" customWidth="1"/>
    <col min="34" max="34" width="9.875" style="32" bestFit="1" customWidth="1"/>
    <col min="35" max="35" width="17" style="33" customWidth="1"/>
    <col min="36" max="36" width="11.5" style="60" customWidth="1"/>
    <col min="37" max="37" width="23.875" style="41" bestFit="1" customWidth="1"/>
    <col min="38" max="38" width="5.5" style="41" hidden="1" customWidth="1"/>
    <col min="39" max="39" width="5.375" style="41" hidden="1" customWidth="1"/>
    <col min="40" max="40" width="6.125" style="41" hidden="1" customWidth="1"/>
    <col min="41" max="41" width="14.75" style="60" hidden="1" customWidth="1"/>
    <col min="42" max="42" width="6.125" style="60" hidden="1" customWidth="1"/>
    <col min="43" max="43" width="15.875" style="41" hidden="1" customWidth="1"/>
    <col min="44" max="44" width="3" style="41" customWidth="1"/>
    <col min="45" max="45" width="8.125" style="41" customWidth="1"/>
    <col min="46" max="46" width="14" style="41" customWidth="1"/>
    <col min="47" max="47" width="14.875" style="41" customWidth="1"/>
    <col min="48" max="48" width="12.625" style="41" customWidth="1"/>
    <col min="49" max="49" width="8.875" style="41" customWidth="1"/>
    <col min="50" max="50" width="9.875" style="41" customWidth="1"/>
    <col min="51" max="51" width="10.875" style="41" customWidth="1"/>
    <col min="52" max="52" width="5.25" style="32" customWidth="1"/>
    <col min="53" max="53" width="5.25" style="41" customWidth="1"/>
    <col min="54" max="54" width="15.375" style="60" hidden="1" customWidth="1"/>
    <col min="55" max="55" width="5.25" style="41" customWidth="1"/>
    <col min="56" max="56" width="9.625" style="41" bestFit="1" customWidth="1"/>
    <col min="57" max="57" width="11.625" style="41" bestFit="1" customWidth="1"/>
    <col min="58" max="60" width="11.625" style="41" customWidth="1"/>
    <col min="61" max="61" width="12.625" style="41" bestFit="1" customWidth="1"/>
    <col min="62" max="63" width="14.625" style="41" bestFit="1" customWidth="1"/>
    <col min="64" max="64" width="22" style="41" hidden="1" customWidth="1"/>
    <col min="65" max="65" width="26.625" style="41" bestFit="1" customWidth="1"/>
    <col min="66" max="66" width="23.375" style="41" customWidth="1"/>
    <col min="67" max="69" width="8.625" style="41" customWidth="1"/>
    <col min="70" max="16384" width="8.625" style="41"/>
  </cols>
  <sheetData>
    <row r="1" spans="1:70" s="36" customFormat="1" ht="49.5" customHeight="1">
      <c r="A1" s="290" t="s">
        <v>138</v>
      </c>
      <c r="B1" s="291" t="s">
        <v>147</v>
      </c>
      <c r="C1" s="290" t="s">
        <v>140</v>
      </c>
      <c r="D1" s="291" t="s">
        <v>148</v>
      </c>
      <c r="E1" s="291" t="s">
        <v>149</v>
      </c>
      <c r="F1" s="291" t="s">
        <v>150</v>
      </c>
      <c r="G1" s="291" t="s">
        <v>142</v>
      </c>
      <c r="H1" s="291" t="s">
        <v>139</v>
      </c>
      <c r="I1" s="291" t="s">
        <v>73</v>
      </c>
      <c r="J1" s="291" t="s">
        <v>151</v>
      </c>
      <c r="K1" s="291" t="s">
        <v>152</v>
      </c>
      <c r="L1" s="291" t="s">
        <v>153</v>
      </c>
      <c r="M1" s="291" t="s">
        <v>154</v>
      </c>
      <c r="N1" s="291" t="s">
        <v>155</v>
      </c>
      <c r="O1" s="291" t="s">
        <v>156</v>
      </c>
      <c r="P1" s="291" t="s">
        <v>157</v>
      </c>
      <c r="Q1" s="291" t="s">
        <v>158</v>
      </c>
      <c r="R1" s="291" t="s">
        <v>159</v>
      </c>
      <c r="S1" s="291" t="s">
        <v>160</v>
      </c>
      <c r="T1" s="291" t="s">
        <v>161</v>
      </c>
      <c r="U1" s="291" t="s">
        <v>162</v>
      </c>
      <c r="V1" s="292" t="s">
        <v>163</v>
      </c>
      <c r="W1" s="292" t="s">
        <v>484</v>
      </c>
      <c r="X1" s="292" t="s">
        <v>164</v>
      </c>
      <c r="Y1" s="292" t="s">
        <v>165</v>
      </c>
      <c r="Z1" s="460" t="s">
        <v>481</v>
      </c>
      <c r="AA1" s="293" t="s">
        <v>166</v>
      </c>
      <c r="AB1" s="294" t="s">
        <v>482</v>
      </c>
      <c r="AC1" s="291" t="s">
        <v>167</v>
      </c>
      <c r="AD1" s="292" t="s">
        <v>483</v>
      </c>
      <c r="AE1" s="292" t="s">
        <v>168</v>
      </c>
      <c r="AF1" s="291" t="s">
        <v>169</v>
      </c>
      <c r="AG1" s="291" t="s">
        <v>170</v>
      </c>
      <c r="AH1" s="291" t="s">
        <v>171</v>
      </c>
      <c r="AI1" s="292" t="s">
        <v>172</v>
      </c>
      <c r="AJ1" s="295" t="s">
        <v>173</v>
      </c>
      <c r="AK1" s="292" t="s">
        <v>485</v>
      </c>
      <c r="AL1" s="37" t="s">
        <v>106</v>
      </c>
      <c r="AM1" s="37" t="s">
        <v>45</v>
      </c>
      <c r="AN1" s="34" t="s">
        <v>174</v>
      </c>
      <c r="AO1" s="38" t="s">
        <v>175</v>
      </c>
      <c r="AP1" s="35" t="s">
        <v>176</v>
      </c>
      <c r="AQ1" s="303" t="s">
        <v>177</v>
      </c>
      <c r="AS1" s="37" t="s">
        <v>106</v>
      </c>
      <c r="AT1" s="37" t="s">
        <v>45</v>
      </c>
      <c r="AU1" s="37" t="s">
        <v>45</v>
      </c>
      <c r="AV1" s="37" t="s">
        <v>178</v>
      </c>
      <c r="AW1" s="37" t="s">
        <v>177</v>
      </c>
      <c r="AY1" s="141" t="s">
        <v>146</v>
      </c>
      <c r="AZ1" s="140"/>
      <c r="BA1" s="140"/>
      <c r="BB1" s="33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R1" s="41"/>
    </row>
    <row r="2" spans="1:70" ht="33">
      <c r="A2" s="287">
        <v>1</v>
      </c>
      <c r="B2" s="475" t="s">
        <v>709</v>
      </c>
      <c r="C2" s="433" t="s">
        <v>581</v>
      </c>
      <c r="D2" s="298"/>
      <c r="E2" s="44"/>
      <c r="F2" s="42"/>
      <c r="G2" s="42"/>
      <c r="H2" s="42"/>
      <c r="I2" s="45" t="s">
        <v>186</v>
      </c>
      <c r="J2" s="299">
        <v>0</v>
      </c>
      <c r="K2" s="300">
        <v>0</v>
      </c>
      <c r="L2" s="300">
        <v>0</v>
      </c>
      <c r="M2" s="300">
        <v>265</v>
      </c>
      <c r="N2" s="300">
        <v>873</v>
      </c>
      <c r="O2" s="300">
        <v>2183</v>
      </c>
      <c r="P2" s="300">
        <v>913</v>
      </c>
      <c r="Q2" s="300">
        <v>138</v>
      </c>
      <c r="R2" s="300">
        <v>25</v>
      </c>
      <c r="S2" s="300">
        <v>8</v>
      </c>
      <c r="T2" s="301">
        <v>8</v>
      </c>
      <c r="U2" s="302">
        <v>2</v>
      </c>
      <c r="V2" s="48">
        <v>47046</v>
      </c>
      <c r="W2" s="48">
        <f t="shared" ref="W2:W33" si="0">SUM(J2:U2)</f>
        <v>4415</v>
      </c>
      <c r="X2" s="133">
        <f t="shared" ref="X2:X33" si="1">AVERAGE(S2:U2)</f>
        <v>6</v>
      </c>
      <c r="Y2" s="48">
        <f t="shared" ref="Y2:Y33" si="2">(S2+T2+U2)*V2</f>
        <v>846828</v>
      </c>
      <c r="Z2" s="48">
        <f t="shared" ref="Z2:Z33" si="3">W2*V2</f>
        <v>207708090</v>
      </c>
      <c r="AA2" s="49">
        <f t="shared" ref="AA2:AA33" si="4">Z2/SUM($Z$2:$Z$100)</f>
        <v>3.9875170719652173E-2</v>
      </c>
      <c r="AB2" s="50">
        <f>SUM($AA$2:AA2)</f>
        <v>3.9875170719652173E-2</v>
      </c>
      <c r="AC2" s="45" t="str">
        <f t="shared" ref="AC2:AC33" si="5">IF(AB2&lt;=70%,"A",IF(AB2&lt;=90%,"B","C"))</f>
        <v>A</v>
      </c>
      <c r="AD2" s="48">
        <f t="shared" ref="AD2:AD8" si="6">AVERAGE(M2:S2)</f>
        <v>629.28571428571433</v>
      </c>
      <c r="AE2" s="48">
        <f t="shared" ref="AE2:AE8" si="7">_xlfn.STDEV.S(M2:S2)</f>
        <v>783.06464490183578</v>
      </c>
      <c r="AF2" s="51">
        <f t="shared" ref="AF2:AF33" si="8">IF(AD2=0,0,AE2/AD2)</f>
        <v>1.2443706048383314</v>
      </c>
      <c r="AG2" s="45" t="str">
        <f t="shared" ref="AG2:AG33" si="9">IF(AF2&lt;0.5,"X",IF(AF2&lt;=1,"Y","Z"))</f>
        <v>Z</v>
      </c>
      <c r="AH2" s="45" t="str">
        <f t="shared" ref="AH2:AH33" si="10">AC2&amp;AG2</f>
        <v>AZ</v>
      </c>
      <c r="AI2" s="52">
        <f t="shared" ref="AI2:AI33" si="11">IF(AH2="CZ",0%,IF(AH2="BZ",0%,IF(AH2="CY",5%,IF(I2="사계절",10%,IF(I2="봄",20%,IF(I2="여름",0%,IF(I2="가을",0%,IF(I2="겨울",0%,10%))))))))</f>
        <v>0</v>
      </c>
      <c r="AJ2" s="288" t="str">
        <f t="shared" ref="AJ2:AJ33" si="12">IF(AI2=0,"발주안함","발주")</f>
        <v>발주안함</v>
      </c>
      <c r="AK2" s="307" t="str">
        <f t="shared" ref="AK2:AK33" si="13">IF(AC2="A",IF(AG2="X","AX - 중간재고+월1회(LCL)",IF(AG2="Y","AY - 낮은재고+격주1회","AZ - 중단")),IF(AC2="B",IF(AG2="X","BX - 낮은재고+격월1회",IF(AG2="Y","BY - 최소재고+분기1회","BZ - 중단")),IF(AG2="X","CX - 중단(재고소진만)",IF(AG2="Y","CY - 중단(재고소진만)","CZ - 즉시단종"))))</f>
        <v>AZ - 중단</v>
      </c>
      <c r="AL2" s="306" t="s">
        <v>98</v>
      </c>
      <c r="AM2" s="45">
        <f>COUNTIF(AC:AC,$AL2)</f>
        <v>40</v>
      </c>
      <c r="AN2" s="52" t="e">
        <f>AM2/$AM$5</f>
        <v>#DIV/0!</v>
      </c>
      <c r="AO2" s="53">
        <f>SUMIF(AC:AC,AL2,Z:Z)</f>
        <v>3613975109</v>
      </c>
      <c r="AP2" s="52" t="e">
        <f>AO2/$AO$5</f>
        <v>#DIV/0!</v>
      </c>
      <c r="AQ2" s="304">
        <f>SUM($AO$2:AO2)</f>
        <v>3613975109</v>
      </c>
      <c r="AS2" s="45" t="s">
        <v>98</v>
      </c>
      <c r="AT2" s="149">
        <f>AU2/(SUM($AU$2:$AU$4))</f>
        <v>0.40404040404040403</v>
      </c>
      <c r="AU2" s="309">
        <f>COUNTIF(AC:AC,AS2)</f>
        <v>40</v>
      </c>
      <c r="AV2" s="436">
        <f>SUMIF(AC:AC,AS2,Z:Z)/SUM($Z$2:$Z$100)</f>
        <v>0.69380000773175743</v>
      </c>
      <c r="AW2" s="45" t="s">
        <v>187</v>
      </c>
      <c r="AY2" s="39" t="s">
        <v>106</v>
      </c>
      <c r="AZ2" s="37" t="s">
        <v>45</v>
      </c>
      <c r="BA2" s="34" t="s">
        <v>174</v>
      </c>
      <c r="BB2" s="35" t="s">
        <v>179</v>
      </c>
      <c r="BC2" s="35" t="s">
        <v>176</v>
      </c>
      <c r="BD2" s="34" t="s">
        <v>180</v>
      </c>
      <c r="BE2" s="34" t="s">
        <v>181</v>
      </c>
      <c r="BF2" s="34" t="s">
        <v>182</v>
      </c>
      <c r="BG2" s="34" t="s">
        <v>183</v>
      </c>
      <c r="BH2" s="34" t="s">
        <v>13</v>
      </c>
      <c r="BI2" s="39" t="s">
        <v>184</v>
      </c>
      <c r="BJ2" s="34" t="s">
        <v>183</v>
      </c>
      <c r="BK2" s="39" t="s">
        <v>185</v>
      </c>
      <c r="BL2" s="40"/>
      <c r="BM2" s="36"/>
    </row>
    <row r="3" spans="1:70">
      <c r="A3" s="287">
        <v>3</v>
      </c>
      <c r="B3" s="475" t="s">
        <v>709</v>
      </c>
      <c r="C3" s="434" t="s">
        <v>582</v>
      </c>
      <c r="D3" s="43"/>
      <c r="E3" s="44"/>
      <c r="F3" s="42"/>
      <c r="G3" s="42"/>
      <c r="H3" s="42"/>
      <c r="I3" s="45" t="s">
        <v>186</v>
      </c>
      <c r="J3" s="46">
        <v>0</v>
      </c>
      <c r="K3" s="47">
        <v>0</v>
      </c>
      <c r="L3" s="47">
        <v>0</v>
      </c>
      <c r="M3" s="47">
        <v>268</v>
      </c>
      <c r="N3" s="47">
        <v>1023</v>
      </c>
      <c r="O3" s="47">
        <v>2417</v>
      </c>
      <c r="P3" s="47">
        <v>1106</v>
      </c>
      <c r="Q3" s="47">
        <v>157</v>
      </c>
      <c r="R3" s="47">
        <v>30</v>
      </c>
      <c r="S3" s="47">
        <v>6</v>
      </c>
      <c r="T3" s="30">
        <v>6</v>
      </c>
      <c r="U3" s="29">
        <v>7</v>
      </c>
      <c r="V3" s="48">
        <v>34731</v>
      </c>
      <c r="W3" s="48">
        <f t="shared" si="0"/>
        <v>5020</v>
      </c>
      <c r="X3" s="133">
        <f t="shared" si="1"/>
        <v>6.333333333333333</v>
      </c>
      <c r="Y3" s="48">
        <f t="shared" si="2"/>
        <v>659889</v>
      </c>
      <c r="Z3" s="48">
        <f t="shared" si="3"/>
        <v>174349620</v>
      </c>
      <c r="AA3" s="49">
        <f t="shared" si="4"/>
        <v>3.3471112571525179E-2</v>
      </c>
      <c r="AB3" s="50">
        <f>SUM($AA$2:AA3)</f>
        <v>7.3346283291177344E-2</v>
      </c>
      <c r="AC3" s="45" t="str">
        <f t="shared" si="5"/>
        <v>A</v>
      </c>
      <c r="AD3" s="48">
        <f t="shared" si="6"/>
        <v>715.28571428571433</v>
      </c>
      <c r="AE3" s="48">
        <f t="shared" si="7"/>
        <v>878.22049514642856</v>
      </c>
      <c r="AF3" s="51">
        <f t="shared" si="8"/>
        <v>1.2277897875024963</v>
      </c>
      <c r="AG3" s="45" t="str">
        <f t="shared" si="9"/>
        <v>Z</v>
      </c>
      <c r="AH3" s="45" t="str">
        <f t="shared" si="10"/>
        <v>AZ</v>
      </c>
      <c r="AI3" s="52">
        <f t="shared" si="11"/>
        <v>0</v>
      </c>
      <c r="AJ3" s="289" t="str">
        <f t="shared" si="12"/>
        <v>발주안함</v>
      </c>
      <c r="AK3" s="307" t="str">
        <f t="shared" si="13"/>
        <v>AZ - 중단</v>
      </c>
      <c r="AL3" s="306" t="s">
        <v>97</v>
      </c>
      <c r="AM3" s="45">
        <f>COUNTIF(AC:AC,$AL3)</f>
        <v>28</v>
      </c>
      <c r="AN3" s="52" t="e">
        <f>AM3/$AM$5</f>
        <v>#DIV/0!</v>
      </c>
      <c r="AO3" s="53">
        <f>SUMIF(AC:AC,AL3,Z:Z)</f>
        <v>521010558</v>
      </c>
      <c r="AP3" s="52" t="e">
        <f>AO3/$AO$5</f>
        <v>#DIV/0!</v>
      </c>
      <c r="AQ3" s="304">
        <f>SUM($AO$2:AO3)</f>
        <v>4134985667</v>
      </c>
      <c r="AS3" s="45" t="s">
        <v>96</v>
      </c>
      <c r="AT3" s="149">
        <f>AU3/(SUM($AU$2:$AU$4))</f>
        <v>0.31313131313131315</v>
      </c>
      <c r="AU3" s="309">
        <f>COUNTIF(AC:AC,AS3)</f>
        <v>31</v>
      </c>
      <c r="AV3" s="436">
        <f>SUMIF(AC:AC,AS3,Z:Z)/SUM($Z$2:$Z$100)</f>
        <v>0.20617796160496293</v>
      </c>
      <c r="AW3" s="45" t="s">
        <v>197</v>
      </c>
      <c r="AY3" s="54" t="s">
        <v>109</v>
      </c>
      <c r="AZ3" s="189">
        <f t="shared" ref="AZ3:AZ11" ca="1" si="14">COUNTIF(AH:AH,AY3)</f>
        <v>10</v>
      </c>
      <c r="BA3" s="190">
        <f t="shared" ref="BA3:BA11" ca="1" si="15">AZ3/$AZ$12</f>
        <v>0.10101010101010101</v>
      </c>
      <c r="BB3" s="191">
        <f t="shared" ref="BB3:BB11" ca="1" si="16">SUMIF(AH:AH,AY3,Z:Z)</f>
        <v>859513133</v>
      </c>
      <c r="BC3" s="192">
        <f t="shared" ref="BC3:BC11" ca="1" si="17">BB3/$BB$12</f>
        <v>0.16500673090854626</v>
      </c>
      <c r="BD3" s="55" t="s">
        <v>188</v>
      </c>
      <c r="BE3" s="55" t="s">
        <v>189</v>
      </c>
      <c r="BF3" s="56" t="s">
        <v>190</v>
      </c>
      <c r="BG3" s="56" t="s">
        <v>191</v>
      </c>
      <c r="BH3" s="56" t="s">
        <v>192</v>
      </c>
      <c r="BI3" s="57" t="s">
        <v>193</v>
      </c>
      <c r="BJ3" s="58" t="s">
        <v>194</v>
      </c>
      <c r="BK3" s="55" t="s">
        <v>195</v>
      </c>
      <c r="BL3" s="59" t="str">
        <f t="shared" ref="BL3:BL11" si="18">BI3&amp;"+"&amp;BK3</f>
        <v>1.3~1.7개월+결품=치명</v>
      </c>
    </row>
    <row r="4" spans="1:70">
      <c r="A4" s="287">
        <v>2</v>
      </c>
      <c r="B4" s="475" t="s">
        <v>709</v>
      </c>
      <c r="C4" s="434" t="s">
        <v>583</v>
      </c>
      <c r="D4" s="43"/>
      <c r="E4" s="44"/>
      <c r="F4" s="42"/>
      <c r="G4" s="42"/>
      <c r="H4" s="42"/>
      <c r="I4" s="45" t="s">
        <v>186</v>
      </c>
      <c r="J4" s="46">
        <v>0</v>
      </c>
      <c r="K4" s="47">
        <v>0</v>
      </c>
      <c r="L4" s="47">
        <v>0</v>
      </c>
      <c r="M4" s="47">
        <v>299</v>
      </c>
      <c r="N4" s="47">
        <v>1082</v>
      </c>
      <c r="O4" s="47">
        <v>2687</v>
      </c>
      <c r="P4" s="47">
        <v>1164</v>
      </c>
      <c r="Q4" s="47">
        <v>307</v>
      </c>
      <c r="R4" s="47">
        <v>61</v>
      </c>
      <c r="S4" s="47">
        <v>15</v>
      </c>
      <c r="T4" s="30">
        <v>6</v>
      </c>
      <c r="U4" s="29">
        <v>13</v>
      </c>
      <c r="V4" s="48">
        <v>29637</v>
      </c>
      <c r="W4" s="48">
        <f t="shared" si="0"/>
        <v>5634</v>
      </c>
      <c r="X4" s="133">
        <f t="shared" si="1"/>
        <v>11.333333333333334</v>
      </c>
      <c r="Y4" s="48">
        <f t="shared" si="2"/>
        <v>1007658</v>
      </c>
      <c r="Z4" s="48">
        <f t="shared" si="3"/>
        <v>166974858</v>
      </c>
      <c r="AA4" s="49">
        <f t="shared" si="4"/>
        <v>3.2055328074316602E-2</v>
      </c>
      <c r="AB4" s="50">
        <f>SUM($AA$2:AA4)</f>
        <v>0.10540161136549395</v>
      </c>
      <c r="AC4" s="45" t="str">
        <f t="shared" si="5"/>
        <v>A</v>
      </c>
      <c r="AD4" s="48">
        <f t="shared" si="6"/>
        <v>802.14285714285711</v>
      </c>
      <c r="AE4" s="48">
        <f t="shared" si="7"/>
        <v>951.24066856070112</v>
      </c>
      <c r="AF4" s="51">
        <f t="shared" si="8"/>
        <v>1.1858743864514529</v>
      </c>
      <c r="AG4" s="45" t="str">
        <f t="shared" si="9"/>
        <v>Z</v>
      </c>
      <c r="AH4" s="45" t="str">
        <f t="shared" si="10"/>
        <v>AZ</v>
      </c>
      <c r="AI4" s="52">
        <f t="shared" si="11"/>
        <v>0</v>
      </c>
      <c r="AJ4" s="289" t="str">
        <f t="shared" si="12"/>
        <v>발주안함</v>
      </c>
      <c r="AK4" s="307" t="str">
        <f t="shared" si="13"/>
        <v>AZ - 중단</v>
      </c>
      <c r="AL4" s="306" t="s">
        <v>96</v>
      </c>
      <c r="AM4" s="45">
        <f>COUNTIF(AC:AC,$AL4)</f>
        <v>31</v>
      </c>
      <c r="AN4" s="52" t="e">
        <f>AM4/$AM$5</f>
        <v>#DIV/0!</v>
      </c>
      <c r="AO4" s="53">
        <f>SUMIF(AC:AC,AL4,Z:Z)</f>
        <v>1073972345</v>
      </c>
      <c r="AP4" s="52" t="e">
        <f>AO4/$AO$5</f>
        <v>#DIV/0!</v>
      </c>
      <c r="AQ4" s="304">
        <f>SUM($AO$2:AO4)</f>
        <v>5208958012</v>
      </c>
      <c r="AS4" s="45" t="s">
        <v>97</v>
      </c>
      <c r="AT4" s="149">
        <f>AU4/(SUM($AU$2:$AU$4))</f>
        <v>0.28282828282828282</v>
      </c>
      <c r="AU4" s="309">
        <f>COUNTIF(AC:AC,AS4)</f>
        <v>28</v>
      </c>
      <c r="AV4" s="436">
        <f>SUMIF(AC:AC,AS4,Z:Z)/SUM($Z$2:$Z$100)</f>
        <v>0.10002203066327961</v>
      </c>
      <c r="AW4" s="45" t="s">
        <v>196</v>
      </c>
      <c r="AY4" s="54" t="s">
        <v>114</v>
      </c>
      <c r="AZ4" s="189">
        <f t="shared" ca="1" si="14"/>
        <v>16</v>
      </c>
      <c r="BA4" s="190">
        <f t="shared" ca="1" si="15"/>
        <v>0.16161616161616163</v>
      </c>
      <c r="BB4" s="191">
        <f t="shared" ca="1" si="16"/>
        <v>1048651851</v>
      </c>
      <c r="BC4" s="192">
        <f t="shared" ca="1" si="17"/>
        <v>0.20131700977128167</v>
      </c>
      <c r="BD4" s="55" t="s">
        <v>188</v>
      </c>
      <c r="BE4" s="55" t="s">
        <v>198</v>
      </c>
      <c r="BF4" s="56" t="s">
        <v>199</v>
      </c>
      <c r="BG4" s="56" t="s">
        <v>200</v>
      </c>
      <c r="BH4" s="56" t="s">
        <v>201</v>
      </c>
      <c r="BI4" s="57" t="s">
        <v>202</v>
      </c>
      <c r="BJ4" s="58" t="s">
        <v>203</v>
      </c>
      <c r="BK4" s="55" t="s">
        <v>204</v>
      </c>
      <c r="BL4" s="59" t="str">
        <f t="shared" si="18"/>
        <v>1.7~2.3개월+시즌 가중</v>
      </c>
    </row>
    <row r="5" spans="1:70">
      <c r="A5" s="287">
        <v>7</v>
      </c>
      <c r="B5" s="475" t="s">
        <v>709</v>
      </c>
      <c r="C5" s="434" t="s">
        <v>584</v>
      </c>
      <c r="D5" s="43"/>
      <c r="E5" s="44"/>
      <c r="F5" s="42"/>
      <c r="G5" s="42"/>
      <c r="H5" s="42"/>
      <c r="I5" s="45" t="s">
        <v>186</v>
      </c>
      <c r="J5" s="46">
        <v>0</v>
      </c>
      <c r="K5" s="47">
        <v>0</v>
      </c>
      <c r="L5" s="47">
        <v>0</v>
      </c>
      <c r="M5" s="47">
        <v>249</v>
      </c>
      <c r="N5" s="47">
        <v>846</v>
      </c>
      <c r="O5" s="47">
        <v>5379</v>
      </c>
      <c r="P5" s="47">
        <v>1250</v>
      </c>
      <c r="Q5" s="47">
        <v>282</v>
      </c>
      <c r="R5" s="47">
        <v>56</v>
      </c>
      <c r="S5" s="47">
        <v>10</v>
      </c>
      <c r="T5" s="30">
        <v>4</v>
      </c>
      <c r="U5" s="29">
        <v>8</v>
      </c>
      <c r="V5" s="48">
        <v>18313</v>
      </c>
      <c r="W5" s="48">
        <f t="shared" si="0"/>
        <v>8084</v>
      </c>
      <c r="X5" s="133">
        <f t="shared" si="1"/>
        <v>7.333333333333333</v>
      </c>
      <c r="Y5" s="48">
        <f t="shared" si="2"/>
        <v>402886</v>
      </c>
      <c r="Z5" s="48">
        <f t="shared" si="3"/>
        <v>148042292</v>
      </c>
      <c r="AA5" s="49">
        <f t="shared" si="4"/>
        <v>2.8420711332084358E-2</v>
      </c>
      <c r="AB5" s="50">
        <f>SUM($AA$2:AA5)</f>
        <v>0.13382232269757829</v>
      </c>
      <c r="AC5" s="45" t="str">
        <f t="shared" si="5"/>
        <v>A</v>
      </c>
      <c r="AD5" s="48">
        <f t="shared" si="6"/>
        <v>1153.1428571428571</v>
      </c>
      <c r="AE5" s="48">
        <f t="shared" si="7"/>
        <v>1916.9615218335698</v>
      </c>
      <c r="AF5" s="51">
        <f t="shared" si="8"/>
        <v>1.662379912392838</v>
      </c>
      <c r="AG5" s="45" t="str">
        <f t="shared" si="9"/>
        <v>Z</v>
      </c>
      <c r="AH5" s="45" t="str">
        <f t="shared" si="10"/>
        <v>AZ</v>
      </c>
      <c r="AI5" s="52">
        <f t="shared" si="11"/>
        <v>0</v>
      </c>
      <c r="AJ5" s="289" t="str">
        <f t="shared" si="12"/>
        <v>발주안함</v>
      </c>
      <c r="AK5" s="307" t="str">
        <f t="shared" si="13"/>
        <v>AZ - 중단</v>
      </c>
      <c r="AL5" s="287"/>
      <c r="AM5" s="42"/>
      <c r="AN5" s="42"/>
      <c r="AO5" s="48"/>
      <c r="AP5" s="48"/>
      <c r="AQ5" s="305"/>
      <c r="AY5" s="54" t="s">
        <v>118</v>
      </c>
      <c r="AZ5" s="189">
        <f t="shared" ca="1" si="14"/>
        <v>14</v>
      </c>
      <c r="BA5" s="190">
        <f t="shared" ca="1" si="15"/>
        <v>0.14141414141414141</v>
      </c>
      <c r="BB5" s="191">
        <f t="shared" ca="1" si="16"/>
        <v>1705810125</v>
      </c>
      <c r="BC5" s="192">
        <f t="shared" ca="1" si="17"/>
        <v>0.32747626705192956</v>
      </c>
      <c r="BD5" s="55" t="s">
        <v>188</v>
      </c>
      <c r="BE5" s="55" t="s">
        <v>205</v>
      </c>
      <c r="BF5" s="56" t="s">
        <v>206</v>
      </c>
      <c r="BG5" s="56" t="s">
        <v>207</v>
      </c>
      <c r="BH5" s="56">
        <v>1</v>
      </c>
      <c r="BI5" s="57" t="s">
        <v>208</v>
      </c>
      <c r="BJ5" s="58" t="s">
        <v>209</v>
      </c>
      <c r="BK5" s="55" t="s">
        <v>210</v>
      </c>
      <c r="BL5" s="59" t="str">
        <f t="shared" si="18"/>
        <v>2.0~3.0개월+기획 반영</v>
      </c>
    </row>
    <row r="6" spans="1:70">
      <c r="A6" s="287">
        <v>8</v>
      </c>
      <c r="B6" s="475" t="s">
        <v>709</v>
      </c>
      <c r="C6" s="434" t="s">
        <v>585</v>
      </c>
      <c r="D6" s="43"/>
      <c r="E6" s="44"/>
      <c r="F6" s="42"/>
      <c r="G6" s="42"/>
      <c r="H6" s="42"/>
      <c r="I6" s="45" t="s">
        <v>186</v>
      </c>
      <c r="J6" s="46">
        <v>0</v>
      </c>
      <c r="K6" s="47">
        <v>0</v>
      </c>
      <c r="L6" s="47">
        <v>0</v>
      </c>
      <c r="M6" s="47">
        <v>264</v>
      </c>
      <c r="N6" s="47">
        <v>835</v>
      </c>
      <c r="O6" s="47">
        <v>1950</v>
      </c>
      <c r="P6" s="47">
        <v>818</v>
      </c>
      <c r="Q6" s="47">
        <v>204</v>
      </c>
      <c r="R6" s="47">
        <v>33</v>
      </c>
      <c r="S6" s="47">
        <v>8</v>
      </c>
      <c r="T6" s="30">
        <v>5</v>
      </c>
      <c r="U6" s="29">
        <v>3</v>
      </c>
      <c r="V6" s="48">
        <v>35416</v>
      </c>
      <c r="W6" s="48">
        <f t="shared" si="0"/>
        <v>4120</v>
      </c>
      <c r="X6" s="133">
        <f t="shared" si="1"/>
        <v>5.333333333333333</v>
      </c>
      <c r="Y6" s="48">
        <f t="shared" si="2"/>
        <v>566656</v>
      </c>
      <c r="Z6" s="48">
        <f t="shared" si="3"/>
        <v>145913920</v>
      </c>
      <c r="AA6" s="49">
        <f t="shared" si="4"/>
        <v>2.8012112914685555E-2</v>
      </c>
      <c r="AB6" s="50">
        <f>SUM($AA$2:AA6)</f>
        <v>0.16183443561226385</v>
      </c>
      <c r="AC6" s="45" t="str">
        <f t="shared" si="5"/>
        <v>A</v>
      </c>
      <c r="AD6" s="48">
        <f t="shared" si="6"/>
        <v>587.42857142857144</v>
      </c>
      <c r="AE6" s="48">
        <f t="shared" si="7"/>
        <v>691.11114811412131</v>
      </c>
      <c r="AF6" s="51">
        <f t="shared" si="8"/>
        <v>1.1765024408557512</v>
      </c>
      <c r="AG6" s="45" t="str">
        <f t="shared" si="9"/>
        <v>Z</v>
      </c>
      <c r="AH6" s="45" t="str">
        <f t="shared" si="10"/>
        <v>AZ</v>
      </c>
      <c r="AI6" s="52">
        <f t="shared" si="11"/>
        <v>0</v>
      </c>
      <c r="AJ6" s="289" t="str">
        <f t="shared" si="12"/>
        <v>발주안함</v>
      </c>
      <c r="AK6" s="307" t="str">
        <f t="shared" si="13"/>
        <v>AZ - 중단</v>
      </c>
      <c r="AS6" s="183" t="s">
        <v>218</v>
      </c>
      <c r="AY6" s="54" t="s">
        <v>121</v>
      </c>
      <c r="AZ6" s="189">
        <f t="shared" ca="1" si="14"/>
        <v>6</v>
      </c>
      <c r="BA6" s="190">
        <f t="shared" ca="1" si="15"/>
        <v>6.0606060606060608E-2</v>
      </c>
      <c r="BB6" s="191">
        <f t="shared" ca="1" si="16"/>
        <v>222637356</v>
      </c>
      <c r="BC6" s="193">
        <f t="shared" ca="1" si="17"/>
        <v>4.2741246039439185E-2</v>
      </c>
      <c r="BD6" s="55" t="s">
        <v>211</v>
      </c>
      <c r="BE6" s="55" t="s">
        <v>212</v>
      </c>
      <c r="BF6" s="56" t="s">
        <v>213</v>
      </c>
      <c r="BG6" s="56" t="s">
        <v>214</v>
      </c>
      <c r="BH6" s="56">
        <v>0.3</v>
      </c>
      <c r="BI6" s="57" t="s">
        <v>215</v>
      </c>
      <c r="BJ6" s="58" t="s">
        <v>216</v>
      </c>
      <c r="BK6" s="55" t="s">
        <v>217</v>
      </c>
      <c r="BL6" s="59" t="str">
        <f t="shared" si="18"/>
        <v>1.3개월+자동 계산</v>
      </c>
    </row>
    <row r="7" spans="1:70">
      <c r="A7" s="287">
        <v>6</v>
      </c>
      <c r="B7" s="475" t="s">
        <v>709</v>
      </c>
      <c r="C7" s="434" t="s">
        <v>586</v>
      </c>
      <c r="D7" s="43"/>
      <c r="E7" s="44"/>
      <c r="F7" s="42"/>
      <c r="G7" s="42"/>
      <c r="H7" s="42"/>
      <c r="I7" s="45" t="s">
        <v>186</v>
      </c>
      <c r="J7" s="46">
        <v>0</v>
      </c>
      <c r="K7" s="47">
        <v>0</v>
      </c>
      <c r="L7" s="47">
        <v>0</v>
      </c>
      <c r="M7" s="47">
        <v>256</v>
      </c>
      <c r="N7" s="47">
        <v>1114</v>
      </c>
      <c r="O7" s="47">
        <v>7793</v>
      </c>
      <c r="P7" s="47">
        <v>929</v>
      </c>
      <c r="Q7" s="47">
        <v>155</v>
      </c>
      <c r="R7" s="47">
        <v>26</v>
      </c>
      <c r="S7" s="47">
        <v>4</v>
      </c>
      <c r="T7" s="30">
        <v>6</v>
      </c>
      <c r="U7" s="29">
        <v>5</v>
      </c>
      <c r="V7" s="48">
        <v>14046</v>
      </c>
      <c r="W7" s="48">
        <f t="shared" si="0"/>
        <v>10288</v>
      </c>
      <c r="X7" s="133">
        <f t="shared" si="1"/>
        <v>5</v>
      </c>
      <c r="Y7" s="48">
        <f t="shared" si="2"/>
        <v>210690</v>
      </c>
      <c r="Z7" s="48">
        <f t="shared" si="3"/>
        <v>144505248</v>
      </c>
      <c r="AA7" s="49">
        <f t="shared" si="4"/>
        <v>2.7741680325911601E-2</v>
      </c>
      <c r="AB7" s="50">
        <f>SUM($AA$2:AA7)</f>
        <v>0.18957611593817544</v>
      </c>
      <c r="AC7" s="45" t="str">
        <f t="shared" si="5"/>
        <v>A</v>
      </c>
      <c r="AD7" s="48">
        <f t="shared" si="6"/>
        <v>1468.1428571428571</v>
      </c>
      <c r="AE7" s="48">
        <f t="shared" si="7"/>
        <v>2823.621635923826</v>
      </c>
      <c r="AF7" s="51">
        <f t="shared" si="8"/>
        <v>1.9232608204210162</v>
      </c>
      <c r="AG7" s="45" t="str">
        <f t="shared" si="9"/>
        <v>Z</v>
      </c>
      <c r="AH7" s="45" t="str">
        <f t="shared" si="10"/>
        <v>AZ</v>
      </c>
      <c r="AI7" s="52">
        <f t="shared" si="11"/>
        <v>0</v>
      </c>
      <c r="AJ7" s="289" t="str">
        <f t="shared" si="12"/>
        <v>발주안함</v>
      </c>
      <c r="AK7" s="307" t="str">
        <f t="shared" si="13"/>
        <v>AZ - 중단</v>
      </c>
      <c r="AS7" s="180" t="s">
        <v>223</v>
      </c>
      <c r="AT7" s="147" t="s">
        <v>224</v>
      </c>
      <c r="AU7" s="181" t="s">
        <v>225</v>
      </c>
      <c r="AY7" s="54" t="s">
        <v>124</v>
      </c>
      <c r="AZ7" s="194">
        <f t="shared" ca="1" si="14"/>
        <v>16</v>
      </c>
      <c r="BA7" s="192">
        <f t="shared" ca="1" si="15"/>
        <v>0.16161616161616163</v>
      </c>
      <c r="BB7" s="191">
        <f t="shared" ca="1" si="16"/>
        <v>560144125</v>
      </c>
      <c r="BC7" s="193">
        <f t="shared" ca="1" si="17"/>
        <v>0.10753477446153006</v>
      </c>
      <c r="BD7" s="55" t="s">
        <v>211</v>
      </c>
      <c r="BE7" s="55" t="s">
        <v>198</v>
      </c>
      <c r="BF7" s="56" t="s">
        <v>219</v>
      </c>
      <c r="BG7" s="56" t="s">
        <v>220</v>
      </c>
      <c r="BH7" s="56">
        <v>0.5</v>
      </c>
      <c r="BI7" s="57" t="s">
        <v>221</v>
      </c>
      <c r="BJ7" s="58" t="s">
        <v>203</v>
      </c>
      <c r="BK7" s="55" t="s">
        <v>222</v>
      </c>
      <c r="BL7" s="59" t="str">
        <f t="shared" si="18"/>
        <v>2.0개월+추세 확인</v>
      </c>
    </row>
    <row r="8" spans="1:70">
      <c r="A8" s="287">
        <v>9</v>
      </c>
      <c r="B8" s="475" t="s">
        <v>709</v>
      </c>
      <c r="C8" s="434" t="s">
        <v>587</v>
      </c>
      <c r="D8" s="43"/>
      <c r="E8" s="44"/>
      <c r="F8" s="42"/>
      <c r="G8" s="42"/>
      <c r="H8" s="42"/>
      <c r="I8" s="45" t="s">
        <v>186</v>
      </c>
      <c r="J8" s="46">
        <v>0</v>
      </c>
      <c r="K8" s="47">
        <v>0</v>
      </c>
      <c r="L8" s="47">
        <v>0</v>
      </c>
      <c r="M8" s="47">
        <v>319</v>
      </c>
      <c r="N8" s="47">
        <v>1023</v>
      </c>
      <c r="O8" s="47">
        <v>6529</v>
      </c>
      <c r="P8" s="47">
        <v>1253</v>
      </c>
      <c r="Q8" s="47">
        <v>249</v>
      </c>
      <c r="R8" s="47">
        <v>48</v>
      </c>
      <c r="S8" s="47">
        <v>10</v>
      </c>
      <c r="T8" s="30">
        <v>3</v>
      </c>
      <c r="U8" s="29">
        <v>5</v>
      </c>
      <c r="V8" s="48">
        <v>14434</v>
      </c>
      <c r="W8" s="48">
        <f t="shared" si="0"/>
        <v>9439</v>
      </c>
      <c r="X8" s="133">
        <f t="shared" si="1"/>
        <v>6</v>
      </c>
      <c r="Y8" s="48">
        <f t="shared" si="2"/>
        <v>259812</v>
      </c>
      <c r="Z8" s="48">
        <f t="shared" si="3"/>
        <v>136242526</v>
      </c>
      <c r="AA8" s="49">
        <f t="shared" si="4"/>
        <v>2.6155427954330762E-2</v>
      </c>
      <c r="AB8" s="50">
        <f>SUM($AA$2:AA8)</f>
        <v>0.21573154389250621</v>
      </c>
      <c r="AC8" s="45" t="str">
        <f t="shared" si="5"/>
        <v>A</v>
      </c>
      <c r="AD8" s="48">
        <f t="shared" si="6"/>
        <v>1347.2857142857142</v>
      </c>
      <c r="AE8" s="48">
        <f t="shared" si="7"/>
        <v>2334.6767595169513</v>
      </c>
      <c r="AF8" s="51">
        <f t="shared" si="8"/>
        <v>1.7328742780848967</v>
      </c>
      <c r="AG8" s="45" t="str">
        <f t="shared" si="9"/>
        <v>Z</v>
      </c>
      <c r="AH8" s="45" t="str">
        <f t="shared" si="10"/>
        <v>AZ</v>
      </c>
      <c r="AI8" s="52">
        <f t="shared" si="11"/>
        <v>0</v>
      </c>
      <c r="AJ8" s="289" t="str">
        <f t="shared" si="12"/>
        <v>발주안함</v>
      </c>
      <c r="AK8" s="307" t="str">
        <f t="shared" si="13"/>
        <v>AZ - 중단</v>
      </c>
      <c r="AS8" s="180" t="s">
        <v>231</v>
      </c>
      <c r="AT8" s="147" t="s">
        <v>232</v>
      </c>
      <c r="AU8" s="181" t="s">
        <v>233</v>
      </c>
      <c r="AY8" s="61" t="s">
        <v>127</v>
      </c>
      <c r="AZ8" s="195">
        <f t="shared" ca="1" si="14"/>
        <v>9</v>
      </c>
      <c r="BA8" s="196">
        <f t="shared" ca="1" si="15"/>
        <v>9.0909090909090912E-2</v>
      </c>
      <c r="BB8" s="197">
        <f t="shared" ca="1" si="16"/>
        <v>291190864</v>
      </c>
      <c r="BC8" s="196">
        <f t="shared" ca="1" si="17"/>
        <v>5.5901941103993678E-2</v>
      </c>
      <c r="BD8" s="62" t="s">
        <v>211</v>
      </c>
      <c r="BE8" s="62" t="s">
        <v>205</v>
      </c>
      <c r="BF8" s="63" t="s">
        <v>226</v>
      </c>
      <c r="BG8" s="63" t="s">
        <v>227</v>
      </c>
      <c r="BH8" s="63" t="s">
        <v>228</v>
      </c>
      <c r="BI8" s="64" t="s">
        <v>229</v>
      </c>
      <c r="BJ8" s="65" t="s">
        <v>209</v>
      </c>
      <c r="BK8" s="62" t="s">
        <v>230</v>
      </c>
      <c r="BL8" s="66" t="str">
        <f t="shared" si="18"/>
        <v>2.0~2.5개월+과잉 금지</v>
      </c>
    </row>
    <row r="9" spans="1:70">
      <c r="A9" s="287">
        <v>5</v>
      </c>
      <c r="B9" s="475" t="s">
        <v>709</v>
      </c>
      <c r="C9" s="434" t="s">
        <v>588</v>
      </c>
      <c r="D9" s="43"/>
      <c r="E9" s="44"/>
      <c r="F9" s="42"/>
      <c r="G9" s="42"/>
      <c r="H9" s="42"/>
      <c r="I9" s="45" t="s">
        <v>238</v>
      </c>
      <c r="J9" s="46">
        <v>991</v>
      </c>
      <c r="K9" s="47">
        <v>1364</v>
      </c>
      <c r="L9" s="47">
        <v>1158</v>
      </c>
      <c r="M9" s="47">
        <v>1076</v>
      </c>
      <c r="N9" s="47">
        <v>885</v>
      </c>
      <c r="O9" s="47">
        <v>863</v>
      </c>
      <c r="P9" s="47">
        <v>571</v>
      </c>
      <c r="Q9" s="47">
        <v>438</v>
      </c>
      <c r="R9" s="47">
        <v>619</v>
      </c>
      <c r="S9" s="47">
        <v>770</v>
      </c>
      <c r="T9" s="30">
        <v>1022</v>
      </c>
      <c r="U9" s="29">
        <v>1293</v>
      </c>
      <c r="V9" s="48">
        <v>12300</v>
      </c>
      <c r="W9" s="48">
        <f t="shared" si="0"/>
        <v>11050</v>
      </c>
      <c r="X9" s="133">
        <f t="shared" si="1"/>
        <v>1028.3333333333333</v>
      </c>
      <c r="Y9" s="48">
        <f t="shared" si="2"/>
        <v>37945500</v>
      </c>
      <c r="Z9" s="48">
        <f t="shared" si="3"/>
        <v>135915000</v>
      </c>
      <c r="AA9" s="49">
        <f t="shared" si="4"/>
        <v>2.6092550503745548E-2</v>
      </c>
      <c r="AB9" s="50">
        <f>SUM($AA$2:AA9)</f>
        <v>0.24182409439625174</v>
      </c>
      <c r="AC9" s="45" t="str">
        <f t="shared" si="5"/>
        <v>A</v>
      </c>
      <c r="AD9" s="48">
        <f>AVERAGE(J9:U9)</f>
        <v>920.83333333333337</v>
      </c>
      <c r="AE9" s="48">
        <f>_xlfn.STDEV.P(J9:U9)</f>
        <v>274.52711867662345</v>
      </c>
      <c r="AF9" s="51">
        <f t="shared" si="8"/>
        <v>0.2981289976578716</v>
      </c>
      <c r="AG9" s="45" t="str">
        <f t="shared" si="9"/>
        <v>X</v>
      </c>
      <c r="AH9" s="45" t="str">
        <f t="shared" si="10"/>
        <v>AX</v>
      </c>
      <c r="AI9" s="52">
        <f t="shared" si="11"/>
        <v>0.1</v>
      </c>
      <c r="AJ9" s="289" t="str">
        <f t="shared" si="12"/>
        <v>발주</v>
      </c>
      <c r="AK9" s="307" t="str">
        <f t="shared" si="13"/>
        <v>AX - 중간재고+월1회(LCL)</v>
      </c>
      <c r="AS9" s="180" t="s">
        <v>239</v>
      </c>
      <c r="AT9" s="147" t="s">
        <v>240</v>
      </c>
      <c r="AU9" s="181" t="s">
        <v>241</v>
      </c>
      <c r="AY9" s="54" t="s">
        <v>129</v>
      </c>
      <c r="AZ9" s="194">
        <f t="shared" ca="1" si="14"/>
        <v>3</v>
      </c>
      <c r="BA9" s="192">
        <f t="shared" ca="1" si="15"/>
        <v>3.0303030303030304E-2</v>
      </c>
      <c r="BB9" s="191">
        <f t="shared" ca="1" si="16"/>
        <v>58022436</v>
      </c>
      <c r="BC9" s="193">
        <f t="shared" ca="1" si="17"/>
        <v>1.1138971722623285E-2</v>
      </c>
      <c r="BD9" s="55" t="s">
        <v>234</v>
      </c>
      <c r="BE9" s="55" t="s">
        <v>212</v>
      </c>
      <c r="BF9" s="56" t="s">
        <v>219</v>
      </c>
      <c r="BG9" s="56" t="s">
        <v>207</v>
      </c>
      <c r="BH9" s="56" t="s">
        <v>235</v>
      </c>
      <c r="BI9" s="57" t="s">
        <v>200</v>
      </c>
      <c r="BJ9" s="58" t="s">
        <v>236</v>
      </c>
      <c r="BK9" s="55" t="s">
        <v>237</v>
      </c>
      <c r="BL9" s="59" t="str">
        <f t="shared" si="18"/>
        <v>1.2~1.5개월+채움용</v>
      </c>
    </row>
    <row r="10" spans="1:70" ht="16.5" customHeight="1">
      <c r="A10" s="287">
        <v>10</v>
      </c>
      <c r="B10" s="475" t="s">
        <v>709</v>
      </c>
      <c r="C10" s="434" t="s">
        <v>589</v>
      </c>
      <c r="D10" s="43"/>
      <c r="E10" s="44"/>
      <c r="F10" s="42"/>
      <c r="G10" s="42"/>
      <c r="H10" s="42"/>
      <c r="I10" s="45" t="s">
        <v>186</v>
      </c>
      <c r="J10" s="46">
        <v>0</v>
      </c>
      <c r="K10" s="47">
        <v>0</v>
      </c>
      <c r="L10" s="47">
        <v>0</v>
      </c>
      <c r="M10" s="47">
        <v>212</v>
      </c>
      <c r="N10" s="47">
        <v>534</v>
      </c>
      <c r="O10" s="47">
        <v>5079</v>
      </c>
      <c r="P10" s="47">
        <v>763</v>
      </c>
      <c r="Q10" s="47">
        <v>144</v>
      </c>
      <c r="R10" s="47">
        <v>34</v>
      </c>
      <c r="S10" s="47">
        <v>6</v>
      </c>
      <c r="T10" s="30">
        <v>2</v>
      </c>
      <c r="U10" s="29">
        <v>3</v>
      </c>
      <c r="V10" s="48">
        <v>19722</v>
      </c>
      <c r="W10" s="48">
        <f t="shared" si="0"/>
        <v>6777</v>
      </c>
      <c r="X10" s="133">
        <f t="shared" si="1"/>
        <v>3.6666666666666665</v>
      </c>
      <c r="Y10" s="48">
        <f t="shared" si="2"/>
        <v>216942</v>
      </c>
      <c r="Z10" s="48">
        <f t="shared" si="3"/>
        <v>133655994</v>
      </c>
      <c r="AA10" s="49">
        <f t="shared" si="4"/>
        <v>2.56588733662459E-2</v>
      </c>
      <c r="AB10" s="50">
        <f>SUM($AA$2:AA10)</f>
        <v>0.26748296776249764</v>
      </c>
      <c r="AC10" s="45" t="str">
        <f t="shared" si="5"/>
        <v>A</v>
      </c>
      <c r="AD10" s="48">
        <f>AVERAGE(M10:S10)</f>
        <v>967.42857142857144</v>
      </c>
      <c r="AE10" s="48">
        <f>_xlfn.STDEV.S(M10:S10)</f>
        <v>1833.8943860123513</v>
      </c>
      <c r="AF10" s="51">
        <f t="shared" si="8"/>
        <v>1.8956380245254665</v>
      </c>
      <c r="AG10" s="45" t="str">
        <f t="shared" si="9"/>
        <v>Z</v>
      </c>
      <c r="AH10" s="45" t="str">
        <f t="shared" si="10"/>
        <v>AZ</v>
      </c>
      <c r="AI10" s="52">
        <f t="shared" si="11"/>
        <v>0</v>
      </c>
      <c r="AJ10" s="289" t="str">
        <f t="shared" si="12"/>
        <v>발주안함</v>
      </c>
      <c r="AK10" s="307" t="str">
        <f t="shared" si="13"/>
        <v>AZ - 중단</v>
      </c>
      <c r="AS10" s="182"/>
      <c r="AY10" s="61" t="s">
        <v>132</v>
      </c>
      <c r="AZ10" s="195">
        <f t="shared" ca="1" si="14"/>
        <v>12</v>
      </c>
      <c r="BA10" s="196">
        <f t="shared" ca="1" si="15"/>
        <v>0.12121212121212122</v>
      </c>
      <c r="BB10" s="197">
        <f t="shared" ca="1" si="16"/>
        <v>228111857</v>
      </c>
      <c r="BC10" s="198">
        <f t="shared" ca="1" si="17"/>
        <v>4.3792224178903598E-2</v>
      </c>
      <c r="BD10" s="62" t="s">
        <v>234</v>
      </c>
      <c r="BE10" s="62" t="s">
        <v>205</v>
      </c>
      <c r="BF10" s="63" t="s">
        <v>242</v>
      </c>
      <c r="BG10" s="63" t="s">
        <v>227</v>
      </c>
      <c r="BH10" s="63" t="s">
        <v>243</v>
      </c>
      <c r="BI10" s="64" t="s">
        <v>244</v>
      </c>
      <c r="BJ10" s="65" t="s">
        <v>209</v>
      </c>
      <c r="BK10" s="62" t="s">
        <v>245</v>
      </c>
      <c r="BL10" s="66" t="str">
        <f t="shared" si="18"/>
        <v>1.5~2.5개월+축소</v>
      </c>
    </row>
    <row r="11" spans="1:70">
      <c r="A11" s="287">
        <v>4</v>
      </c>
      <c r="B11" s="475" t="s">
        <v>709</v>
      </c>
      <c r="C11" s="434" t="s">
        <v>590</v>
      </c>
      <c r="D11" s="43"/>
      <c r="E11" s="44"/>
      <c r="F11" s="42"/>
      <c r="G11" s="42"/>
      <c r="H11" s="42"/>
      <c r="I11" s="45" t="s">
        <v>238</v>
      </c>
      <c r="J11" s="46">
        <v>295</v>
      </c>
      <c r="K11" s="47">
        <v>494</v>
      </c>
      <c r="L11" s="47">
        <v>714</v>
      </c>
      <c r="M11" s="47">
        <v>867</v>
      </c>
      <c r="N11" s="47">
        <v>614</v>
      </c>
      <c r="O11" s="47">
        <v>1031</v>
      </c>
      <c r="P11" s="47">
        <v>531</v>
      </c>
      <c r="Q11" s="47">
        <v>855</v>
      </c>
      <c r="R11" s="47">
        <v>1027</v>
      </c>
      <c r="S11" s="47">
        <v>656</v>
      </c>
      <c r="T11" s="30">
        <v>233</v>
      </c>
      <c r="U11" s="29">
        <v>554</v>
      </c>
      <c r="V11" s="48">
        <v>16641</v>
      </c>
      <c r="W11" s="48">
        <f t="shared" si="0"/>
        <v>7871</v>
      </c>
      <c r="X11" s="133">
        <f t="shared" si="1"/>
        <v>481</v>
      </c>
      <c r="Y11" s="48">
        <f t="shared" si="2"/>
        <v>24012963</v>
      </c>
      <c r="Z11" s="48">
        <f t="shared" si="3"/>
        <v>130981311</v>
      </c>
      <c r="AA11" s="49">
        <f t="shared" si="4"/>
        <v>2.5145395815872437E-2</v>
      </c>
      <c r="AB11" s="50">
        <f>SUM($AA$2:AA11)</f>
        <v>0.29262836357837008</v>
      </c>
      <c r="AC11" s="45" t="str">
        <f t="shared" si="5"/>
        <v>A</v>
      </c>
      <c r="AD11" s="48">
        <f>AVERAGE(J11:U11)</f>
        <v>655.91666666666663</v>
      </c>
      <c r="AE11" s="48">
        <f>_xlfn.STDEV.P(J11:U11)</f>
        <v>246.48172965872249</v>
      </c>
      <c r="AF11" s="51">
        <f t="shared" si="8"/>
        <v>0.37578208053673867</v>
      </c>
      <c r="AG11" s="45" t="str">
        <f t="shared" si="9"/>
        <v>X</v>
      </c>
      <c r="AH11" s="45" t="str">
        <f t="shared" si="10"/>
        <v>AX</v>
      </c>
      <c r="AI11" s="52">
        <f t="shared" si="11"/>
        <v>0.1</v>
      </c>
      <c r="AJ11" s="289" t="str">
        <f t="shared" si="12"/>
        <v>발주</v>
      </c>
      <c r="AK11" s="307" t="str">
        <f t="shared" si="13"/>
        <v>AX - 중간재고+월1회(LCL)</v>
      </c>
      <c r="AL11" s="32" t="s">
        <v>251</v>
      </c>
      <c r="AM11" s="32">
        <f>SUM(AM8:AM10)</f>
        <v>0</v>
      </c>
      <c r="AN11" s="146">
        <f>SUM(AN8:AN10)</f>
        <v>0</v>
      </c>
      <c r="AO11" s="33">
        <f>SUM(AO8:AO10)</f>
        <v>0</v>
      </c>
      <c r="AP11" s="146">
        <f>SUM(AP8:AP10)</f>
        <v>0</v>
      </c>
      <c r="AQ11" s="145">
        <f>SUM($AO$2:AO11)</f>
        <v>5208958012</v>
      </c>
      <c r="AY11" s="61" t="s">
        <v>134</v>
      </c>
      <c r="AZ11" s="195">
        <f t="shared" ca="1" si="14"/>
        <v>13</v>
      </c>
      <c r="BA11" s="196">
        <f t="shared" ca="1" si="15"/>
        <v>0.13131313131313133</v>
      </c>
      <c r="BB11" s="197">
        <f t="shared" ca="1" si="16"/>
        <v>234876265</v>
      </c>
      <c r="BC11" s="198">
        <f t="shared" ca="1" si="17"/>
        <v>4.5090834761752734E-2</v>
      </c>
      <c r="BD11" s="62" t="s">
        <v>246</v>
      </c>
      <c r="BE11" s="62" t="s">
        <v>247</v>
      </c>
      <c r="BF11" s="63" t="s">
        <v>248</v>
      </c>
      <c r="BG11" s="63">
        <v>0</v>
      </c>
      <c r="BH11" s="63">
        <v>0</v>
      </c>
      <c r="BI11" s="64">
        <v>0</v>
      </c>
      <c r="BJ11" s="62" t="s">
        <v>249</v>
      </c>
      <c r="BK11" s="67" t="s">
        <v>250</v>
      </c>
      <c r="BL11" s="66" t="str">
        <f t="shared" si="18"/>
        <v>0+재고 소진만/정리대상</v>
      </c>
    </row>
    <row r="12" spans="1:70">
      <c r="A12" s="287">
        <v>12</v>
      </c>
      <c r="B12" s="475" t="s">
        <v>709</v>
      </c>
      <c r="C12" s="434" t="s">
        <v>591</v>
      </c>
      <c r="D12" s="43"/>
      <c r="E12" s="44"/>
      <c r="F12" s="42"/>
      <c r="G12" s="42"/>
      <c r="H12" s="42"/>
      <c r="I12" s="45" t="s">
        <v>238</v>
      </c>
      <c r="J12" s="46">
        <v>1566</v>
      </c>
      <c r="K12" s="47">
        <v>2477</v>
      </c>
      <c r="L12" s="47">
        <v>2127</v>
      </c>
      <c r="M12" s="47">
        <v>1550</v>
      </c>
      <c r="N12" s="47">
        <v>2679</v>
      </c>
      <c r="O12" s="47">
        <v>3569</v>
      </c>
      <c r="P12" s="47">
        <v>1775</v>
      </c>
      <c r="Q12" s="47">
        <v>802</v>
      </c>
      <c r="R12" s="47">
        <v>1153</v>
      </c>
      <c r="S12" s="47">
        <v>2273</v>
      </c>
      <c r="T12" s="30">
        <v>2156</v>
      </c>
      <c r="U12" s="29">
        <v>2048</v>
      </c>
      <c r="V12" s="48">
        <v>4954</v>
      </c>
      <c r="W12" s="48">
        <f t="shared" si="0"/>
        <v>24175</v>
      </c>
      <c r="X12" s="133">
        <f t="shared" si="1"/>
        <v>2159</v>
      </c>
      <c r="Y12" s="48">
        <f t="shared" si="2"/>
        <v>32087058</v>
      </c>
      <c r="Z12" s="48">
        <f t="shared" si="3"/>
        <v>119762950</v>
      </c>
      <c r="AA12" s="49">
        <f t="shared" si="4"/>
        <v>2.2991728811040377E-2</v>
      </c>
      <c r="AB12" s="50">
        <f>SUM($AA$2:AA12)</f>
        <v>0.31562009238941047</v>
      </c>
      <c r="AC12" s="45" t="str">
        <f t="shared" si="5"/>
        <v>A</v>
      </c>
      <c r="AD12" s="48">
        <f>AVERAGE(J12:U12)</f>
        <v>2014.5833333333333</v>
      </c>
      <c r="AE12" s="48">
        <f>_xlfn.STDEV.P(J12:U12)</f>
        <v>698.75907368388107</v>
      </c>
      <c r="AF12" s="51">
        <f t="shared" si="8"/>
        <v>0.3468504192019265</v>
      </c>
      <c r="AG12" s="45" t="str">
        <f t="shared" si="9"/>
        <v>X</v>
      </c>
      <c r="AH12" s="45" t="str">
        <f t="shared" si="10"/>
        <v>AX</v>
      </c>
      <c r="AI12" s="52">
        <f t="shared" si="11"/>
        <v>0.1</v>
      </c>
      <c r="AJ12" s="289" t="str">
        <f t="shared" si="12"/>
        <v>발주</v>
      </c>
      <c r="AK12" s="307" t="str">
        <f t="shared" si="13"/>
        <v>AX - 중간재고+월1회(LCL)</v>
      </c>
      <c r="AS12" s="177" t="s">
        <v>252</v>
      </c>
      <c r="AY12" s="185" t="s">
        <v>251</v>
      </c>
      <c r="AZ12" s="186">
        <f ca="1">SUM(AZ3:AZ11)</f>
        <v>99</v>
      </c>
      <c r="BA12" s="187">
        <f ca="1">SUM(BA3:BA11)</f>
        <v>1</v>
      </c>
      <c r="BB12" s="188">
        <f ca="1">SUM(BB3:BB11)</f>
        <v>5208958012</v>
      </c>
      <c r="BC12" s="187">
        <f ca="1">SUM(BC3:BC11)</f>
        <v>0.99999999999999989</v>
      </c>
      <c r="BD12" s="147"/>
      <c r="BE12" s="147"/>
      <c r="BF12" s="147"/>
      <c r="BG12" s="147"/>
      <c r="BH12" s="147"/>
      <c r="BI12" s="147"/>
      <c r="BJ12" s="147"/>
      <c r="BK12" s="147"/>
    </row>
    <row r="13" spans="1:70">
      <c r="A13" s="287">
        <v>11</v>
      </c>
      <c r="B13" s="475" t="s">
        <v>709</v>
      </c>
      <c r="C13" s="434" t="s">
        <v>592</v>
      </c>
      <c r="D13" s="43"/>
      <c r="E13" s="44"/>
      <c r="F13" s="42"/>
      <c r="G13" s="42"/>
      <c r="H13" s="42"/>
      <c r="I13" s="45" t="s">
        <v>238</v>
      </c>
      <c r="J13" s="46">
        <v>264</v>
      </c>
      <c r="K13" s="47">
        <v>253</v>
      </c>
      <c r="L13" s="47">
        <v>917</v>
      </c>
      <c r="M13" s="47">
        <v>404</v>
      </c>
      <c r="N13" s="47">
        <v>906</v>
      </c>
      <c r="O13" s="47">
        <v>606</v>
      </c>
      <c r="P13" s="47">
        <v>552</v>
      </c>
      <c r="Q13" s="47">
        <v>900</v>
      </c>
      <c r="R13" s="47">
        <v>644</v>
      </c>
      <c r="S13" s="47">
        <v>541</v>
      </c>
      <c r="T13" s="30">
        <v>537</v>
      </c>
      <c r="U13" s="29">
        <v>611</v>
      </c>
      <c r="V13" s="48">
        <v>15644</v>
      </c>
      <c r="W13" s="48">
        <f t="shared" si="0"/>
        <v>7135</v>
      </c>
      <c r="X13" s="133">
        <f t="shared" si="1"/>
        <v>563</v>
      </c>
      <c r="Y13" s="48">
        <f t="shared" si="2"/>
        <v>26422716</v>
      </c>
      <c r="Z13" s="48">
        <f t="shared" si="3"/>
        <v>111619940</v>
      </c>
      <c r="AA13" s="49">
        <f t="shared" si="4"/>
        <v>2.1428458387043724E-2</v>
      </c>
      <c r="AB13" s="50">
        <f>SUM($AA$2:AA13)</f>
        <v>0.33704855077645418</v>
      </c>
      <c r="AC13" s="45" t="str">
        <f t="shared" si="5"/>
        <v>A</v>
      </c>
      <c r="AD13" s="48">
        <f>AVERAGE(J13:U13)</f>
        <v>594.58333333333337</v>
      </c>
      <c r="AE13" s="48">
        <f>_xlfn.STDEV.P(J13:U13)</f>
        <v>217.43598994237871</v>
      </c>
      <c r="AF13" s="51">
        <f t="shared" si="8"/>
        <v>0.36569472730322977</v>
      </c>
      <c r="AG13" s="45" t="str">
        <f t="shared" si="9"/>
        <v>X</v>
      </c>
      <c r="AH13" s="45" t="str">
        <f t="shared" si="10"/>
        <v>AX</v>
      </c>
      <c r="AI13" s="52">
        <f t="shared" si="11"/>
        <v>0.1</v>
      </c>
      <c r="AJ13" s="289" t="str">
        <f t="shared" si="12"/>
        <v>발주</v>
      </c>
      <c r="AK13" s="307" t="str">
        <f t="shared" si="13"/>
        <v>AX - 중간재고+월1회(LCL)</v>
      </c>
      <c r="AS13" s="199" t="s">
        <v>72</v>
      </c>
      <c r="AT13" s="199" t="s">
        <v>253</v>
      </c>
      <c r="AU13" s="199" t="s">
        <v>254</v>
      </c>
      <c r="AV13" s="199" t="s">
        <v>255</v>
      </c>
      <c r="AY13" s="36"/>
      <c r="AZ13" s="36"/>
      <c r="BA13" s="36"/>
      <c r="BB13" s="68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</row>
    <row r="14" spans="1:70">
      <c r="A14" s="287">
        <v>14</v>
      </c>
      <c r="B14" s="475" t="s">
        <v>709</v>
      </c>
      <c r="C14" s="434" t="s">
        <v>593</v>
      </c>
      <c r="D14" s="43"/>
      <c r="E14" s="44"/>
      <c r="F14" s="42"/>
      <c r="G14" s="42"/>
      <c r="H14" s="42"/>
      <c r="I14" s="45" t="s">
        <v>186</v>
      </c>
      <c r="J14" s="46">
        <v>0</v>
      </c>
      <c r="K14" s="47">
        <v>0</v>
      </c>
      <c r="L14" s="47">
        <v>0</v>
      </c>
      <c r="M14" s="47">
        <v>1059</v>
      </c>
      <c r="N14" s="47">
        <v>3427</v>
      </c>
      <c r="O14" s="47">
        <v>7650</v>
      </c>
      <c r="P14" s="47">
        <v>4237</v>
      </c>
      <c r="Q14" s="47">
        <v>1052</v>
      </c>
      <c r="R14" s="47">
        <v>299</v>
      </c>
      <c r="S14" s="47">
        <v>74</v>
      </c>
      <c r="T14" s="30">
        <v>66</v>
      </c>
      <c r="U14" s="29">
        <v>95</v>
      </c>
      <c r="V14" s="48">
        <v>5907</v>
      </c>
      <c r="W14" s="48">
        <f t="shared" si="0"/>
        <v>17959</v>
      </c>
      <c r="X14" s="133">
        <f t="shared" si="1"/>
        <v>78.333333333333329</v>
      </c>
      <c r="Y14" s="48">
        <f t="shared" si="2"/>
        <v>1388145</v>
      </c>
      <c r="Z14" s="48">
        <f t="shared" si="3"/>
        <v>106083813</v>
      </c>
      <c r="AA14" s="49">
        <f t="shared" si="4"/>
        <v>2.0365649474542166E-2</v>
      </c>
      <c r="AB14" s="50">
        <f>SUM($AA$2:AA14)</f>
        <v>0.35741420025099635</v>
      </c>
      <c r="AC14" s="45" t="str">
        <f t="shared" si="5"/>
        <v>A</v>
      </c>
      <c r="AD14" s="48">
        <f>AVERAGE(M14:S14)</f>
        <v>2542.5714285714284</v>
      </c>
      <c r="AE14" s="48">
        <f>_xlfn.STDEV.S(M14:S14)</f>
        <v>2747.4040387938853</v>
      </c>
      <c r="AF14" s="51">
        <f t="shared" si="8"/>
        <v>1.080561201907922</v>
      </c>
      <c r="AG14" s="45" t="str">
        <f t="shared" si="9"/>
        <v>Z</v>
      </c>
      <c r="AH14" s="45" t="str">
        <f t="shared" si="10"/>
        <v>AZ</v>
      </c>
      <c r="AI14" s="52">
        <f t="shared" si="11"/>
        <v>0</v>
      </c>
      <c r="AJ14" s="289" t="str">
        <f t="shared" si="12"/>
        <v>발주안함</v>
      </c>
      <c r="AK14" s="307" t="str">
        <f t="shared" si="13"/>
        <v>AZ - 중단</v>
      </c>
      <c r="AS14" s="184" t="s">
        <v>256</v>
      </c>
      <c r="AT14" s="148" t="s">
        <v>257</v>
      </c>
      <c r="AU14" s="148" t="s">
        <v>258</v>
      </c>
      <c r="AV14" s="148" t="s">
        <v>259</v>
      </c>
      <c r="AY14" s="36"/>
      <c r="AZ14" s="36"/>
      <c r="BA14" s="36"/>
      <c r="BB14" s="68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69"/>
    </row>
    <row r="15" spans="1:70">
      <c r="A15" s="287">
        <v>13</v>
      </c>
      <c r="B15" s="475" t="s">
        <v>709</v>
      </c>
      <c r="C15" s="434" t="s">
        <v>594</v>
      </c>
      <c r="D15" s="43"/>
      <c r="E15" s="44"/>
      <c r="F15" s="42"/>
      <c r="G15" s="42"/>
      <c r="H15" s="42"/>
      <c r="I15" s="45" t="s">
        <v>238</v>
      </c>
      <c r="J15" s="46">
        <v>288</v>
      </c>
      <c r="K15" s="47">
        <v>333</v>
      </c>
      <c r="L15" s="47">
        <v>540</v>
      </c>
      <c r="M15" s="47">
        <v>366</v>
      </c>
      <c r="N15" s="47">
        <v>228</v>
      </c>
      <c r="O15" s="47">
        <v>154</v>
      </c>
      <c r="P15" s="47">
        <v>81</v>
      </c>
      <c r="Q15" s="47">
        <v>110</v>
      </c>
      <c r="R15" s="47">
        <v>381</v>
      </c>
      <c r="S15" s="47">
        <v>560</v>
      </c>
      <c r="T15" s="30">
        <v>614</v>
      </c>
      <c r="U15" s="29">
        <v>499</v>
      </c>
      <c r="V15" s="48">
        <v>22456</v>
      </c>
      <c r="W15" s="48">
        <f t="shared" si="0"/>
        <v>4154</v>
      </c>
      <c r="X15" s="133">
        <f t="shared" si="1"/>
        <v>557.66666666666663</v>
      </c>
      <c r="Y15" s="48">
        <f t="shared" si="2"/>
        <v>37568888</v>
      </c>
      <c r="Z15" s="48">
        <f t="shared" si="3"/>
        <v>93282224</v>
      </c>
      <c r="AA15" s="49">
        <f t="shared" si="4"/>
        <v>1.7908039148156606E-2</v>
      </c>
      <c r="AB15" s="50">
        <f>SUM($AA$2:AA15)</f>
        <v>0.37532223939915293</v>
      </c>
      <c r="AC15" s="45" t="str">
        <f t="shared" si="5"/>
        <v>A</v>
      </c>
      <c r="AD15" s="48">
        <f>AVERAGE(J15:U15)</f>
        <v>346.16666666666669</v>
      </c>
      <c r="AE15" s="48">
        <f>_xlfn.STDEV.P(J15:U15)</f>
        <v>173.33293269184466</v>
      </c>
      <c r="AF15" s="51">
        <f t="shared" si="8"/>
        <v>0.50072103810836199</v>
      </c>
      <c r="AG15" s="45" t="str">
        <f t="shared" si="9"/>
        <v>Y</v>
      </c>
      <c r="AH15" s="45" t="str">
        <f t="shared" si="10"/>
        <v>AY</v>
      </c>
      <c r="AI15" s="52">
        <f t="shared" si="11"/>
        <v>0.1</v>
      </c>
      <c r="AJ15" s="289" t="str">
        <f t="shared" si="12"/>
        <v>발주</v>
      </c>
      <c r="AK15" s="307" t="str">
        <f t="shared" si="13"/>
        <v>AY - 낮은재고+격주1회</v>
      </c>
      <c r="AS15" s="201" t="s">
        <v>238</v>
      </c>
      <c r="AT15" s="202" t="s">
        <v>260</v>
      </c>
      <c r="AU15" s="202" t="s">
        <v>261</v>
      </c>
      <c r="AV15" s="148" t="s">
        <v>262</v>
      </c>
      <c r="AY15" s="70"/>
      <c r="AZ15" s="36"/>
      <c r="BA15" s="70"/>
      <c r="BB15" s="71"/>
      <c r="BC15" s="70"/>
      <c r="BD15" s="72"/>
      <c r="BE15" s="72"/>
      <c r="BF15" s="72"/>
      <c r="BG15" s="72"/>
      <c r="BH15" s="72"/>
      <c r="BI15" s="72"/>
      <c r="BJ15" s="72"/>
      <c r="BK15" s="73"/>
      <c r="BL15" s="72"/>
      <c r="BM15" s="69"/>
    </row>
    <row r="16" spans="1:70">
      <c r="A16" s="287">
        <v>18</v>
      </c>
      <c r="B16" s="475" t="s">
        <v>709</v>
      </c>
      <c r="C16" s="434" t="s">
        <v>595</v>
      </c>
      <c r="D16" s="43"/>
      <c r="E16" s="44"/>
      <c r="F16" s="42"/>
      <c r="G16" s="42"/>
      <c r="H16" s="42"/>
      <c r="I16" s="45" t="s">
        <v>186</v>
      </c>
      <c r="J16" s="46">
        <v>0</v>
      </c>
      <c r="K16" s="47">
        <v>0</v>
      </c>
      <c r="L16" s="47">
        <v>0</v>
      </c>
      <c r="M16" s="47">
        <v>108</v>
      </c>
      <c r="N16" s="47">
        <v>396</v>
      </c>
      <c r="O16" s="47">
        <v>809</v>
      </c>
      <c r="P16" s="47">
        <v>283</v>
      </c>
      <c r="Q16" s="47">
        <v>56</v>
      </c>
      <c r="R16" s="47">
        <v>8</v>
      </c>
      <c r="S16" s="47">
        <v>5</v>
      </c>
      <c r="T16" s="30">
        <v>2</v>
      </c>
      <c r="U16" s="29">
        <v>4</v>
      </c>
      <c r="V16" s="48">
        <v>52386</v>
      </c>
      <c r="W16" s="48">
        <f t="shared" si="0"/>
        <v>1671</v>
      </c>
      <c r="X16" s="133">
        <f t="shared" si="1"/>
        <v>3.6666666666666665</v>
      </c>
      <c r="Y16" s="48">
        <f t="shared" si="2"/>
        <v>576246</v>
      </c>
      <c r="Z16" s="48">
        <f t="shared" si="3"/>
        <v>87537006</v>
      </c>
      <c r="AA16" s="49">
        <f t="shared" si="4"/>
        <v>1.6805089578057441E-2</v>
      </c>
      <c r="AB16" s="50">
        <f>SUM($AA$2:AA16)</f>
        <v>0.39212732897721037</v>
      </c>
      <c r="AC16" s="45" t="str">
        <f t="shared" si="5"/>
        <v>A</v>
      </c>
      <c r="AD16" s="48">
        <f>AVERAGE(M16:S16)</f>
        <v>237.85714285714286</v>
      </c>
      <c r="AE16" s="48">
        <f>_xlfn.STDEV.S(M16:S16)</f>
        <v>291.61700257439759</v>
      </c>
      <c r="AF16" s="51">
        <f t="shared" si="8"/>
        <v>1.2260174282407106</v>
      </c>
      <c r="AG16" s="45" t="str">
        <f t="shared" si="9"/>
        <v>Z</v>
      </c>
      <c r="AH16" s="45" t="str">
        <f t="shared" si="10"/>
        <v>AZ</v>
      </c>
      <c r="AI16" s="52">
        <f t="shared" si="11"/>
        <v>0</v>
      </c>
      <c r="AJ16" s="289" t="str">
        <f t="shared" si="12"/>
        <v>발주안함</v>
      </c>
      <c r="AK16" s="307" t="str">
        <f t="shared" si="13"/>
        <v>AZ - 중단</v>
      </c>
      <c r="AS16" s="201" t="s">
        <v>186</v>
      </c>
      <c r="AT16" s="202" t="s">
        <v>263</v>
      </c>
      <c r="AU16" s="202" t="s">
        <v>264</v>
      </c>
      <c r="AV16" s="148" t="s">
        <v>262</v>
      </c>
      <c r="AY16" s="70"/>
      <c r="AZ16" s="36"/>
      <c r="BA16" s="70"/>
      <c r="BB16" s="71"/>
      <c r="BC16" s="70"/>
      <c r="BD16" s="72"/>
      <c r="BE16" s="72"/>
      <c r="BF16" s="72"/>
      <c r="BG16" s="72"/>
      <c r="BH16" s="72"/>
      <c r="BI16" s="72"/>
      <c r="BJ16" s="72"/>
      <c r="BK16" s="73"/>
      <c r="BL16" s="72"/>
      <c r="BM16" s="69"/>
    </row>
    <row r="17" spans="1:65">
      <c r="A17" s="287">
        <v>15</v>
      </c>
      <c r="B17" s="475" t="s">
        <v>709</v>
      </c>
      <c r="C17" s="434" t="s">
        <v>596</v>
      </c>
      <c r="D17" s="43"/>
      <c r="E17" s="44"/>
      <c r="F17" s="42"/>
      <c r="G17" s="42"/>
      <c r="H17" s="42"/>
      <c r="I17" s="45" t="s">
        <v>238</v>
      </c>
      <c r="J17" s="46">
        <v>157</v>
      </c>
      <c r="K17" s="47">
        <v>231</v>
      </c>
      <c r="L17" s="47">
        <v>575</v>
      </c>
      <c r="M17" s="47">
        <v>660</v>
      </c>
      <c r="N17" s="47">
        <v>463</v>
      </c>
      <c r="O17" s="47">
        <v>281</v>
      </c>
      <c r="P17" s="47">
        <v>132</v>
      </c>
      <c r="Q17" s="47">
        <v>127</v>
      </c>
      <c r="R17" s="47">
        <v>207</v>
      </c>
      <c r="S17" s="47">
        <v>325</v>
      </c>
      <c r="T17" s="30">
        <v>248</v>
      </c>
      <c r="U17" s="29">
        <v>271</v>
      </c>
      <c r="V17" s="48">
        <v>22456</v>
      </c>
      <c r="W17" s="48">
        <f t="shared" si="0"/>
        <v>3677</v>
      </c>
      <c r="X17" s="133">
        <f t="shared" si="1"/>
        <v>281.33333333333331</v>
      </c>
      <c r="Y17" s="48">
        <f t="shared" si="2"/>
        <v>18952864</v>
      </c>
      <c r="Z17" s="48">
        <f t="shared" si="3"/>
        <v>82570712</v>
      </c>
      <c r="AA17" s="49">
        <f t="shared" si="4"/>
        <v>1.5851675480927259E-2</v>
      </c>
      <c r="AB17" s="50">
        <f>SUM($AA$2:AA17)</f>
        <v>0.40797900445813762</v>
      </c>
      <c r="AC17" s="45" t="str">
        <f t="shared" si="5"/>
        <v>A</v>
      </c>
      <c r="AD17" s="48">
        <f t="shared" ref="AD17:AD22" si="19">AVERAGE(J17:U17)</f>
        <v>306.41666666666669</v>
      </c>
      <c r="AE17" s="48">
        <f t="shared" ref="AE17:AE22" si="20">_xlfn.STDEV.P(J17:U17)</f>
        <v>165.28836333981758</v>
      </c>
      <c r="AF17" s="51">
        <f t="shared" si="8"/>
        <v>0.53942354095126754</v>
      </c>
      <c r="AG17" s="45" t="str">
        <f t="shared" si="9"/>
        <v>Y</v>
      </c>
      <c r="AH17" s="45" t="str">
        <f t="shared" si="10"/>
        <v>AY</v>
      </c>
      <c r="AI17" s="52">
        <f t="shared" si="11"/>
        <v>0.1</v>
      </c>
      <c r="AJ17" s="289" t="str">
        <f t="shared" si="12"/>
        <v>발주</v>
      </c>
      <c r="AK17" s="307" t="str">
        <f t="shared" si="13"/>
        <v>AY - 낮은재고+격주1회</v>
      </c>
      <c r="AS17" s="184" t="s">
        <v>265</v>
      </c>
      <c r="AT17" s="148" t="s">
        <v>266</v>
      </c>
      <c r="AU17" s="148" t="s">
        <v>267</v>
      </c>
      <c r="AV17" s="148" t="s">
        <v>262</v>
      </c>
      <c r="AY17" s="70"/>
      <c r="AZ17" s="36"/>
      <c r="BA17" s="70"/>
      <c r="BB17" s="71"/>
      <c r="BC17" s="70"/>
      <c r="BD17" s="72"/>
      <c r="BE17" s="72"/>
      <c r="BF17" s="72"/>
      <c r="BG17" s="72"/>
      <c r="BH17" s="72"/>
      <c r="BI17" s="72"/>
      <c r="BJ17" s="72"/>
      <c r="BK17" s="73"/>
      <c r="BL17" s="72"/>
      <c r="BM17" s="69"/>
    </row>
    <row r="18" spans="1:65">
      <c r="A18" s="287">
        <v>16</v>
      </c>
      <c r="B18" s="475" t="s">
        <v>709</v>
      </c>
      <c r="C18" s="434" t="s">
        <v>597</v>
      </c>
      <c r="D18" s="43"/>
      <c r="E18" s="44"/>
      <c r="F18" s="42"/>
      <c r="G18" s="42"/>
      <c r="H18" s="42"/>
      <c r="I18" s="45" t="s">
        <v>238</v>
      </c>
      <c r="J18" s="46">
        <v>148</v>
      </c>
      <c r="K18" s="47">
        <v>249</v>
      </c>
      <c r="L18" s="47">
        <v>255</v>
      </c>
      <c r="M18" s="47">
        <v>155</v>
      </c>
      <c r="N18" s="47">
        <v>82</v>
      </c>
      <c r="O18" s="47">
        <v>89</v>
      </c>
      <c r="P18" s="47">
        <v>70</v>
      </c>
      <c r="Q18" s="47">
        <v>82</v>
      </c>
      <c r="R18" s="47">
        <v>126</v>
      </c>
      <c r="S18" s="47">
        <v>32</v>
      </c>
      <c r="T18" s="30">
        <v>17</v>
      </c>
      <c r="U18" s="29">
        <v>81</v>
      </c>
      <c r="V18" s="48">
        <v>56608</v>
      </c>
      <c r="W18" s="48">
        <f t="shared" si="0"/>
        <v>1386</v>
      </c>
      <c r="X18" s="133">
        <f t="shared" si="1"/>
        <v>43.333333333333336</v>
      </c>
      <c r="Y18" s="48">
        <f t="shared" si="2"/>
        <v>7359040</v>
      </c>
      <c r="Z18" s="48">
        <f t="shared" si="3"/>
        <v>78458688</v>
      </c>
      <c r="AA18" s="49">
        <f t="shared" si="4"/>
        <v>1.5062261553894821E-2</v>
      </c>
      <c r="AB18" s="50">
        <f>SUM($AA$2:AA18)</f>
        <v>0.42304126601203246</v>
      </c>
      <c r="AC18" s="45" t="str">
        <f t="shared" si="5"/>
        <v>A</v>
      </c>
      <c r="AD18" s="48">
        <f t="shared" si="19"/>
        <v>115.5</v>
      </c>
      <c r="AE18" s="48">
        <f t="shared" si="20"/>
        <v>72.394175640493813</v>
      </c>
      <c r="AF18" s="51">
        <f t="shared" si="8"/>
        <v>0.62678939948479495</v>
      </c>
      <c r="AG18" s="45" t="str">
        <f t="shared" si="9"/>
        <v>Y</v>
      </c>
      <c r="AH18" s="45" t="str">
        <f t="shared" si="10"/>
        <v>AY</v>
      </c>
      <c r="AI18" s="52">
        <f t="shared" si="11"/>
        <v>0.1</v>
      </c>
      <c r="AJ18" s="289" t="str">
        <f t="shared" si="12"/>
        <v>발주</v>
      </c>
      <c r="AK18" s="307" t="str">
        <f t="shared" si="13"/>
        <v>AY - 낮은재고+격주1회</v>
      </c>
      <c r="AS18" s="201" t="s">
        <v>268</v>
      </c>
      <c r="AT18" s="202" t="s">
        <v>269</v>
      </c>
      <c r="AU18" s="202" t="s">
        <v>270</v>
      </c>
      <c r="AV18" s="200" t="s">
        <v>17</v>
      </c>
      <c r="AY18" s="70"/>
      <c r="AZ18" s="36"/>
      <c r="BA18" s="70"/>
      <c r="BB18" s="71"/>
      <c r="BC18" s="70"/>
      <c r="BD18" s="72"/>
      <c r="BE18" s="72"/>
      <c r="BF18" s="72"/>
      <c r="BG18" s="72"/>
      <c r="BH18" s="72"/>
      <c r="BI18" s="72"/>
      <c r="BJ18" s="72"/>
      <c r="BK18" s="73"/>
      <c r="BL18" s="72"/>
      <c r="BM18" s="69"/>
    </row>
    <row r="19" spans="1:65">
      <c r="A19" s="287">
        <v>17</v>
      </c>
      <c r="B19" s="475" t="s">
        <v>709</v>
      </c>
      <c r="C19" s="434" t="s">
        <v>598</v>
      </c>
      <c r="D19" s="43"/>
      <c r="E19" s="44"/>
      <c r="F19" s="42"/>
      <c r="G19" s="42"/>
      <c r="H19" s="42"/>
      <c r="I19" s="45" t="s">
        <v>238</v>
      </c>
      <c r="J19" s="46">
        <v>268</v>
      </c>
      <c r="K19" s="47">
        <v>541</v>
      </c>
      <c r="L19" s="47">
        <v>892</v>
      </c>
      <c r="M19" s="47">
        <v>419</v>
      </c>
      <c r="N19" s="47">
        <v>270</v>
      </c>
      <c r="O19" s="47">
        <v>150</v>
      </c>
      <c r="P19" s="47">
        <v>86</v>
      </c>
      <c r="Q19" s="47">
        <v>132</v>
      </c>
      <c r="R19" s="47">
        <v>411</v>
      </c>
      <c r="S19" s="47">
        <v>741</v>
      </c>
      <c r="T19" s="30">
        <v>719</v>
      </c>
      <c r="U19" s="29">
        <v>616</v>
      </c>
      <c r="V19" s="48">
        <v>14655</v>
      </c>
      <c r="W19" s="48">
        <f t="shared" si="0"/>
        <v>5245</v>
      </c>
      <c r="X19" s="133">
        <f t="shared" si="1"/>
        <v>692</v>
      </c>
      <c r="Y19" s="48">
        <f t="shared" si="2"/>
        <v>30423780</v>
      </c>
      <c r="Z19" s="48">
        <f t="shared" si="3"/>
        <v>76865475</v>
      </c>
      <c r="AA19" s="49">
        <f t="shared" si="4"/>
        <v>1.4756401342249868E-2</v>
      </c>
      <c r="AB19" s="50">
        <f>SUM($AA$2:AA19)</f>
        <v>0.43779766735428233</v>
      </c>
      <c r="AC19" s="45" t="str">
        <f t="shared" si="5"/>
        <v>A</v>
      </c>
      <c r="AD19" s="48">
        <f t="shared" si="19"/>
        <v>437.08333333333331</v>
      </c>
      <c r="AE19" s="48">
        <f t="shared" si="20"/>
        <v>254.60212696589076</v>
      </c>
      <c r="AF19" s="51">
        <f t="shared" si="8"/>
        <v>0.58250248304874919</v>
      </c>
      <c r="AG19" s="45" t="str">
        <f t="shared" si="9"/>
        <v>Y</v>
      </c>
      <c r="AH19" s="45" t="str">
        <f t="shared" si="10"/>
        <v>AY</v>
      </c>
      <c r="AI19" s="52">
        <f t="shared" si="11"/>
        <v>0.1</v>
      </c>
      <c r="AJ19" s="289" t="str">
        <f t="shared" si="12"/>
        <v>발주</v>
      </c>
      <c r="AK19" s="307" t="str">
        <f t="shared" si="13"/>
        <v>AY - 낮은재고+격주1회</v>
      </c>
      <c r="AY19" s="70"/>
      <c r="AZ19" s="36"/>
      <c r="BA19" s="70"/>
      <c r="BB19" s="71"/>
      <c r="BC19" s="70"/>
      <c r="BD19" s="72"/>
      <c r="BE19" s="72"/>
      <c r="BF19" s="72"/>
      <c r="BG19" s="72"/>
      <c r="BH19" s="72"/>
      <c r="BI19" s="72"/>
      <c r="BJ19" s="72"/>
      <c r="BK19" s="73"/>
      <c r="BL19" s="72"/>
      <c r="BM19" s="69"/>
    </row>
    <row r="20" spans="1:65">
      <c r="A20" s="287">
        <v>19</v>
      </c>
      <c r="B20" s="475" t="s">
        <v>709</v>
      </c>
      <c r="C20" s="434" t="s">
        <v>599</v>
      </c>
      <c r="D20" s="43"/>
      <c r="E20" s="44"/>
      <c r="F20" s="42"/>
      <c r="G20" s="42"/>
      <c r="H20" s="42"/>
      <c r="I20" s="45" t="s">
        <v>238</v>
      </c>
      <c r="J20" s="46">
        <v>248</v>
      </c>
      <c r="K20" s="47">
        <v>358</v>
      </c>
      <c r="L20" s="47">
        <v>463</v>
      </c>
      <c r="M20" s="47">
        <v>313</v>
      </c>
      <c r="N20" s="47">
        <v>181</v>
      </c>
      <c r="O20" s="47">
        <v>133</v>
      </c>
      <c r="P20" s="47">
        <v>100</v>
      </c>
      <c r="Q20" s="47">
        <v>84</v>
      </c>
      <c r="R20" s="47">
        <v>218</v>
      </c>
      <c r="S20" s="47">
        <v>227</v>
      </c>
      <c r="T20" s="30">
        <v>260</v>
      </c>
      <c r="U20" s="29">
        <v>186</v>
      </c>
      <c r="V20" s="48">
        <v>26893</v>
      </c>
      <c r="W20" s="48">
        <f t="shared" si="0"/>
        <v>2771</v>
      </c>
      <c r="X20" s="133">
        <f t="shared" si="1"/>
        <v>224.33333333333334</v>
      </c>
      <c r="Y20" s="48">
        <f t="shared" si="2"/>
        <v>18098989</v>
      </c>
      <c r="Z20" s="48">
        <f t="shared" si="3"/>
        <v>74520503</v>
      </c>
      <c r="AA20" s="49">
        <f t="shared" si="4"/>
        <v>1.4306220712151135E-2</v>
      </c>
      <c r="AB20" s="50">
        <f>SUM($AA$2:AA20)</f>
        <v>0.45210388806643348</v>
      </c>
      <c r="AC20" s="45" t="str">
        <f t="shared" si="5"/>
        <v>A</v>
      </c>
      <c r="AD20" s="48">
        <f t="shared" si="19"/>
        <v>230.91666666666666</v>
      </c>
      <c r="AE20" s="48">
        <f t="shared" si="20"/>
        <v>104.4393431082793</v>
      </c>
      <c r="AF20" s="51">
        <f t="shared" si="8"/>
        <v>0.45228152915891434</v>
      </c>
      <c r="AG20" s="45" t="str">
        <f t="shared" si="9"/>
        <v>X</v>
      </c>
      <c r="AH20" s="45" t="str">
        <f t="shared" si="10"/>
        <v>AX</v>
      </c>
      <c r="AI20" s="52">
        <f t="shared" si="11"/>
        <v>0.1</v>
      </c>
      <c r="AJ20" s="289" t="str">
        <f t="shared" si="12"/>
        <v>발주</v>
      </c>
      <c r="AK20" s="307" t="str">
        <f t="shared" si="13"/>
        <v>AX - 중간재고+월1회(LCL)</v>
      </c>
      <c r="AS20" s="136" t="s">
        <v>105</v>
      </c>
      <c r="AT20" s="138"/>
      <c r="AU20" s="138"/>
      <c r="AV20" s="138"/>
      <c r="AW20" s="136" t="s">
        <v>490</v>
      </c>
      <c r="AX20" s="138"/>
      <c r="AY20" s="138"/>
      <c r="AZ20" s="36"/>
      <c r="BA20" s="70"/>
      <c r="BB20" s="71"/>
      <c r="BC20" s="70"/>
      <c r="BD20" s="72"/>
      <c r="BE20" s="72"/>
      <c r="BF20" s="72"/>
      <c r="BG20" s="72"/>
      <c r="BH20" s="72"/>
      <c r="BI20" s="72"/>
      <c r="BJ20" s="72"/>
      <c r="BK20" s="73"/>
      <c r="BL20" s="72"/>
      <c r="BM20" s="69"/>
    </row>
    <row r="21" spans="1:65" ht="17.25" thickBot="1">
      <c r="A21" s="287">
        <v>20</v>
      </c>
      <c r="B21" s="475" t="s">
        <v>709</v>
      </c>
      <c r="C21" s="434" t="s">
        <v>600</v>
      </c>
      <c r="D21" s="43"/>
      <c r="E21" s="44"/>
      <c r="F21" s="42"/>
      <c r="G21" s="42"/>
      <c r="H21" s="42"/>
      <c r="I21" s="45" t="s">
        <v>238</v>
      </c>
      <c r="J21" s="46">
        <v>243</v>
      </c>
      <c r="K21" s="47">
        <v>587</v>
      </c>
      <c r="L21" s="47">
        <v>658</v>
      </c>
      <c r="M21" s="47">
        <v>295</v>
      </c>
      <c r="N21" s="47">
        <v>180</v>
      </c>
      <c r="O21" s="47">
        <v>113</v>
      </c>
      <c r="P21" s="47">
        <v>51</v>
      </c>
      <c r="Q21" s="47">
        <v>72</v>
      </c>
      <c r="R21" s="47">
        <v>245</v>
      </c>
      <c r="S21" s="47">
        <v>298</v>
      </c>
      <c r="T21" s="30">
        <v>315</v>
      </c>
      <c r="U21" s="29">
        <v>225</v>
      </c>
      <c r="V21" s="48">
        <v>22064</v>
      </c>
      <c r="W21" s="48">
        <f t="shared" si="0"/>
        <v>3282</v>
      </c>
      <c r="X21" s="133">
        <f t="shared" si="1"/>
        <v>279.33333333333331</v>
      </c>
      <c r="Y21" s="48">
        <f t="shared" si="2"/>
        <v>18489632</v>
      </c>
      <c r="Z21" s="48">
        <f t="shared" si="3"/>
        <v>72414048</v>
      </c>
      <c r="AA21" s="49">
        <f t="shared" si="4"/>
        <v>1.3901829854104802E-2</v>
      </c>
      <c r="AB21" s="50">
        <f>SUM($AA$2:AA21)</f>
        <v>0.4660057179205383</v>
      </c>
      <c r="AC21" s="45" t="str">
        <f t="shared" si="5"/>
        <v>A</v>
      </c>
      <c r="AD21" s="48">
        <f t="shared" si="19"/>
        <v>273.5</v>
      </c>
      <c r="AE21" s="48">
        <f t="shared" si="20"/>
        <v>177.39151614437483</v>
      </c>
      <c r="AF21" s="51">
        <f t="shared" si="8"/>
        <v>0.6485978652445149</v>
      </c>
      <c r="AG21" s="45" t="str">
        <f t="shared" si="9"/>
        <v>Y</v>
      </c>
      <c r="AH21" s="45" t="str">
        <f t="shared" si="10"/>
        <v>AY</v>
      </c>
      <c r="AI21" s="52">
        <f t="shared" si="11"/>
        <v>0.1</v>
      </c>
      <c r="AJ21" s="289" t="str">
        <f t="shared" si="12"/>
        <v>발주</v>
      </c>
      <c r="AK21" s="307" t="str">
        <f t="shared" si="13"/>
        <v>AY - 낮은재고+격주1회</v>
      </c>
      <c r="AS21" s="137" t="s">
        <v>106</v>
      </c>
      <c r="AT21" s="137" t="s">
        <v>107</v>
      </c>
      <c r="AU21" s="137" t="s">
        <v>108</v>
      </c>
      <c r="AV21" s="138"/>
      <c r="AW21" s="137" t="s">
        <v>106</v>
      </c>
      <c r="AX21" s="137" t="s">
        <v>107</v>
      </c>
      <c r="AY21" s="137" t="s">
        <v>108</v>
      </c>
      <c r="AZ21" s="36"/>
      <c r="BA21" s="70"/>
      <c r="BB21" s="71"/>
      <c r="BC21" s="70"/>
      <c r="BD21" s="72"/>
      <c r="BE21" s="72"/>
      <c r="BF21" s="72"/>
      <c r="BG21" s="72"/>
      <c r="BH21" s="72"/>
      <c r="BI21" s="72"/>
      <c r="BJ21" s="72"/>
      <c r="BK21" s="73"/>
      <c r="BL21" s="72"/>
      <c r="BM21" s="69"/>
    </row>
    <row r="22" spans="1:65" ht="17.25" thickBot="1">
      <c r="A22" s="287">
        <v>21</v>
      </c>
      <c r="B22" s="475" t="s">
        <v>709</v>
      </c>
      <c r="C22" s="434" t="s">
        <v>601</v>
      </c>
      <c r="D22" s="43"/>
      <c r="E22" s="44"/>
      <c r="F22" s="42"/>
      <c r="G22" s="42"/>
      <c r="H22" s="42"/>
      <c r="I22" s="45" t="s">
        <v>238</v>
      </c>
      <c r="J22" s="46">
        <v>126</v>
      </c>
      <c r="K22" s="47">
        <v>232</v>
      </c>
      <c r="L22" s="47">
        <v>633</v>
      </c>
      <c r="M22" s="47">
        <v>643</v>
      </c>
      <c r="N22" s="47">
        <v>327</v>
      </c>
      <c r="O22" s="47">
        <v>182</v>
      </c>
      <c r="P22" s="47">
        <v>125</v>
      </c>
      <c r="Q22" s="47">
        <v>110</v>
      </c>
      <c r="R22" s="47">
        <v>174</v>
      </c>
      <c r="S22" s="47">
        <v>246</v>
      </c>
      <c r="T22" s="30">
        <v>214</v>
      </c>
      <c r="U22" s="29">
        <v>186</v>
      </c>
      <c r="V22" s="48">
        <v>22456</v>
      </c>
      <c r="W22" s="48">
        <f t="shared" si="0"/>
        <v>3198</v>
      </c>
      <c r="X22" s="133">
        <f t="shared" si="1"/>
        <v>215.33333333333334</v>
      </c>
      <c r="Y22" s="48">
        <f t="shared" si="2"/>
        <v>14506576</v>
      </c>
      <c r="Z22" s="48">
        <f t="shared" si="3"/>
        <v>71814288</v>
      </c>
      <c r="AA22" s="49">
        <f t="shared" si="4"/>
        <v>1.3786689743814353E-2</v>
      </c>
      <c r="AB22" s="50">
        <f>SUM($AA$2:AA22)</f>
        <v>0.47979240766435266</v>
      </c>
      <c r="AC22" s="45" t="str">
        <f t="shared" si="5"/>
        <v>A</v>
      </c>
      <c r="AD22" s="48">
        <f t="shared" si="19"/>
        <v>266.5</v>
      </c>
      <c r="AE22" s="48">
        <f t="shared" si="20"/>
        <v>175.72065900172353</v>
      </c>
      <c r="AF22" s="51">
        <f t="shared" si="8"/>
        <v>0.65936457411528526</v>
      </c>
      <c r="AG22" s="45" t="str">
        <f t="shared" si="9"/>
        <v>Y</v>
      </c>
      <c r="AH22" s="45" t="str">
        <f t="shared" si="10"/>
        <v>AY</v>
      </c>
      <c r="AI22" s="52">
        <f t="shared" si="11"/>
        <v>0.1</v>
      </c>
      <c r="AJ22" s="289" t="str">
        <f t="shared" si="12"/>
        <v>발주</v>
      </c>
      <c r="AK22" s="307" t="str">
        <f t="shared" si="13"/>
        <v>AY - 낮은재고+격주1회</v>
      </c>
      <c r="AS22" s="137" t="s">
        <v>109</v>
      </c>
      <c r="AT22" s="139" t="s">
        <v>110</v>
      </c>
      <c r="AU22" s="139" t="s">
        <v>111</v>
      </c>
      <c r="AV22" s="138"/>
      <c r="AW22" s="137" t="s">
        <v>109</v>
      </c>
      <c r="AX22" s="139" t="s">
        <v>112</v>
      </c>
      <c r="AY22" s="139" t="s">
        <v>113</v>
      </c>
      <c r="AZ22" s="36"/>
      <c r="BA22" s="70"/>
      <c r="BB22" s="71"/>
      <c r="BC22" s="70"/>
      <c r="BD22" s="72"/>
      <c r="BE22" s="72"/>
      <c r="BF22" s="72"/>
      <c r="BG22" s="72"/>
      <c r="BH22" s="72"/>
      <c r="BI22" s="72"/>
      <c r="BJ22" s="72"/>
      <c r="BK22" s="73"/>
      <c r="BL22" s="72"/>
      <c r="BM22" s="69"/>
    </row>
    <row r="23" spans="1:65" ht="17.25" thickBot="1">
      <c r="A23" s="287">
        <v>36</v>
      </c>
      <c r="B23" s="475" t="s">
        <v>709</v>
      </c>
      <c r="C23" s="434" t="s">
        <v>602</v>
      </c>
      <c r="D23" s="43"/>
      <c r="E23" s="44"/>
      <c r="F23" s="42"/>
      <c r="G23" s="42"/>
      <c r="H23" s="42"/>
      <c r="I23" s="45" t="s">
        <v>186</v>
      </c>
      <c r="J23" s="46">
        <v>0</v>
      </c>
      <c r="K23" s="47">
        <v>0</v>
      </c>
      <c r="L23" s="47">
        <v>0</v>
      </c>
      <c r="M23" s="47">
        <v>226</v>
      </c>
      <c r="N23" s="47">
        <v>588</v>
      </c>
      <c r="O23" s="47">
        <v>3322</v>
      </c>
      <c r="P23" s="47">
        <v>2467</v>
      </c>
      <c r="Q23" s="47">
        <v>343</v>
      </c>
      <c r="R23" s="47">
        <v>337</v>
      </c>
      <c r="S23" s="47">
        <v>60</v>
      </c>
      <c r="T23" s="30">
        <v>47</v>
      </c>
      <c r="U23" s="29">
        <v>45</v>
      </c>
      <c r="V23" s="48">
        <v>9649</v>
      </c>
      <c r="W23" s="48">
        <f t="shared" si="0"/>
        <v>7435</v>
      </c>
      <c r="X23" s="133">
        <f t="shared" si="1"/>
        <v>50.666666666666664</v>
      </c>
      <c r="Y23" s="48">
        <f t="shared" si="2"/>
        <v>1466648</v>
      </c>
      <c r="Z23" s="48">
        <f t="shared" si="3"/>
        <v>71740315</v>
      </c>
      <c r="AA23" s="49">
        <f t="shared" si="4"/>
        <v>1.3772488631071731E-2</v>
      </c>
      <c r="AB23" s="50">
        <f>SUM($AA$2:AA23)</f>
        <v>0.49356489629542438</v>
      </c>
      <c r="AC23" s="45" t="str">
        <f t="shared" si="5"/>
        <v>A</v>
      </c>
      <c r="AD23" s="48">
        <f>AVERAGE(M23:S23)</f>
        <v>1049</v>
      </c>
      <c r="AE23" s="48">
        <f>_xlfn.STDEV.S(M23:S23)</f>
        <v>1294.2568008964322</v>
      </c>
      <c r="AF23" s="51">
        <f t="shared" si="8"/>
        <v>1.2338005728278667</v>
      </c>
      <c r="AG23" s="45" t="str">
        <f t="shared" si="9"/>
        <v>Z</v>
      </c>
      <c r="AH23" s="45" t="str">
        <f t="shared" si="10"/>
        <v>AZ</v>
      </c>
      <c r="AI23" s="52">
        <f t="shared" si="11"/>
        <v>0</v>
      </c>
      <c r="AJ23" s="289" t="str">
        <f t="shared" si="12"/>
        <v>발주안함</v>
      </c>
      <c r="AK23" s="307" t="str">
        <f t="shared" si="13"/>
        <v>AZ - 중단</v>
      </c>
      <c r="AS23" s="137" t="s">
        <v>114</v>
      </c>
      <c r="AT23" s="139" t="s">
        <v>112</v>
      </c>
      <c r="AU23" s="139" t="s">
        <v>115</v>
      </c>
      <c r="AV23" s="138"/>
      <c r="AW23" s="137" t="s">
        <v>114</v>
      </c>
      <c r="AX23" s="139" t="s">
        <v>116</v>
      </c>
      <c r="AY23" s="139" t="s">
        <v>117</v>
      </c>
      <c r="AZ23" s="36"/>
      <c r="BA23" s="70"/>
      <c r="BB23" s="71"/>
      <c r="BC23" s="70"/>
      <c r="BD23" s="72"/>
      <c r="BE23" s="72"/>
      <c r="BF23" s="72"/>
      <c r="BG23" s="72"/>
      <c r="BH23" s="72"/>
      <c r="BI23" s="72"/>
      <c r="BJ23" s="72"/>
      <c r="BK23" s="73"/>
      <c r="BL23" s="72"/>
    </row>
    <row r="24" spans="1:65" ht="17.25" thickBot="1">
      <c r="A24" s="287">
        <v>23</v>
      </c>
      <c r="B24" s="475" t="s">
        <v>709</v>
      </c>
      <c r="C24" s="434" t="s">
        <v>603</v>
      </c>
      <c r="D24" s="43"/>
      <c r="E24" s="44"/>
      <c r="F24" s="42"/>
      <c r="G24" s="42"/>
      <c r="H24" s="42"/>
      <c r="I24" s="45" t="s">
        <v>238</v>
      </c>
      <c r="J24" s="46">
        <v>253</v>
      </c>
      <c r="K24" s="47">
        <v>313</v>
      </c>
      <c r="L24" s="47">
        <v>373</v>
      </c>
      <c r="M24" s="47">
        <v>235</v>
      </c>
      <c r="N24" s="47">
        <v>152</v>
      </c>
      <c r="O24" s="47">
        <v>104</v>
      </c>
      <c r="P24" s="47">
        <v>63</v>
      </c>
      <c r="Q24" s="47">
        <v>74</v>
      </c>
      <c r="R24" s="47">
        <v>221</v>
      </c>
      <c r="S24" s="47">
        <v>308</v>
      </c>
      <c r="T24" s="30">
        <v>354</v>
      </c>
      <c r="U24" s="29">
        <v>396</v>
      </c>
      <c r="V24" s="48">
        <v>22456</v>
      </c>
      <c r="W24" s="48">
        <f t="shared" si="0"/>
        <v>2846</v>
      </c>
      <c r="X24" s="133">
        <f t="shared" si="1"/>
        <v>352.66666666666669</v>
      </c>
      <c r="Y24" s="48">
        <f t="shared" si="2"/>
        <v>23758448</v>
      </c>
      <c r="Z24" s="48">
        <f t="shared" si="3"/>
        <v>63909776</v>
      </c>
      <c r="AA24" s="49">
        <f t="shared" si="4"/>
        <v>1.2269205444307582E-2</v>
      </c>
      <c r="AB24" s="50">
        <f>SUM($AA$2:AA24)</f>
        <v>0.50583410173973198</v>
      </c>
      <c r="AC24" s="45" t="str">
        <f t="shared" si="5"/>
        <v>A</v>
      </c>
      <c r="AD24" s="48">
        <f>AVERAGE(J24:U24)</f>
        <v>237.16666666666666</v>
      </c>
      <c r="AE24" s="48">
        <f>_xlfn.STDEV.P(J24:U24)</f>
        <v>112.01103616261311</v>
      </c>
      <c r="AF24" s="51">
        <f t="shared" si="8"/>
        <v>0.47228827615999908</v>
      </c>
      <c r="AG24" s="45" t="str">
        <f t="shared" si="9"/>
        <v>X</v>
      </c>
      <c r="AH24" s="45" t="str">
        <f t="shared" si="10"/>
        <v>AX</v>
      </c>
      <c r="AI24" s="52">
        <f t="shared" si="11"/>
        <v>0.1</v>
      </c>
      <c r="AJ24" s="289" t="str">
        <f t="shared" si="12"/>
        <v>발주</v>
      </c>
      <c r="AK24" s="307" t="str">
        <f t="shared" si="13"/>
        <v>AX - 중간재고+월1회(LCL)</v>
      </c>
      <c r="AS24" s="137" t="s">
        <v>118</v>
      </c>
      <c r="AT24" s="139" t="s">
        <v>116</v>
      </c>
      <c r="AU24" s="139" t="s">
        <v>119</v>
      </c>
      <c r="AV24" s="138"/>
      <c r="AW24" s="137" t="s">
        <v>118</v>
      </c>
      <c r="AX24" s="139" t="s">
        <v>120</v>
      </c>
      <c r="AY24" s="139" t="s">
        <v>17</v>
      </c>
      <c r="AZ24" s="36"/>
      <c r="BA24" s="36"/>
      <c r="BB24" s="68"/>
      <c r="BC24" s="36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65" ht="17.25" thickBot="1">
      <c r="A25" s="287">
        <v>27</v>
      </c>
      <c r="B25" s="475" t="s">
        <v>709</v>
      </c>
      <c r="C25" s="434" t="s">
        <v>604</v>
      </c>
      <c r="D25" s="43"/>
      <c r="E25" s="44"/>
      <c r="F25" s="42"/>
      <c r="G25" s="42"/>
      <c r="H25" s="42"/>
      <c r="I25" s="45" t="s">
        <v>186</v>
      </c>
      <c r="J25" s="46">
        <v>14</v>
      </c>
      <c r="K25" s="47">
        <v>6</v>
      </c>
      <c r="L25" s="47">
        <v>75</v>
      </c>
      <c r="M25" s="47">
        <v>172</v>
      </c>
      <c r="N25" s="47">
        <v>352</v>
      </c>
      <c r="O25" s="47">
        <v>604</v>
      </c>
      <c r="P25" s="47">
        <v>466</v>
      </c>
      <c r="Q25" s="47">
        <v>246</v>
      </c>
      <c r="R25" s="47">
        <v>40</v>
      </c>
      <c r="S25" s="47">
        <v>7</v>
      </c>
      <c r="T25" s="30">
        <v>4</v>
      </c>
      <c r="U25" s="29">
        <v>12</v>
      </c>
      <c r="V25" s="48">
        <v>31724</v>
      </c>
      <c r="W25" s="48">
        <f t="shared" si="0"/>
        <v>1998</v>
      </c>
      <c r="X25" s="133">
        <f t="shared" si="1"/>
        <v>7.666666666666667</v>
      </c>
      <c r="Y25" s="48">
        <f t="shared" si="2"/>
        <v>729652</v>
      </c>
      <c r="Z25" s="48">
        <f t="shared" si="3"/>
        <v>63384552</v>
      </c>
      <c r="AA25" s="49">
        <f t="shared" si="4"/>
        <v>1.2168374529796459E-2</v>
      </c>
      <c r="AB25" s="50">
        <f>SUM($AA$2:AA25)</f>
        <v>0.51800247626952844</v>
      </c>
      <c r="AC25" s="45" t="str">
        <f t="shared" si="5"/>
        <v>A</v>
      </c>
      <c r="AD25" s="48">
        <f>AVERAGE(M25:S25)</f>
        <v>269.57142857142856</v>
      </c>
      <c r="AE25" s="48">
        <f>_xlfn.STDEV.S(M25:S25)</f>
        <v>219.44768331947756</v>
      </c>
      <c r="AF25" s="51">
        <f t="shared" si="8"/>
        <v>0.81406135836584159</v>
      </c>
      <c r="AG25" s="45" t="str">
        <f t="shared" si="9"/>
        <v>Y</v>
      </c>
      <c r="AH25" s="45" t="str">
        <f t="shared" si="10"/>
        <v>AY</v>
      </c>
      <c r="AI25" s="52">
        <f t="shared" si="11"/>
        <v>0</v>
      </c>
      <c r="AJ25" s="289" t="str">
        <f t="shared" si="12"/>
        <v>발주안함</v>
      </c>
      <c r="AK25" s="307" t="str">
        <f t="shared" si="13"/>
        <v>AY - 낮은재고+격주1회</v>
      </c>
      <c r="AS25" s="137" t="s">
        <v>121</v>
      </c>
      <c r="AT25" s="139" t="s">
        <v>112</v>
      </c>
      <c r="AU25" s="139" t="s">
        <v>122</v>
      </c>
      <c r="AV25" s="138"/>
      <c r="AW25" s="137" t="s">
        <v>121</v>
      </c>
      <c r="AX25" s="139" t="s">
        <v>116</v>
      </c>
      <c r="AY25" s="139" t="s">
        <v>123</v>
      </c>
      <c r="AZ25" s="36"/>
      <c r="BA25" s="70"/>
      <c r="BB25" s="71"/>
      <c r="BC25" s="70"/>
      <c r="BD25" s="70"/>
      <c r="BE25" s="70"/>
      <c r="BF25" s="70"/>
      <c r="BG25" s="70"/>
      <c r="BH25" s="70"/>
      <c r="BI25" s="69"/>
      <c r="BJ25" s="70"/>
      <c r="BK25" s="69"/>
      <c r="BL25" s="69"/>
    </row>
    <row r="26" spans="1:65" ht="17.25" thickBot="1">
      <c r="A26" s="287">
        <v>24</v>
      </c>
      <c r="B26" s="475" t="s">
        <v>709</v>
      </c>
      <c r="C26" s="434" t="s">
        <v>605</v>
      </c>
      <c r="D26" s="43"/>
      <c r="E26" s="44"/>
      <c r="F26" s="42"/>
      <c r="G26" s="42"/>
      <c r="H26" s="42"/>
      <c r="I26" s="45" t="s">
        <v>238</v>
      </c>
      <c r="J26" s="46">
        <v>0</v>
      </c>
      <c r="K26" s="47">
        <v>0</v>
      </c>
      <c r="L26" s="47">
        <v>0</v>
      </c>
      <c r="M26" s="47">
        <v>520</v>
      </c>
      <c r="N26" s="47">
        <v>347</v>
      </c>
      <c r="O26" s="47">
        <v>225</v>
      </c>
      <c r="P26" s="47">
        <v>134</v>
      </c>
      <c r="Q26" s="47">
        <v>145</v>
      </c>
      <c r="R26" s="47">
        <v>144</v>
      </c>
      <c r="S26" s="47">
        <v>258</v>
      </c>
      <c r="T26" s="30">
        <v>148</v>
      </c>
      <c r="U26" s="29">
        <v>214</v>
      </c>
      <c r="V26" s="48">
        <v>29447</v>
      </c>
      <c r="W26" s="48">
        <f t="shared" si="0"/>
        <v>2135</v>
      </c>
      <c r="X26" s="133">
        <f t="shared" si="1"/>
        <v>206.66666666666666</v>
      </c>
      <c r="Y26" s="48">
        <f t="shared" si="2"/>
        <v>18257140</v>
      </c>
      <c r="Z26" s="48">
        <f t="shared" si="3"/>
        <v>62869345</v>
      </c>
      <c r="AA26" s="49">
        <f t="shared" si="4"/>
        <v>1.2069466648639978E-2</v>
      </c>
      <c r="AB26" s="50">
        <f>SUM($AA$2:AA26)</f>
        <v>0.53007194291816839</v>
      </c>
      <c r="AC26" s="45" t="str">
        <f t="shared" si="5"/>
        <v>A</v>
      </c>
      <c r="AD26" s="48">
        <f>AVERAGE(J26:U26)</f>
        <v>177.91666666666666</v>
      </c>
      <c r="AE26" s="48">
        <f>_xlfn.STDEV.P(J26:U26)</f>
        <v>145.93460769201465</v>
      </c>
      <c r="AF26" s="51">
        <f t="shared" si="8"/>
        <v>0.82024135470921589</v>
      </c>
      <c r="AG26" s="45" t="str">
        <f t="shared" si="9"/>
        <v>Y</v>
      </c>
      <c r="AH26" s="45" t="str">
        <f t="shared" si="10"/>
        <v>AY</v>
      </c>
      <c r="AI26" s="52">
        <f t="shared" si="11"/>
        <v>0.1</v>
      </c>
      <c r="AJ26" s="289" t="str">
        <f t="shared" si="12"/>
        <v>발주</v>
      </c>
      <c r="AK26" s="307" t="str">
        <f t="shared" si="13"/>
        <v>AY - 낮은재고+격주1회</v>
      </c>
      <c r="AS26" s="137" t="s">
        <v>124</v>
      </c>
      <c r="AT26" s="139" t="s">
        <v>125</v>
      </c>
      <c r="AU26" s="139" t="s">
        <v>123</v>
      </c>
      <c r="AV26" s="138"/>
      <c r="AW26" s="137" t="s">
        <v>124</v>
      </c>
      <c r="AX26" s="139" t="s">
        <v>126</v>
      </c>
      <c r="AY26" s="139" t="s">
        <v>122</v>
      </c>
      <c r="AZ26" s="36"/>
      <c r="BA26" s="70"/>
      <c r="BB26" s="71"/>
      <c r="BC26" s="70"/>
      <c r="BD26" s="70"/>
      <c r="BE26" s="70"/>
      <c r="BF26" s="70"/>
      <c r="BG26" s="70"/>
      <c r="BH26" s="70"/>
      <c r="BI26" s="69"/>
      <c r="BJ26" s="69"/>
      <c r="BK26" s="69"/>
      <c r="BL26" s="69"/>
    </row>
    <row r="27" spans="1:65" ht="17.25" thickBot="1">
      <c r="A27" s="287">
        <v>22</v>
      </c>
      <c r="B27" s="475" t="s">
        <v>709</v>
      </c>
      <c r="C27" s="434" t="s">
        <v>606</v>
      </c>
      <c r="D27" s="43"/>
      <c r="E27" s="44"/>
      <c r="F27" s="42"/>
      <c r="G27" s="42"/>
      <c r="H27" s="42"/>
      <c r="I27" s="45" t="s">
        <v>238</v>
      </c>
      <c r="J27" s="46">
        <v>256</v>
      </c>
      <c r="K27" s="47">
        <v>592</v>
      </c>
      <c r="L27" s="47">
        <v>401</v>
      </c>
      <c r="M27" s="47">
        <v>228</v>
      </c>
      <c r="N27" s="47">
        <v>121</v>
      </c>
      <c r="O27" s="47">
        <v>79</v>
      </c>
      <c r="P27" s="47">
        <v>46</v>
      </c>
      <c r="Q27" s="47">
        <v>109</v>
      </c>
      <c r="R27" s="47">
        <v>207</v>
      </c>
      <c r="S27" s="47">
        <v>273</v>
      </c>
      <c r="T27" s="30">
        <v>288</v>
      </c>
      <c r="U27" s="29">
        <v>246</v>
      </c>
      <c r="V27" s="48">
        <v>22064</v>
      </c>
      <c r="W27" s="48">
        <f t="shared" si="0"/>
        <v>2846</v>
      </c>
      <c r="X27" s="133">
        <f t="shared" si="1"/>
        <v>269</v>
      </c>
      <c r="Y27" s="48">
        <f t="shared" si="2"/>
        <v>17805648</v>
      </c>
      <c r="Z27" s="48">
        <f t="shared" si="3"/>
        <v>62794144</v>
      </c>
      <c r="AA27" s="49">
        <f t="shared" si="4"/>
        <v>1.2055029788172538E-2</v>
      </c>
      <c r="AB27" s="50">
        <f>SUM($AA$2:AA27)</f>
        <v>0.54212697270634091</v>
      </c>
      <c r="AC27" s="45" t="str">
        <f t="shared" si="5"/>
        <v>A</v>
      </c>
      <c r="AD27" s="48">
        <f>AVERAGE(J27:U27)</f>
        <v>237.16666666666666</v>
      </c>
      <c r="AE27" s="48">
        <f>_xlfn.STDEV.P(J27:U27)</f>
        <v>144.20057404724696</v>
      </c>
      <c r="AF27" s="51">
        <f t="shared" si="8"/>
        <v>0.60801366428916503</v>
      </c>
      <c r="AG27" s="45" t="str">
        <f t="shared" si="9"/>
        <v>Y</v>
      </c>
      <c r="AH27" s="45" t="str">
        <f t="shared" si="10"/>
        <v>AY</v>
      </c>
      <c r="AI27" s="52">
        <f t="shared" si="11"/>
        <v>0.1</v>
      </c>
      <c r="AJ27" s="289" t="str">
        <f t="shared" si="12"/>
        <v>발주</v>
      </c>
      <c r="AK27" s="307" t="str">
        <f t="shared" si="13"/>
        <v>AY - 낮은재고+격주1회</v>
      </c>
      <c r="AS27" s="137" t="s">
        <v>127</v>
      </c>
      <c r="AT27" s="139" t="s">
        <v>116</v>
      </c>
      <c r="AU27" s="139" t="s">
        <v>128</v>
      </c>
      <c r="AV27" s="138"/>
      <c r="AW27" s="137" t="s">
        <v>127</v>
      </c>
      <c r="AX27" s="139" t="s">
        <v>120</v>
      </c>
      <c r="AY27" s="139" t="s">
        <v>17</v>
      </c>
      <c r="AZ27" s="36"/>
      <c r="BA27" s="70"/>
      <c r="BB27" s="71"/>
      <c r="BC27" s="70"/>
      <c r="BD27" s="70"/>
      <c r="BE27" s="70"/>
      <c r="BF27" s="70"/>
      <c r="BG27" s="70"/>
      <c r="BH27" s="70"/>
      <c r="BI27" s="69"/>
      <c r="BJ27" s="69"/>
      <c r="BK27" s="69"/>
      <c r="BL27" s="69"/>
    </row>
    <row r="28" spans="1:65" ht="17.25" thickBot="1">
      <c r="A28" s="287">
        <v>50</v>
      </c>
      <c r="B28" s="475" t="s">
        <v>709</v>
      </c>
      <c r="C28" s="434" t="s">
        <v>607</v>
      </c>
      <c r="D28" s="43"/>
      <c r="E28" s="44"/>
      <c r="F28" s="42"/>
      <c r="G28" s="42"/>
      <c r="H28" s="42"/>
      <c r="I28" s="45" t="s">
        <v>186</v>
      </c>
      <c r="J28" s="46">
        <v>0</v>
      </c>
      <c r="K28" s="47">
        <v>0</v>
      </c>
      <c r="L28" s="47">
        <v>0</v>
      </c>
      <c r="M28" s="47">
        <v>9</v>
      </c>
      <c r="N28" s="47">
        <v>173</v>
      </c>
      <c r="O28" s="47">
        <v>1125</v>
      </c>
      <c r="P28" s="47">
        <v>1648</v>
      </c>
      <c r="Q28" s="47">
        <v>199</v>
      </c>
      <c r="R28" s="47">
        <v>18</v>
      </c>
      <c r="S28" s="47">
        <v>5</v>
      </c>
      <c r="T28" s="30">
        <v>5</v>
      </c>
      <c r="U28" s="29">
        <v>0</v>
      </c>
      <c r="V28" s="48">
        <v>19722</v>
      </c>
      <c r="W28" s="48">
        <f t="shared" si="0"/>
        <v>3182</v>
      </c>
      <c r="X28" s="133">
        <f t="shared" si="1"/>
        <v>3.3333333333333335</v>
      </c>
      <c r="Y28" s="48">
        <f t="shared" si="2"/>
        <v>197220</v>
      </c>
      <c r="Z28" s="48">
        <f t="shared" si="3"/>
        <v>62755404</v>
      </c>
      <c r="AA28" s="49">
        <f t="shared" si="4"/>
        <v>1.2047592600176252E-2</v>
      </c>
      <c r="AB28" s="50">
        <f>SUM($AA$2:AA28)</f>
        <v>0.55417456530651721</v>
      </c>
      <c r="AC28" s="45" t="str">
        <f t="shared" si="5"/>
        <v>A</v>
      </c>
      <c r="AD28" s="48">
        <f>AVERAGE(M28:S28)</f>
        <v>453.85714285714283</v>
      </c>
      <c r="AE28" s="48">
        <f>_xlfn.STDEV.S(M28:S28)</f>
        <v>659.49284266306449</v>
      </c>
      <c r="AF28" s="51">
        <f t="shared" si="8"/>
        <v>1.4530846391694843</v>
      </c>
      <c r="AG28" s="45" t="str">
        <f t="shared" si="9"/>
        <v>Z</v>
      </c>
      <c r="AH28" s="45" t="str">
        <f t="shared" si="10"/>
        <v>AZ</v>
      </c>
      <c r="AI28" s="52">
        <f t="shared" si="11"/>
        <v>0</v>
      </c>
      <c r="AJ28" s="289" t="str">
        <f t="shared" si="12"/>
        <v>발주안함</v>
      </c>
      <c r="AK28" s="307" t="str">
        <f t="shared" si="13"/>
        <v>AZ - 중단</v>
      </c>
      <c r="AS28" s="137" t="s">
        <v>129</v>
      </c>
      <c r="AT28" s="139" t="s">
        <v>126</v>
      </c>
      <c r="AU28" s="139" t="s">
        <v>130</v>
      </c>
      <c r="AV28" s="138"/>
      <c r="AW28" s="137" t="s">
        <v>129</v>
      </c>
      <c r="AX28" s="139" t="s">
        <v>120</v>
      </c>
      <c r="AY28" s="139" t="s">
        <v>131</v>
      </c>
      <c r="AZ28" s="36"/>
      <c r="BA28" s="70"/>
      <c r="BB28" s="71"/>
      <c r="BC28" s="70"/>
      <c r="BD28" s="70"/>
      <c r="BE28" s="70"/>
      <c r="BF28" s="70"/>
      <c r="BG28" s="70"/>
      <c r="BH28" s="70"/>
      <c r="BI28" s="69"/>
      <c r="BJ28" s="69"/>
      <c r="BK28" s="69"/>
      <c r="BL28" s="69"/>
    </row>
    <row r="29" spans="1:65" ht="17.25" thickBot="1">
      <c r="A29" s="287">
        <v>25</v>
      </c>
      <c r="B29" s="475" t="s">
        <v>710</v>
      </c>
      <c r="C29" s="434" t="s">
        <v>608</v>
      </c>
      <c r="D29" s="43"/>
      <c r="E29" s="44"/>
      <c r="F29" s="42"/>
      <c r="G29" s="42"/>
      <c r="H29" s="42"/>
      <c r="I29" s="438" t="s">
        <v>238</v>
      </c>
      <c r="J29" s="46">
        <v>243</v>
      </c>
      <c r="K29" s="47">
        <v>377</v>
      </c>
      <c r="L29" s="47">
        <v>376</v>
      </c>
      <c r="M29" s="47">
        <v>205</v>
      </c>
      <c r="N29" s="47">
        <v>137</v>
      </c>
      <c r="O29" s="47">
        <v>94</v>
      </c>
      <c r="P29" s="47">
        <v>55</v>
      </c>
      <c r="Q29" s="47">
        <v>78</v>
      </c>
      <c r="R29" s="47">
        <v>159</v>
      </c>
      <c r="S29" s="47">
        <v>184</v>
      </c>
      <c r="T29" s="30">
        <v>202</v>
      </c>
      <c r="U29" s="29">
        <v>203</v>
      </c>
      <c r="V29" s="48">
        <v>26893</v>
      </c>
      <c r="W29" s="48">
        <f t="shared" si="0"/>
        <v>2313</v>
      </c>
      <c r="X29" s="133">
        <f t="shared" si="1"/>
        <v>196.33333333333334</v>
      </c>
      <c r="Y29" s="48">
        <f t="shared" si="2"/>
        <v>15839977</v>
      </c>
      <c r="Z29" s="48">
        <f t="shared" si="3"/>
        <v>62203509</v>
      </c>
      <c r="AA29" s="49">
        <f t="shared" si="4"/>
        <v>1.1941641467775379E-2</v>
      </c>
      <c r="AB29" s="50">
        <f>SUM($AA$2:AA29)</f>
        <v>0.56611620677429264</v>
      </c>
      <c r="AC29" s="45" t="str">
        <f t="shared" si="5"/>
        <v>A</v>
      </c>
      <c r="AD29" s="48">
        <f>AVERAGE(J29:U29)</f>
        <v>192.75</v>
      </c>
      <c r="AE29" s="48">
        <f>_xlfn.STDEV.P(J29:U29)</f>
        <v>98.578331797611582</v>
      </c>
      <c r="AF29" s="51">
        <f t="shared" si="8"/>
        <v>0.51143103396945044</v>
      </c>
      <c r="AG29" s="45" t="str">
        <f t="shared" si="9"/>
        <v>Y</v>
      </c>
      <c r="AH29" s="45" t="str">
        <f t="shared" si="10"/>
        <v>AY</v>
      </c>
      <c r="AI29" s="52">
        <f t="shared" si="11"/>
        <v>0.1</v>
      </c>
      <c r="AJ29" s="289" t="str">
        <f t="shared" si="12"/>
        <v>발주</v>
      </c>
      <c r="AK29" s="307" t="str">
        <f t="shared" si="13"/>
        <v>AY - 낮은재고+격주1회</v>
      </c>
      <c r="AS29" s="137" t="s">
        <v>132</v>
      </c>
      <c r="AT29" s="139" t="s">
        <v>126</v>
      </c>
      <c r="AU29" s="139" t="s">
        <v>133</v>
      </c>
      <c r="AV29" s="138"/>
      <c r="AW29" s="137" t="s">
        <v>132</v>
      </c>
      <c r="AX29" s="139" t="s">
        <v>120</v>
      </c>
      <c r="AY29" s="139" t="s">
        <v>131</v>
      </c>
      <c r="AZ29" s="36"/>
      <c r="BA29" s="70"/>
      <c r="BB29" s="71"/>
      <c r="BC29" s="70"/>
      <c r="BD29" s="70"/>
      <c r="BE29" s="70"/>
      <c r="BF29" s="70"/>
      <c r="BG29" s="70"/>
      <c r="BH29" s="70"/>
      <c r="BI29" s="69"/>
      <c r="BJ29" s="69"/>
      <c r="BK29" s="69"/>
      <c r="BL29" s="69"/>
    </row>
    <row r="30" spans="1:65" ht="17.25" thickBot="1">
      <c r="A30" s="287">
        <v>28</v>
      </c>
      <c r="B30" s="475" t="s">
        <v>710</v>
      </c>
      <c r="C30" s="434" t="s">
        <v>609</v>
      </c>
      <c r="D30" s="43"/>
      <c r="E30" s="44"/>
      <c r="F30" s="42"/>
      <c r="G30" s="42"/>
      <c r="H30" s="42"/>
      <c r="I30" s="45" t="s">
        <v>186</v>
      </c>
      <c r="J30" s="46">
        <v>0</v>
      </c>
      <c r="K30" s="47">
        <v>0</v>
      </c>
      <c r="L30" s="47">
        <v>0</v>
      </c>
      <c r="M30" s="47">
        <v>94</v>
      </c>
      <c r="N30" s="47">
        <v>334</v>
      </c>
      <c r="O30" s="47">
        <v>677</v>
      </c>
      <c r="P30" s="47">
        <v>214</v>
      </c>
      <c r="Q30" s="47">
        <v>80</v>
      </c>
      <c r="R30" s="47">
        <v>16</v>
      </c>
      <c r="S30" s="47">
        <v>5</v>
      </c>
      <c r="T30" s="30">
        <v>2</v>
      </c>
      <c r="U30" s="29">
        <v>5</v>
      </c>
      <c r="V30" s="48">
        <v>43404</v>
      </c>
      <c r="W30" s="48">
        <f t="shared" si="0"/>
        <v>1427</v>
      </c>
      <c r="X30" s="133">
        <f t="shared" si="1"/>
        <v>4</v>
      </c>
      <c r="Y30" s="48">
        <f t="shared" si="2"/>
        <v>520848</v>
      </c>
      <c r="Z30" s="48">
        <f t="shared" si="3"/>
        <v>61937508</v>
      </c>
      <c r="AA30" s="49">
        <f t="shared" si="4"/>
        <v>1.1890575400552874E-2</v>
      </c>
      <c r="AB30" s="50">
        <f>SUM($AA$2:AA30)</f>
        <v>0.57800678217484547</v>
      </c>
      <c r="AC30" s="45" t="str">
        <f t="shared" si="5"/>
        <v>A</v>
      </c>
      <c r="AD30" s="48">
        <f>AVERAGE(M30:S30)</f>
        <v>202.85714285714286</v>
      </c>
      <c r="AE30" s="48">
        <f>_xlfn.STDEV.S(M30:S30)</f>
        <v>239.14460658175602</v>
      </c>
      <c r="AF30" s="51">
        <f t="shared" si="8"/>
        <v>1.1788818634311917</v>
      </c>
      <c r="AG30" s="45" t="str">
        <f t="shared" si="9"/>
        <v>Z</v>
      </c>
      <c r="AH30" s="45" t="str">
        <f t="shared" si="10"/>
        <v>AZ</v>
      </c>
      <c r="AI30" s="52">
        <f t="shared" si="11"/>
        <v>0</v>
      </c>
      <c r="AJ30" s="289" t="str">
        <f t="shared" si="12"/>
        <v>발주안함</v>
      </c>
      <c r="AK30" s="307" t="str">
        <f t="shared" si="13"/>
        <v>AZ - 중단</v>
      </c>
      <c r="AS30" s="137" t="s">
        <v>134</v>
      </c>
      <c r="AT30" s="139" t="s">
        <v>135</v>
      </c>
      <c r="AU30" s="139" t="s">
        <v>136</v>
      </c>
      <c r="AV30" s="138"/>
      <c r="AW30" s="137" t="s">
        <v>134</v>
      </c>
      <c r="AX30" s="139" t="s">
        <v>120</v>
      </c>
      <c r="AY30" s="139" t="s">
        <v>137</v>
      </c>
      <c r="AZ30" s="36"/>
      <c r="BA30" s="70"/>
      <c r="BB30" s="71"/>
      <c r="BC30" s="70"/>
      <c r="BD30" s="70"/>
      <c r="BE30" s="70"/>
      <c r="BF30" s="70"/>
      <c r="BG30" s="70"/>
      <c r="BH30" s="70"/>
      <c r="BI30" s="69"/>
      <c r="BJ30" s="69"/>
      <c r="BK30" s="69"/>
      <c r="BL30" s="69"/>
    </row>
    <row r="31" spans="1:65">
      <c r="A31" s="287">
        <v>26</v>
      </c>
      <c r="B31" s="475" t="s">
        <v>710</v>
      </c>
      <c r="C31" s="434" t="s">
        <v>610</v>
      </c>
      <c r="D31" s="43"/>
      <c r="E31" s="44"/>
      <c r="F31" s="42"/>
      <c r="G31" s="42"/>
      <c r="H31" s="42"/>
      <c r="I31" s="439" t="s">
        <v>238</v>
      </c>
      <c r="J31" s="46">
        <v>162</v>
      </c>
      <c r="K31" s="47">
        <v>428</v>
      </c>
      <c r="L31" s="47">
        <v>670</v>
      </c>
      <c r="M31" s="47">
        <v>575</v>
      </c>
      <c r="N31" s="47">
        <v>353</v>
      </c>
      <c r="O31" s="47">
        <v>196</v>
      </c>
      <c r="P31" s="47">
        <v>109</v>
      </c>
      <c r="Q31" s="47">
        <v>161</v>
      </c>
      <c r="R31" s="47">
        <v>268</v>
      </c>
      <c r="S31" s="47">
        <v>468</v>
      </c>
      <c r="T31" s="30">
        <v>412</v>
      </c>
      <c r="U31" s="29">
        <v>348</v>
      </c>
      <c r="V31" s="48">
        <v>14655</v>
      </c>
      <c r="W31" s="48">
        <f t="shared" si="0"/>
        <v>4150</v>
      </c>
      <c r="X31" s="133">
        <f t="shared" si="1"/>
        <v>409.33333333333331</v>
      </c>
      <c r="Y31" s="48">
        <f t="shared" si="2"/>
        <v>17996340</v>
      </c>
      <c r="Z31" s="48">
        <f t="shared" si="3"/>
        <v>60818250</v>
      </c>
      <c r="AA31" s="49">
        <f t="shared" si="4"/>
        <v>1.1675703635907902E-2</v>
      </c>
      <c r="AB31" s="50">
        <f>SUM($AA$2:AA31)</f>
        <v>0.58968248581075333</v>
      </c>
      <c r="AC31" s="45" t="str">
        <f t="shared" si="5"/>
        <v>A</v>
      </c>
      <c r="AD31" s="48">
        <f>AVERAGE(J31:U31)</f>
        <v>345.83333333333331</v>
      </c>
      <c r="AE31" s="48">
        <f>_xlfn.STDEV.P(J31:U31)</f>
        <v>167.3986426335517</v>
      </c>
      <c r="AF31" s="51">
        <f t="shared" si="8"/>
        <v>0.48404426785605315</v>
      </c>
      <c r="AG31" s="45" t="str">
        <f t="shared" si="9"/>
        <v>X</v>
      </c>
      <c r="AH31" s="45" t="str">
        <f t="shared" si="10"/>
        <v>AX</v>
      </c>
      <c r="AI31" s="52">
        <f t="shared" si="11"/>
        <v>0.1</v>
      </c>
      <c r="AJ31" s="289" t="str">
        <f t="shared" si="12"/>
        <v>발주</v>
      </c>
      <c r="AK31" s="307" t="str">
        <f t="shared" si="13"/>
        <v>AX - 중간재고+월1회(LCL)</v>
      </c>
      <c r="AY31" s="70"/>
      <c r="AZ31" s="36"/>
      <c r="BA31" s="70"/>
      <c r="BB31" s="71"/>
      <c r="BC31" s="70"/>
      <c r="BD31" s="70"/>
      <c r="BE31" s="70"/>
      <c r="BF31" s="70"/>
      <c r="BG31" s="70"/>
      <c r="BH31" s="70"/>
      <c r="BI31" s="69"/>
      <c r="BJ31" s="69"/>
      <c r="BK31" s="69"/>
      <c r="BL31" s="69"/>
    </row>
    <row r="32" spans="1:65">
      <c r="A32" s="287">
        <v>37</v>
      </c>
      <c r="B32" s="475" t="s">
        <v>710</v>
      </c>
      <c r="C32" s="434" t="s">
        <v>611</v>
      </c>
      <c r="D32" s="43"/>
      <c r="E32" s="44"/>
      <c r="F32" s="42"/>
      <c r="G32" s="42"/>
      <c r="H32" s="42"/>
      <c r="I32" s="45" t="s">
        <v>186</v>
      </c>
      <c r="J32" s="46">
        <v>5</v>
      </c>
      <c r="K32" s="47">
        <v>9</v>
      </c>
      <c r="L32" s="47">
        <v>55</v>
      </c>
      <c r="M32" s="47">
        <v>114</v>
      </c>
      <c r="N32" s="47">
        <v>295</v>
      </c>
      <c r="O32" s="47">
        <v>388</v>
      </c>
      <c r="P32" s="47">
        <v>326</v>
      </c>
      <c r="Q32" s="47">
        <v>149</v>
      </c>
      <c r="R32" s="47">
        <v>19</v>
      </c>
      <c r="S32" s="47">
        <v>4</v>
      </c>
      <c r="T32" s="30">
        <v>2</v>
      </c>
      <c r="U32" s="29">
        <v>4</v>
      </c>
      <c r="V32" s="48">
        <v>42639</v>
      </c>
      <c r="W32" s="48">
        <f t="shared" si="0"/>
        <v>1370</v>
      </c>
      <c r="X32" s="133">
        <f t="shared" si="1"/>
        <v>3.3333333333333335</v>
      </c>
      <c r="Y32" s="48">
        <f t="shared" si="2"/>
        <v>426390</v>
      </c>
      <c r="Z32" s="48">
        <f t="shared" si="3"/>
        <v>58415430</v>
      </c>
      <c r="AA32" s="49">
        <f t="shared" si="4"/>
        <v>1.1214417521782089E-2</v>
      </c>
      <c r="AB32" s="50">
        <f>SUM($AA$2:AA32)</f>
        <v>0.60089690333253543</v>
      </c>
      <c r="AC32" s="45" t="str">
        <f t="shared" si="5"/>
        <v>A</v>
      </c>
      <c r="AD32" s="48">
        <f>AVERAGE(M32:S32)</f>
        <v>185</v>
      </c>
      <c r="AE32" s="48">
        <f>_xlfn.STDEV.S(M32:S32)</f>
        <v>152.66739446696971</v>
      </c>
      <c r="AF32" s="51">
        <f t="shared" si="8"/>
        <v>0.82522915928091733</v>
      </c>
      <c r="AG32" s="45" t="str">
        <f t="shared" si="9"/>
        <v>Y</v>
      </c>
      <c r="AH32" s="45" t="str">
        <f t="shared" si="10"/>
        <v>AY</v>
      </c>
      <c r="AI32" s="52">
        <f t="shared" si="11"/>
        <v>0</v>
      </c>
      <c r="AJ32" s="289" t="str">
        <f t="shared" si="12"/>
        <v>발주안함</v>
      </c>
      <c r="AK32" s="307" t="str">
        <f t="shared" si="13"/>
        <v>AY - 낮은재고+격주1회</v>
      </c>
      <c r="AS32" s="308" t="s">
        <v>489</v>
      </c>
      <c r="AY32" s="70"/>
      <c r="AZ32" s="36"/>
      <c r="BA32" s="70"/>
      <c r="BB32" s="71"/>
      <c r="BC32" s="70"/>
      <c r="BD32" s="70"/>
      <c r="BE32" s="70"/>
      <c r="BF32" s="70"/>
      <c r="BG32" s="70"/>
      <c r="BH32" s="70"/>
      <c r="BI32" s="69"/>
      <c r="BJ32" s="69"/>
      <c r="BK32" s="69"/>
      <c r="BL32" s="69"/>
    </row>
    <row r="33" spans="1:64">
      <c r="A33" s="287">
        <v>63</v>
      </c>
      <c r="B33" s="475" t="s">
        <v>710</v>
      </c>
      <c r="C33" s="434" t="s">
        <v>612</v>
      </c>
      <c r="D33" s="43"/>
      <c r="E33" s="44"/>
      <c r="F33" s="42"/>
      <c r="G33" s="42"/>
      <c r="H33" s="42"/>
      <c r="I33" s="45" t="s">
        <v>186</v>
      </c>
      <c r="J33" s="46">
        <v>0</v>
      </c>
      <c r="K33" s="47">
        <v>0</v>
      </c>
      <c r="L33" s="47">
        <v>0</v>
      </c>
      <c r="M33" s="47">
        <v>16</v>
      </c>
      <c r="N33" s="47">
        <v>88</v>
      </c>
      <c r="O33" s="47">
        <v>821</v>
      </c>
      <c r="P33" s="47">
        <v>1989</v>
      </c>
      <c r="Q33" s="47">
        <v>241</v>
      </c>
      <c r="R33" s="47">
        <v>21</v>
      </c>
      <c r="S33" s="47">
        <v>4</v>
      </c>
      <c r="T33" s="30">
        <v>5</v>
      </c>
      <c r="U33" s="29">
        <v>2</v>
      </c>
      <c r="V33" s="48">
        <v>18313</v>
      </c>
      <c r="W33" s="48">
        <f t="shared" si="0"/>
        <v>3187</v>
      </c>
      <c r="X33" s="133">
        <f t="shared" si="1"/>
        <v>3.6666666666666665</v>
      </c>
      <c r="Y33" s="48">
        <f t="shared" si="2"/>
        <v>201443</v>
      </c>
      <c r="Z33" s="48">
        <f t="shared" si="3"/>
        <v>58363531</v>
      </c>
      <c r="AA33" s="49">
        <f t="shared" si="4"/>
        <v>1.1204454108776947E-2</v>
      </c>
      <c r="AB33" s="50">
        <f>SUM($AA$2:AA33)</f>
        <v>0.61210135744131233</v>
      </c>
      <c r="AC33" s="45" t="str">
        <f t="shared" si="5"/>
        <v>A</v>
      </c>
      <c r="AD33" s="48">
        <f>AVERAGE(M33:S33)</f>
        <v>454.28571428571428</v>
      </c>
      <c r="AE33" s="48">
        <f>_xlfn.STDEV.S(M33:S33)</f>
        <v>736.21457793357013</v>
      </c>
      <c r="AF33" s="51">
        <f t="shared" si="8"/>
        <v>1.6205981275267267</v>
      </c>
      <c r="AG33" s="45" t="str">
        <f t="shared" si="9"/>
        <v>Z</v>
      </c>
      <c r="AH33" s="45" t="str">
        <f t="shared" si="10"/>
        <v>AZ</v>
      </c>
      <c r="AI33" s="52">
        <f t="shared" si="11"/>
        <v>0</v>
      </c>
      <c r="AJ33" s="289" t="str">
        <f t="shared" si="12"/>
        <v>발주안함</v>
      </c>
      <c r="AK33" s="307" t="str">
        <f t="shared" si="13"/>
        <v>AZ - 중단</v>
      </c>
      <c r="AS33" s="308" t="s">
        <v>486</v>
      </c>
      <c r="AY33" s="70"/>
      <c r="AZ33" s="36"/>
      <c r="BA33" s="70"/>
      <c r="BB33" s="71"/>
      <c r="BC33" s="70"/>
      <c r="BD33" s="70"/>
      <c r="BE33" s="70"/>
      <c r="BF33" s="70"/>
      <c r="BG33" s="70"/>
      <c r="BH33" s="70"/>
      <c r="BI33" s="69"/>
      <c r="BJ33" s="69"/>
      <c r="BK33" s="69"/>
      <c r="BL33" s="69"/>
    </row>
    <row r="34" spans="1:64">
      <c r="A34" s="287">
        <v>29</v>
      </c>
      <c r="B34" s="475" t="s">
        <v>710</v>
      </c>
      <c r="C34" s="434" t="s">
        <v>613</v>
      </c>
      <c r="D34" s="43"/>
      <c r="E34" s="44"/>
      <c r="F34" s="42"/>
      <c r="G34" s="42"/>
      <c r="H34" s="42"/>
      <c r="I34" s="45" t="s">
        <v>268</v>
      </c>
      <c r="J34" s="46">
        <v>355</v>
      </c>
      <c r="K34" s="47">
        <v>232</v>
      </c>
      <c r="L34" s="47">
        <v>62</v>
      </c>
      <c r="M34" s="47">
        <v>36</v>
      </c>
      <c r="N34" s="47">
        <v>16</v>
      </c>
      <c r="O34" s="47">
        <v>15</v>
      </c>
      <c r="P34" s="47">
        <v>7</v>
      </c>
      <c r="Q34" s="47">
        <v>3</v>
      </c>
      <c r="R34" s="47">
        <v>41</v>
      </c>
      <c r="S34" s="47">
        <v>261</v>
      </c>
      <c r="T34" s="30">
        <v>586</v>
      </c>
      <c r="U34" s="29">
        <v>361</v>
      </c>
      <c r="V34" s="48">
        <v>28242</v>
      </c>
      <c r="W34" s="48">
        <f t="shared" ref="W34:W65" si="21">SUM(J34:U34)</f>
        <v>1975</v>
      </c>
      <c r="X34" s="133">
        <f t="shared" ref="X34:X65" si="22">AVERAGE(S34:U34)</f>
        <v>402.66666666666669</v>
      </c>
      <c r="Y34" s="48">
        <f t="shared" ref="Y34:Y65" si="23">(S34+T34+U34)*V34</f>
        <v>34116336</v>
      </c>
      <c r="Z34" s="48">
        <f t="shared" ref="Z34:Z65" si="24">W34*V34</f>
        <v>55777950</v>
      </c>
      <c r="AA34" s="49">
        <f t="shared" ref="AA34:AA65" si="25">Z34/SUM($Z$2:$Z$100)</f>
        <v>1.0708082090794937E-2</v>
      </c>
      <c r="AB34" s="50">
        <f>SUM($AA$2:AA34)</f>
        <v>0.62280943953210732</v>
      </c>
      <c r="AC34" s="45" t="str">
        <f t="shared" ref="AC34:AC65" si="26">IF(AB34&lt;=70%,"A",IF(AB34&lt;=90%,"B","C"))</f>
        <v>A</v>
      </c>
      <c r="AD34" s="48">
        <f>AVERAGE(J34:U34)</f>
        <v>164.58333333333334</v>
      </c>
      <c r="AE34" s="48">
        <f ca="1">IFERROR(_xludf.STDEV.S(IF(J34=0,"",J34),IF(K34=0,"",K34),IF(L34=0,"",L34),IF(M34=0,"",M34),IF(N34=0,"",N34),IF(O34=0,"",O34),IF(P34=0,"",P34),IF(Q34=0,"",Q34),IF(R34=0,"",R34),IF(S34=0,"",S34),IF(T34=0,"",T34),IF(U34=0,"",U34)),0)</f>
        <v>0</v>
      </c>
      <c r="AF34" s="51">
        <f t="shared" ref="AF34:AF65" ca="1" si="27">IF(AD34=0,0,AE34/AD34)</f>
        <v>0</v>
      </c>
      <c r="AG34" s="45" t="str">
        <f t="shared" ref="AG34:AG65" ca="1" si="28">IF(AF34&lt;0.5,"X",IF(AF34&lt;=1,"Y","Z"))</f>
        <v>X</v>
      </c>
      <c r="AH34" s="45" t="str">
        <f t="shared" ref="AH34:AH65" ca="1" si="29">AC34&amp;AG34</f>
        <v>AX</v>
      </c>
      <c r="AI34" s="52">
        <f t="shared" ref="AI34:AI65" ca="1" si="30">IF(AH34="CZ",0%,IF(AH34="BZ",0%,IF(AH34="CY",5%,IF(I34="사계절",10%,IF(I34="봄",20%,IF(I34="여름",0%,IF(I34="가을",0%,IF(I34="겨울",0%,10%))))))))</f>
        <v>0</v>
      </c>
      <c r="AJ34" s="289" t="str">
        <f t="shared" ref="AJ34:AJ65" ca="1" si="31">IF(AI34=0,"발주안함","발주")</f>
        <v>발주안함</v>
      </c>
      <c r="AK34" s="307" t="str">
        <f t="shared" ref="AK34:AK65" ca="1" si="32">IF(AC34="A",IF(AG34="X","AX - 중간재고+월1회(LCL)",IF(AG34="Y","AY - 낮은재고+격주1회","AZ - 중단")),IF(AC34="B",IF(AG34="X","BX - 낮은재고+격월1회",IF(AG34="Y","BY - 최소재고+분기1회","BZ - 중단")),IF(AG34="X","CX - 중단(재고소진만)",IF(AG34="Y","CY - 중단(재고소진만)","CZ - 즉시단종"))))</f>
        <v>AX - 중간재고+월1회(LCL)</v>
      </c>
    </row>
    <row r="35" spans="1:64">
      <c r="A35" s="287">
        <v>41</v>
      </c>
      <c r="B35" s="475" t="s">
        <v>710</v>
      </c>
      <c r="C35" s="434" t="s">
        <v>614</v>
      </c>
      <c r="D35" s="43"/>
      <c r="E35" s="44"/>
      <c r="F35" s="42"/>
      <c r="G35" s="42"/>
      <c r="H35" s="42"/>
      <c r="I35" s="45" t="s">
        <v>186</v>
      </c>
      <c r="J35" s="46">
        <v>0</v>
      </c>
      <c r="K35" s="47">
        <v>0</v>
      </c>
      <c r="L35" s="47">
        <v>0</v>
      </c>
      <c r="M35" s="47">
        <v>44</v>
      </c>
      <c r="N35" s="47">
        <v>289</v>
      </c>
      <c r="O35" s="47">
        <v>979</v>
      </c>
      <c r="P35" s="47">
        <v>1407</v>
      </c>
      <c r="Q35" s="47">
        <v>784</v>
      </c>
      <c r="R35" s="47">
        <v>296</v>
      </c>
      <c r="S35" s="47">
        <v>77</v>
      </c>
      <c r="T35" s="30">
        <v>87</v>
      </c>
      <c r="U35" s="29">
        <v>41</v>
      </c>
      <c r="V35" s="48">
        <v>13910</v>
      </c>
      <c r="W35" s="48">
        <f t="shared" si="21"/>
        <v>4004</v>
      </c>
      <c r="X35" s="133">
        <f t="shared" si="22"/>
        <v>68.333333333333329</v>
      </c>
      <c r="Y35" s="48">
        <f t="shared" si="23"/>
        <v>2851550</v>
      </c>
      <c r="Z35" s="48">
        <f t="shared" si="24"/>
        <v>55695640</v>
      </c>
      <c r="AA35" s="49">
        <f t="shared" si="25"/>
        <v>1.0692280466015013E-2</v>
      </c>
      <c r="AB35" s="50">
        <f>SUM($AA$2:AA35)</f>
        <v>0.63350171999812233</v>
      </c>
      <c r="AC35" s="45" t="str">
        <f t="shared" si="26"/>
        <v>A</v>
      </c>
      <c r="AD35" s="48">
        <f>AVERAGE(M35:S35)</f>
        <v>553.71428571428567</v>
      </c>
      <c r="AE35" s="48">
        <f>_xlfn.STDEV.S(M35:S35)</f>
        <v>514.06086354494198</v>
      </c>
      <c r="AF35" s="51">
        <f t="shared" si="27"/>
        <v>0.92838649247022553</v>
      </c>
      <c r="AG35" s="45" t="str">
        <f t="shared" si="28"/>
        <v>Y</v>
      </c>
      <c r="AH35" s="45" t="str">
        <f t="shared" si="29"/>
        <v>AY</v>
      </c>
      <c r="AI35" s="52">
        <f t="shared" si="30"/>
        <v>0</v>
      </c>
      <c r="AJ35" s="289" t="str">
        <f t="shared" si="31"/>
        <v>발주안함</v>
      </c>
      <c r="AK35" s="307" t="str">
        <f t="shared" si="32"/>
        <v>AY - 낮은재고+격주1회</v>
      </c>
      <c r="AS35" s="308" t="s">
        <v>488</v>
      </c>
    </row>
    <row r="36" spans="1:64">
      <c r="A36" s="287">
        <v>31</v>
      </c>
      <c r="B36" s="475" t="s">
        <v>710</v>
      </c>
      <c r="C36" s="434" t="s">
        <v>615</v>
      </c>
      <c r="D36" s="43"/>
      <c r="E36" s="44"/>
      <c r="F36" s="42"/>
      <c r="G36" s="42"/>
      <c r="H36" s="42"/>
      <c r="I36" s="45" t="s">
        <v>238</v>
      </c>
      <c r="J36" s="46">
        <v>206</v>
      </c>
      <c r="K36" s="47">
        <v>335</v>
      </c>
      <c r="L36" s="47">
        <v>583</v>
      </c>
      <c r="M36" s="47">
        <v>575</v>
      </c>
      <c r="N36" s="47">
        <v>317</v>
      </c>
      <c r="O36" s="47">
        <v>167</v>
      </c>
      <c r="P36" s="47">
        <v>108</v>
      </c>
      <c r="Q36" s="47">
        <v>143</v>
      </c>
      <c r="R36" s="47">
        <v>207</v>
      </c>
      <c r="S36" s="47">
        <v>332</v>
      </c>
      <c r="T36" s="30">
        <v>378</v>
      </c>
      <c r="U36" s="29">
        <v>300</v>
      </c>
      <c r="V36" s="48">
        <v>14655</v>
      </c>
      <c r="W36" s="48">
        <f t="shared" si="21"/>
        <v>3651</v>
      </c>
      <c r="X36" s="133">
        <f t="shared" si="22"/>
        <v>336.66666666666669</v>
      </c>
      <c r="Y36" s="48">
        <f t="shared" si="23"/>
        <v>14801550</v>
      </c>
      <c r="Z36" s="48">
        <f t="shared" si="24"/>
        <v>53505405</v>
      </c>
      <c r="AA36" s="49">
        <f t="shared" si="25"/>
        <v>1.0271805777036085E-2</v>
      </c>
      <c r="AB36" s="50">
        <f>SUM($AA$2:AA36)</f>
        <v>0.64377352577515845</v>
      </c>
      <c r="AC36" s="45" t="str">
        <f t="shared" si="26"/>
        <v>A</v>
      </c>
      <c r="AD36" s="48">
        <f t="shared" ref="AD36:AD42" si="33">AVERAGE(J36:U36)</f>
        <v>304.25</v>
      </c>
      <c r="AE36" s="48">
        <f t="shared" ref="AE36:AE42" si="34">_xlfn.STDEV.P(J36:U36)</f>
        <v>147.42406237336789</v>
      </c>
      <c r="AF36" s="51">
        <f t="shared" si="27"/>
        <v>0.48454909572183363</v>
      </c>
      <c r="AG36" s="45" t="str">
        <f t="shared" si="28"/>
        <v>X</v>
      </c>
      <c r="AH36" s="45" t="str">
        <f t="shared" si="29"/>
        <v>AX</v>
      </c>
      <c r="AI36" s="52">
        <f t="shared" si="30"/>
        <v>0.1</v>
      </c>
      <c r="AJ36" s="289" t="str">
        <f t="shared" si="31"/>
        <v>발주</v>
      </c>
      <c r="AK36" s="307" t="str">
        <f t="shared" si="32"/>
        <v>AX - 중간재고+월1회(LCL)</v>
      </c>
      <c r="AS36" s="308" t="s">
        <v>487</v>
      </c>
    </row>
    <row r="37" spans="1:64">
      <c r="A37" s="287">
        <v>32</v>
      </c>
      <c r="B37" s="475" t="s">
        <v>710</v>
      </c>
      <c r="C37" s="434" t="s">
        <v>616</v>
      </c>
      <c r="D37" s="43"/>
      <c r="E37" s="44"/>
      <c r="F37" s="42"/>
      <c r="G37" s="42"/>
      <c r="H37" s="42"/>
      <c r="I37" s="45" t="s">
        <v>238</v>
      </c>
      <c r="J37" s="46">
        <v>93</v>
      </c>
      <c r="K37" s="47">
        <v>142</v>
      </c>
      <c r="L37" s="47">
        <v>150</v>
      </c>
      <c r="M37" s="47">
        <v>111</v>
      </c>
      <c r="N37" s="47">
        <v>51</v>
      </c>
      <c r="O37" s="47">
        <v>50</v>
      </c>
      <c r="P37" s="47">
        <v>40</v>
      </c>
      <c r="Q37" s="47">
        <v>49</v>
      </c>
      <c r="R37" s="47">
        <v>65</v>
      </c>
      <c r="S37" s="47">
        <v>82</v>
      </c>
      <c r="T37" s="30">
        <v>50</v>
      </c>
      <c r="U37" s="29">
        <v>48</v>
      </c>
      <c r="V37" s="48">
        <v>56608</v>
      </c>
      <c r="W37" s="48">
        <f t="shared" si="21"/>
        <v>931</v>
      </c>
      <c r="X37" s="133">
        <f t="shared" si="22"/>
        <v>60</v>
      </c>
      <c r="Y37" s="48">
        <f t="shared" si="23"/>
        <v>10189440</v>
      </c>
      <c r="Z37" s="48">
        <f t="shared" si="24"/>
        <v>52702048</v>
      </c>
      <c r="AA37" s="49">
        <f t="shared" si="25"/>
        <v>1.0117579730646522E-2</v>
      </c>
      <c r="AB37" s="50">
        <f>SUM($AA$2:AA37)</f>
        <v>0.65389110550580498</v>
      </c>
      <c r="AC37" s="45" t="str">
        <f t="shared" si="26"/>
        <v>A</v>
      </c>
      <c r="AD37" s="48">
        <f t="shared" si="33"/>
        <v>77.583333333333329</v>
      </c>
      <c r="AE37" s="48">
        <f t="shared" si="34"/>
        <v>36.80909836198412</v>
      </c>
      <c r="AF37" s="51">
        <f t="shared" si="27"/>
        <v>0.47444595096005315</v>
      </c>
      <c r="AG37" s="45" t="str">
        <f t="shared" si="28"/>
        <v>X</v>
      </c>
      <c r="AH37" s="45" t="str">
        <f t="shared" si="29"/>
        <v>AX</v>
      </c>
      <c r="AI37" s="52">
        <f t="shared" si="30"/>
        <v>0.1</v>
      </c>
      <c r="AJ37" s="289" t="str">
        <f t="shared" si="31"/>
        <v>발주</v>
      </c>
      <c r="AK37" s="307" t="str">
        <f t="shared" si="32"/>
        <v>AX - 중간재고+월1회(LCL)</v>
      </c>
    </row>
    <row r="38" spans="1:64">
      <c r="A38" s="287">
        <v>30</v>
      </c>
      <c r="B38" s="475" t="s">
        <v>710</v>
      </c>
      <c r="C38" s="434" t="s">
        <v>617</v>
      </c>
      <c r="D38" s="43"/>
      <c r="E38" s="44"/>
      <c r="F38" s="42"/>
      <c r="G38" s="42"/>
      <c r="H38" s="42"/>
      <c r="I38" s="45" t="s">
        <v>238</v>
      </c>
      <c r="J38" s="46">
        <v>168</v>
      </c>
      <c r="K38" s="47">
        <v>503</v>
      </c>
      <c r="L38" s="47">
        <v>435</v>
      </c>
      <c r="M38" s="47">
        <v>235</v>
      </c>
      <c r="N38" s="47">
        <v>137</v>
      </c>
      <c r="O38" s="47">
        <v>76</v>
      </c>
      <c r="P38" s="47">
        <v>35</v>
      </c>
      <c r="Q38" s="47">
        <v>107</v>
      </c>
      <c r="R38" s="47">
        <v>127</v>
      </c>
      <c r="S38" s="47">
        <v>224</v>
      </c>
      <c r="T38" s="30">
        <v>199</v>
      </c>
      <c r="U38" s="29">
        <v>133</v>
      </c>
      <c r="V38" s="48">
        <v>22064</v>
      </c>
      <c r="W38" s="48">
        <f t="shared" si="21"/>
        <v>2379</v>
      </c>
      <c r="X38" s="133">
        <f t="shared" si="22"/>
        <v>185.33333333333334</v>
      </c>
      <c r="Y38" s="48">
        <f t="shared" si="23"/>
        <v>12267584</v>
      </c>
      <c r="Z38" s="48">
        <f t="shared" si="24"/>
        <v>52490256</v>
      </c>
      <c r="AA38" s="49">
        <f t="shared" si="25"/>
        <v>1.0076920543240501E-2</v>
      </c>
      <c r="AB38" s="50">
        <f>SUM($AA$2:AA38)</f>
        <v>0.66396802604904548</v>
      </c>
      <c r="AC38" s="45" t="str">
        <f t="shared" si="26"/>
        <v>A</v>
      </c>
      <c r="AD38" s="48">
        <f t="shared" si="33"/>
        <v>198.25</v>
      </c>
      <c r="AE38" s="48">
        <f t="shared" si="34"/>
        <v>133.80964402214562</v>
      </c>
      <c r="AF38" s="51">
        <f t="shared" si="27"/>
        <v>0.67495406820754411</v>
      </c>
      <c r="AG38" s="45" t="str">
        <f t="shared" si="28"/>
        <v>Y</v>
      </c>
      <c r="AH38" s="45" t="str">
        <f t="shared" si="29"/>
        <v>AY</v>
      </c>
      <c r="AI38" s="52">
        <f t="shared" si="30"/>
        <v>0.1</v>
      </c>
      <c r="AJ38" s="289" t="str">
        <f t="shared" si="31"/>
        <v>발주</v>
      </c>
      <c r="AK38" s="307" t="str">
        <f t="shared" si="32"/>
        <v>AY - 낮은재고+격주1회</v>
      </c>
    </row>
    <row r="39" spans="1:64">
      <c r="A39" s="287">
        <v>34</v>
      </c>
      <c r="B39" s="475" t="s">
        <v>710</v>
      </c>
      <c r="C39" s="434" t="s">
        <v>618</v>
      </c>
      <c r="D39" s="43"/>
      <c r="E39" s="44"/>
      <c r="F39" s="42"/>
      <c r="G39" s="42"/>
      <c r="H39" s="42"/>
      <c r="I39" s="45" t="s">
        <v>238</v>
      </c>
      <c r="J39" s="46">
        <v>0</v>
      </c>
      <c r="K39" s="47">
        <v>0</v>
      </c>
      <c r="L39" s="47">
        <v>0</v>
      </c>
      <c r="M39" s="47">
        <v>430</v>
      </c>
      <c r="N39" s="47">
        <v>265</v>
      </c>
      <c r="O39" s="47">
        <v>155</v>
      </c>
      <c r="P39" s="47">
        <v>146</v>
      </c>
      <c r="Q39" s="47">
        <v>159</v>
      </c>
      <c r="R39" s="47">
        <v>183</v>
      </c>
      <c r="S39" s="47">
        <v>283</v>
      </c>
      <c r="T39" s="30">
        <v>229</v>
      </c>
      <c r="U39" s="29">
        <v>263</v>
      </c>
      <c r="V39" s="48">
        <v>24620</v>
      </c>
      <c r="W39" s="48">
        <f t="shared" si="21"/>
        <v>2113</v>
      </c>
      <c r="X39" s="133">
        <f t="shared" si="22"/>
        <v>258.33333333333331</v>
      </c>
      <c r="Y39" s="48">
        <f t="shared" si="23"/>
        <v>19080500</v>
      </c>
      <c r="Z39" s="48">
        <f t="shared" si="24"/>
        <v>52022060</v>
      </c>
      <c r="AA39" s="49">
        <f t="shared" si="25"/>
        <v>9.9870376916372811E-3</v>
      </c>
      <c r="AB39" s="50">
        <f>SUM($AA$2:AA39)</f>
        <v>0.67395506374068281</v>
      </c>
      <c r="AC39" s="45" t="str">
        <f t="shared" si="26"/>
        <v>A</v>
      </c>
      <c r="AD39" s="48">
        <f t="shared" si="33"/>
        <v>176.08333333333334</v>
      </c>
      <c r="AE39" s="48">
        <f t="shared" si="34"/>
        <v>125.45613996754226</v>
      </c>
      <c r="AF39" s="51">
        <f t="shared" si="27"/>
        <v>0.71248162783270563</v>
      </c>
      <c r="AG39" s="45" t="str">
        <f t="shared" si="28"/>
        <v>Y</v>
      </c>
      <c r="AH39" s="45" t="str">
        <f t="shared" si="29"/>
        <v>AY</v>
      </c>
      <c r="AI39" s="52">
        <f t="shared" si="30"/>
        <v>0.1</v>
      </c>
      <c r="AJ39" s="289" t="str">
        <f t="shared" si="31"/>
        <v>발주</v>
      </c>
      <c r="AK39" s="307" t="str">
        <f t="shared" si="32"/>
        <v>AY - 낮은재고+격주1회</v>
      </c>
    </row>
    <row r="40" spans="1:64">
      <c r="A40" s="287">
        <v>35</v>
      </c>
      <c r="B40" s="475" t="s">
        <v>710</v>
      </c>
      <c r="C40" s="434" t="s">
        <v>619</v>
      </c>
      <c r="D40" s="43"/>
      <c r="E40" s="44"/>
      <c r="F40" s="42"/>
      <c r="G40" s="42"/>
      <c r="H40" s="42"/>
      <c r="I40" s="45" t="s">
        <v>238</v>
      </c>
      <c r="J40" s="46">
        <v>117</v>
      </c>
      <c r="K40" s="47">
        <v>134</v>
      </c>
      <c r="L40" s="47">
        <v>376</v>
      </c>
      <c r="M40" s="47">
        <v>247</v>
      </c>
      <c r="N40" s="47">
        <v>367</v>
      </c>
      <c r="O40" s="47">
        <v>523</v>
      </c>
      <c r="P40" s="47">
        <v>420</v>
      </c>
      <c r="Q40" s="47">
        <v>427</v>
      </c>
      <c r="R40" s="47">
        <v>189</v>
      </c>
      <c r="S40" s="47">
        <v>0</v>
      </c>
      <c r="T40" s="30">
        <v>0</v>
      </c>
      <c r="U40" s="29">
        <v>20</v>
      </c>
      <c r="V40" s="48">
        <v>18343</v>
      </c>
      <c r="W40" s="48">
        <f t="shared" si="21"/>
        <v>2820</v>
      </c>
      <c r="X40" s="133">
        <f t="shared" si="22"/>
        <v>6.666666666666667</v>
      </c>
      <c r="Y40" s="48">
        <f t="shared" si="23"/>
        <v>366860</v>
      </c>
      <c r="Z40" s="48">
        <f t="shared" si="24"/>
        <v>51727260</v>
      </c>
      <c r="AA40" s="49">
        <f t="shared" si="25"/>
        <v>9.9304428795230614E-3</v>
      </c>
      <c r="AB40" s="50">
        <f>SUM($AA$2:AA40)</f>
        <v>0.68388550662020586</v>
      </c>
      <c r="AC40" s="45" t="str">
        <f t="shared" si="26"/>
        <v>A</v>
      </c>
      <c r="AD40" s="48">
        <f t="shared" si="33"/>
        <v>235</v>
      </c>
      <c r="AE40" s="48">
        <f t="shared" si="34"/>
        <v>176.63474554382933</v>
      </c>
      <c r="AF40" s="51">
        <f t="shared" si="27"/>
        <v>0.75163721508012482</v>
      </c>
      <c r="AG40" s="45" t="str">
        <f t="shared" si="28"/>
        <v>Y</v>
      </c>
      <c r="AH40" s="45" t="str">
        <f t="shared" si="29"/>
        <v>AY</v>
      </c>
      <c r="AI40" s="52">
        <f t="shared" si="30"/>
        <v>0.1</v>
      </c>
      <c r="AJ40" s="289" t="str">
        <f t="shared" si="31"/>
        <v>발주</v>
      </c>
      <c r="AK40" s="307" t="str">
        <f t="shared" si="32"/>
        <v>AY - 낮은재고+격주1회</v>
      </c>
    </row>
    <row r="41" spans="1:64">
      <c r="A41" s="287">
        <v>33</v>
      </c>
      <c r="B41" s="475" t="s">
        <v>710</v>
      </c>
      <c r="C41" s="434" t="s">
        <v>620</v>
      </c>
      <c r="D41" s="43"/>
      <c r="E41" s="44"/>
      <c r="F41" s="42"/>
      <c r="G41" s="42"/>
      <c r="H41" s="42"/>
      <c r="I41" s="45" t="s">
        <v>238</v>
      </c>
      <c r="J41" s="46">
        <v>275</v>
      </c>
      <c r="K41" s="47">
        <v>496</v>
      </c>
      <c r="L41" s="47">
        <v>418</v>
      </c>
      <c r="M41" s="47">
        <v>229</v>
      </c>
      <c r="N41" s="47">
        <v>135</v>
      </c>
      <c r="O41" s="47">
        <v>108</v>
      </c>
      <c r="P41" s="47">
        <v>64</v>
      </c>
      <c r="Q41" s="47">
        <v>125</v>
      </c>
      <c r="R41" s="47">
        <v>261</v>
      </c>
      <c r="S41" s="47">
        <v>419</v>
      </c>
      <c r="T41" s="30">
        <v>502</v>
      </c>
      <c r="U41" s="29">
        <v>492</v>
      </c>
      <c r="V41" s="48">
        <v>14655</v>
      </c>
      <c r="W41" s="48">
        <f t="shared" si="21"/>
        <v>3524</v>
      </c>
      <c r="X41" s="133">
        <f t="shared" si="22"/>
        <v>471</v>
      </c>
      <c r="Y41" s="48">
        <f t="shared" si="23"/>
        <v>20707515</v>
      </c>
      <c r="Z41" s="48">
        <f t="shared" si="24"/>
        <v>51644220</v>
      </c>
      <c r="AA41" s="49">
        <f t="shared" si="25"/>
        <v>9.9145011115516751E-3</v>
      </c>
      <c r="AB41" s="50">
        <f>SUM($AA$2:AA41)</f>
        <v>0.69380000773175754</v>
      </c>
      <c r="AC41" s="45" t="str">
        <f t="shared" si="26"/>
        <v>A</v>
      </c>
      <c r="AD41" s="48">
        <f t="shared" si="33"/>
        <v>293.66666666666669</v>
      </c>
      <c r="AE41" s="48">
        <f t="shared" si="34"/>
        <v>158.45206074884464</v>
      </c>
      <c r="AF41" s="51">
        <f t="shared" si="27"/>
        <v>0.53956433853182051</v>
      </c>
      <c r="AG41" s="45" t="str">
        <f t="shared" si="28"/>
        <v>Y</v>
      </c>
      <c r="AH41" s="45" t="str">
        <f t="shared" si="29"/>
        <v>AY</v>
      </c>
      <c r="AI41" s="52">
        <f t="shared" si="30"/>
        <v>0.1</v>
      </c>
      <c r="AJ41" s="289" t="str">
        <f t="shared" si="31"/>
        <v>발주</v>
      </c>
      <c r="AK41" s="307" t="str">
        <f t="shared" si="32"/>
        <v>AY - 낮은재고+격주1회</v>
      </c>
    </row>
    <row r="42" spans="1:64">
      <c r="A42" s="287">
        <v>38</v>
      </c>
      <c r="B42" s="475" t="s">
        <v>710</v>
      </c>
      <c r="C42" s="434" t="s">
        <v>621</v>
      </c>
      <c r="D42" s="43"/>
      <c r="E42" s="44"/>
      <c r="F42" s="42"/>
      <c r="G42" s="42"/>
      <c r="H42" s="42"/>
      <c r="I42" s="45" t="s">
        <v>238</v>
      </c>
      <c r="J42" s="46">
        <v>0</v>
      </c>
      <c r="K42" s="47">
        <v>0</v>
      </c>
      <c r="L42" s="47">
        <v>0</v>
      </c>
      <c r="M42" s="47">
        <v>551</v>
      </c>
      <c r="N42" s="47">
        <v>301</v>
      </c>
      <c r="O42" s="47">
        <v>161</v>
      </c>
      <c r="P42" s="47">
        <v>85</v>
      </c>
      <c r="Q42" s="47">
        <v>96</v>
      </c>
      <c r="R42" s="47">
        <v>147</v>
      </c>
      <c r="S42" s="47">
        <v>257</v>
      </c>
      <c r="T42" s="30">
        <v>191</v>
      </c>
      <c r="U42" s="29">
        <v>260</v>
      </c>
      <c r="V42" s="48">
        <v>24620</v>
      </c>
      <c r="W42" s="48">
        <f t="shared" si="21"/>
        <v>2049</v>
      </c>
      <c r="X42" s="133">
        <f t="shared" si="22"/>
        <v>236</v>
      </c>
      <c r="Y42" s="48">
        <f t="shared" si="23"/>
        <v>17430960</v>
      </c>
      <c r="Z42" s="48">
        <f t="shared" si="24"/>
        <v>50446380</v>
      </c>
      <c r="AA42" s="49">
        <f t="shared" si="25"/>
        <v>9.6845434122881154E-3</v>
      </c>
      <c r="AB42" s="50">
        <f>SUM($AA$2:AA42)</f>
        <v>0.70348455114404562</v>
      </c>
      <c r="AC42" s="45" t="str">
        <f t="shared" si="26"/>
        <v>B</v>
      </c>
      <c r="AD42" s="48">
        <f t="shared" si="33"/>
        <v>170.75</v>
      </c>
      <c r="AE42" s="48">
        <f t="shared" si="34"/>
        <v>152.32537816573222</v>
      </c>
      <c r="AF42" s="51">
        <f t="shared" si="27"/>
        <v>0.89209591897939811</v>
      </c>
      <c r="AG42" s="45" t="str">
        <f t="shared" si="28"/>
        <v>Y</v>
      </c>
      <c r="AH42" s="45" t="str">
        <f t="shared" si="29"/>
        <v>BY</v>
      </c>
      <c r="AI42" s="52">
        <f t="shared" si="30"/>
        <v>0.1</v>
      </c>
      <c r="AJ42" s="289" t="str">
        <f t="shared" si="31"/>
        <v>발주</v>
      </c>
      <c r="AK42" s="307" t="str">
        <f t="shared" si="32"/>
        <v>BY - 최소재고+분기1회</v>
      </c>
    </row>
    <row r="43" spans="1:64">
      <c r="A43" s="287">
        <v>61</v>
      </c>
      <c r="B43" s="475" t="s">
        <v>710</v>
      </c>
      <c r="C43" s="434" t="s">
        <v>622</v>
      </c>
      <c r="D43" s="43"/>
      <c r="E43" s="44"/>
      <c r="F43" s="42"/>
      <c r="G43" s="42"/>
      <c r="H43" s="42"/>
      <c r="I43" s="45" t="s">
        <v>186</v>
      </c>
      <c r="J43" s="46">
        <v>0</v>
      </c>
      <c r="K43" s="47">
        <v>0</v>
      </c>
      <c r="L43" s="47">
        <v>0</v>
      </c>
      <c r="M43" s="47">
        <v>26</v>
      </c>
      <c r="N43" s="47">
        <v>165</v>
      </c>
      <c r="O43" s="47">
        <v>1226</v>
      </c>
      <c r="P43" s="47">
        <v>1885</v>
      </c>
      <c r="Q43" s="47">
        <v>218</v>
      </c>
      <c r="R43" s="47">
        <v>20</v>
      </c>
      <c r="S43" s="47">
        <v>9</v>
      </c>
      <c r="T43" s="30">
        <v>9</v>
      </c>
      <c r="U43" s="29">
        <v>2</v>
      </c>
      <c r="V43" s="48">
        <v>14046</v>
      </c>
      <c r="W43" s="48">
        <f t="shared" si="21"/>
        <v>3560</v>
      </c>
      <c r="X43" s="133">
        <f t="shared" si="22"/>
        <v>6.666666666666667</v>
      </c>
      <c r="Y43" s="48">
        <f t="shared" si="23"/>
        <v>280920</v>
      </c>
      <c r="Z43" s="48">
        <f t="shared" si="24"/>
        <v>50003760</v>
      </c>
      <c r="AA43" s="49">
        <f t="shared" si="25"/>
        <v>9.5995705637874507E-3</v>
      </c>
      <c r="AB43" s="50">
        <f>SUM($AA$2:AA43)</f>
        <v>0.71308412170783309</v>
      </c>
      <c r="AC43" s="45" t="str">
        <f t="shared" si="26"/>
        <v>B</v>
      </c>
      <c r="AD43" s="48">
        <f>AVERAGE(M43:S43)</f>
        <v>507</v>
      </c>
      <c r="AE43" s="48">
        <f>_xlfn.STDEV.S(M43:S43)</f>
        <v>745.30351759087614</v>
      </c>
      <c r="AF43" s="51">
        <f t="shared" si="27"/>
        <v>1.4700266619149431</v>
      </c>
      <c r="AG43" s="45" t="str">
        <f t="shared" si="28"/>
        <v>Z</v>
      </c>
      <c r="AH43" s="45" t="str">
        <f t="shared" si="29"/>
        <v>BZ</v>
      </c>
      <c r="AI43" s="52">
        <f t="shared" si="30"/>
        <v>0</v>
      </c>
      <c r="AJ43" s="289" t="str">
        <f t="shared" si="31"/>
        <v>발주안함</v>
      </c>
      <c r="AK43" s="307" t="str">
        <f t="shared" si="32"/>
        <v>BZ - 중단</v>
      </c>
    </row>
    <row r="44" spans="1:64">
      <c r="A44" s="287">
        <v>39</v>
      </c>
      <c r="B44" s="475" t="s">
        <v>710</v>
      </c>
      <c r="C44" s="434" t="s">
        <v>623</v>
      </c>
      <c r="D44" s="43"/>
      <c r="E44" s="44"/>
      <c r="F44" s="42"/>
      <c r="G44" s="42"/>
      <c r="H44" s="42"/>
      <c r="I44" s="45" t="s">
        <v>238</v>
      </c>
      <c r="J44" s="46">
        <v>191</v>
      </c>
      <c r="K44" s="47">
        <v>430</v>
      </c>
      <c r="L44" s="47">
        <v>426</v>
      </c>
      <c r="M44" s="47">
        <v>203</v>
      </c>
      <c r="N44" s="47">
        <v>131</v>
      </c>
      <c r="O44" s="47">
        <v>69</v>
      </c>
      <c r="P44" s="47">
        <v>33</v>
      </c>
      <c r="Q44" s="47">
        <v>78</v>
      </c>
      <c r="R44" s="47">
        <v>130</v>
      </c>
      <c r="S44" s="47">
        <v>164</v>
      </c>
      <c r="T44" s="30">
        <v>203</v>
      </c>
      <c r="U44" s="29">
        <v>136</v>
      </c>
      <c r="V44" s="48">
        <v>22064</v>
      </c>
      <c r="W44" s="48">
        <f t="shared" si="21"/>
        <v>2194</v>
      </c>
      <c r="X44" s="133">
        <f t="shared" si="22"/>
        <v>167.66666666666666</v>
      </c>
      <c r="Y44" s="48">
        <f t="shared" si="23"/>
        <v>11098192</v>
      </c>
      <c r="Z44" s="48">
        <f t="shared" si="24"/>
        <v>48408416</v>
      </c>
      <c r="AA44" s="49">
        <f t="shared" si="25"/>
        <v>9.2933012492096082E-3</v>
      </c>
      <c r="AB44" s="50">
        <f>SUM($AA$2:AA44)</f>
        <v>0.72237742295704266</v>
      </c>
      <c r="AC44" s="45" t="str">
        <f t="shared" si="26"/>
        <v>B</v>
      </c>
      <c r="AD44" s="48">
        <f t="shared" ref="AD44:AD52" si="35">AVERAGE(J44:U44)</f>
        <v>182.83333333333334</v>
      </c>
      <c r="AE44" s="48">
        <f t="shared" ref="AE44:AE52" si="36">_xlfn.STDEV.P(J44:U44)</f>
        <v>120.94270911836269</v>
      </c>
      <c r="AF44" s="51">
        <f t="shared" si="27"/>
        <v>0.66149157220617694</v>
      </c>
      <c r="AG44" s="45" t="str">
        <f t="shared" si="28"/>
        <v>Y</v>
      </c>
      <c r="AH44" s="45" t="str">
        <f t="shared" si="29"/>
        <v>BY</v>
      </c>
      <c r="AI44" s="52">
        <f t="shared" si="30"/>
        <v>0.1</v>
      </c>
      <c r="AJ44" s="289" t="str">
        <f t="shared" si="31"/>
        <v>발주</v>
      </c>
      <c r="AK44" s="307" t="str">
        <f t="shared" si="32"/>
        <v>BY - 최소재고+분기1회</v>
      </c>
    </row>
    <row r="45" spans="1:64">
      <c r="A45" s="287">
        <v>42</v>
      </c>
      <c r="B45" s="475" t="s">
        <v>710</v>
      </c>
      <c r="C45" s="434" t="s">
        <v>624</v>
      </c>
      <c r="D45" s="43"/>
      <c r="E45" s="44"/>
      <c r="F45" s="42"/>
      <c r="G45" s="42"/>
      <c r="H45" s="42"/>
      <c r="I45" s="45" t="s">
        <v>238</v>
      </c>
      <c r="J45" s="46">
        <v>1899</v>
      </c>
      <c r="K45" s="47">
        <v>2039</v>
      </c>
      <c r="L45" s="47">
        <v>1509</v>
      </c>
      <c r="M45" s="47">
        <v>1151</v>
      </c>
      <c r="N45" s="47">
        <v>638</v>
      </c>
      <c r="O45" s="47">
        <v>627</v>
      </c>
      <c r="P45" s="47">
        <v>356</v>
      </c>
      <c r="Q45" s="47">
        <v>273</v>
      </c>
      <c r="R45" s="47">
        <v>940</v>
      </c>
      <c r="S45" s="47">
        <v>1227</v>
      </c>
      <c r="T45" s="30">
        <v>1919</v>
      </c>
      <c r="U45" s="29">
        <v>1346</v>
      </c>
      <c r="V45" s="48">
        <v>3364</v>
      </c>
      <c r="W45" s="48">
        <f t="shared" si="21"/>
        <v>13924</v>
      </c>
      <c r="X45" s="133">
        <f t="shared" si="22"/>
        <v>1497.3333333333333</v>
      </c>
      <c r="Y45" s="48">
        <f t="shared" si="23"/>
        <v>15111088</v>
      </c>
      <c r="Z45" s="48">
        <f t="shared" si="24"/>
        <v>46840336</v>
      </c>
      <c r="AA45" s="49">
        <f t="shared" si="25"/>
        <v>8.9922659948674585E-3</v>
      </c>
      <c r="AB45" s="50">
        <f>SUM($AA$2:AA45)</f>
        <v>0.73136968895191012</v>
      </c>
      <c r="AC45" s="45" t="str">
        <f t="shared" si="26"/>
        <v>B</v>
      </c>
      <c r="AD45" s="48">
        <f t="shared" si="35"/>
        <v>1160.3333333333333</v>
      </c>
      <c r="AE45" s="48">
        <f t="shared" si="36"/>
        <v>584.09236332012495</v>
      </c>
      <c r="AF45" s="51">
        <f t="shared" si="27"/>
        <v>0.503383249054977</v>
      </c>
      <c r="AG45" s="45" t="str">
        <f t="shared" si="28"/>
        <v>Y</v>
      </c>
      <c r="AH45" s="45" t="str">
        <f t="shared" si="29"/>
        <v>BY</v>
      </c>
      <c r="AI45" s="52">
        <f t="shared" si="30"/>
        <v>0.1</v>
      </c>
      <c r="AJ45" s="289" t="str">
        <f t="shared" si="31"/>
        <v>발주</v>
      </c>
      <c r="AK45" s="307" t="str">
        <f t="shared" si="32"/>
        <v>BY - 최소재고+분기1회</v>
      </c>
    </row>
    <row r="46" spans="1:64">
      <c r="A46" s="287">
        <v>40</v>
      </c>
      <c r="B46" s="475" t="s">
        <v>710</v>
      </c>
      <c r="C46" s="434" t="s">
        <v>625</v>
      </c>
      <c r="D46" s="43"/>
      <c r="E46" s="44"/>
      <c r="F46" s="42"/>
      <c r="G46" s="42"/>
      <c r="H46" s="42"/>
      <c r="I46" s="45" t="s">
        <v>238</v>
      </c>
      <c r="J46" s="46">
        <v>158</v>
      </c>
      <c r="K46" s="47">
        <v>232</v>
      </c>
      <c r="L46" s="47">
        <v>239</v>
      </c>
      <c r="M46" s="47">
        <v>227</v>
      </c>
      <c r="N46" s="47">
        <v>118</v>
      </c>
      <c r="O46" s="47">
        <v>69</v>
      </c>
      <c r="P46" s="47">
        <v>81</v>
      </c>
      <c r="Q46" s="47">
        <v>152</v>
      </c>
      <c r="R46" s="47">
        <v>99</v>
      </c>
      <c r="S46" s="47">
        <v>137</v>
      </c>
      <c r="T46" s="30">
        <v>129</v>
      </c>
      <c r="U46" s="29">
        <v>77</v>
      </c>
      <c r="V46" s="48">
        <v>26893</v>
      </c>
      <c r="W46" s="48">
        <f t="shared" si="21"/>
        <v>1718</v>
      </c>
      <c r="X46" s="133">
        <f t="shared" si="22"/>
        <v>114.33333333333333</v>
      </c>
      <c r="Y46" s="48">
        <f t="shared" si="23"/>
        <v>9224299</v>
      </c>
      <c r="Z46" s="48">
        <f t="shared" si="24"/>
        <v>46202174</v>
      </c>
      <c r="AA46" s="49">
        <f t="shared" si="25"/>
        <v>8.8697535847981415E-3</v>
      </c>
      <c r="AB46" s="50">
        <f>SUM($AA$2:AA46)</f>
        <v>0.74023944253670826</v>
      </c>
      <c r="AC46" s="45" t="str">
        <f t="shared" si="26"/>
        <v>B</v>
      </c>
      <c r="AD46" s="48">
        <f t="shared" si="35"/>
        <v>143.16666666666666</v>
      </c>
      <c r="AE46" s="48">
        <f t="shared" si="36"/>
        <v>58.429206927890284</v>
      </c>
      <c r="AF46" s="51">
        <f t="shared" si="27"/>
        <v>0.40812018808770867</v>
      </c>
      <c r="AG46" s="45" t="str">
        <f t="shared" si="28"/>
        <v>X</v>
      </c>
      <c r="AH46" s="45" t="str">
        <f t="shared" si="29"/>
        <v>BX</v>
      </c>
      <c r="AI46" s="52">
        <f t="shared" si="30"/>
        <v>0.1</v>
      </c>
      <c r="AJ46" s="289" t="str">
        <f t="shared" si="31"/>
        <v>발주</v>
      </c>
      <c r="AK46" s="307" t="str">
        <f t="shared" si="32"/>
        <v>BX - 낮은재고+격월1회</v>
      </c>
    </row>
    <row r="47" spans="1:64">
      <c r="A47" s="287">
        <v>43</v>
      </c>
      <c r="B47" s="475" t="s">
        <v>710</v>
      </c>
      <c r="C47" s="434" t="s">
        <v>626</v>
      </c>
      <c r="D47" s="43"/>
      <c r="E47" s="44"/>
      <c r="F47" s="42"/>
      <c r="G47" s="42"/>
      <c r="H47" s="42"/>
      <c r="I47" s="45" t="s">
        <v>238</v>
      </c>
      <c r="J47" s="46">
        <v>0</v>
      </c>
      <c r="K47" s="47">
        <v>0</v>
      </c>
      <c r="L47" s="47">
        <v>0</v>
      </c>
      <c r="M47" s="47">
        <v>526</v>
      </c>
      <c r="N47" s="47">
        <v>223</v>
      </c>
      <c r="O47" s="47">
        <v>131</v>
      </c>
      <c r="P47" s="47">
        <v>98</v>
      </c>
      <c r="Q47" s="47">
        <v>92</v>
      </c>
      <c r="R47" s="47">
        <v>92</v>
      </c>
      <c r="S47" s="47">
        <v>118</v>
      </c>
      <c r="T47" s="30">
        <v>94</v>
      </c>
      <c r="U47" s="29">
        <v>113</v>
      </c>
      <c r="V47" s="48">
        <v>29447</v>
      </c>
      <c r="W47" s="48">
        <f t="shared" si="21"/>
        <v>1487</v>
      </c>
      <c r="X47" s="133">
        <f t="shared" si="22"/>
        <v>108.33333333333333</v>
      </c>
      <c r="Y47" s="48">
        <f t="shared" si="23"/>
        <v>9570275</v>
      </c>
      <c r="Z47" s="48">
        <f t="shared" si="24"/>
        <v>43787689</v>
      </c>
      <c r="AA47" s="49">
        <f t="shared" si="25"/>
        <v>8.406228059263535E-3</v>
      </c>
      <c r="AB47" s="50">
        <f>SUM($AA$2:AA47)</f>
        <v>0.74864567059597176</v>
      </c>
      <c r="AC47" s="45" t="str">
        <f t="shared" si="26"/>
        <v>B</v>
      </c>
      <c r="AD47" s="48">
        <f t="shared" si="35"/>
        <v>123.91666666666667</v>
      </c>
      <c r="AE47" s="48">
        <f t="shared" si="36"/>
        <v>135.81940112598872</v>
      </c>
      <c r="AF47" s="51">
        <f t="shared" si="27"/>
        <v>1.0960543466791288</v>
      </c>
      <c r="AG47" s="45" t="str">
        <f t="shared" si="28"/>
        <v>Z</v>
      </c>
      <c r="AH47" s="45" t="str">
        <f t="shared" si="29"/>
        <v>BZ</v>
      </c>
      <c r="AI47" s="52">
        <f t="shared" si="30"/>
        <v>0</v>
      </c>
      <c r="AJ47" s="289" t="str">
        <f t="shared" si="31"/>
        <v>발주안함</v>
      </c>
      <c r="AK47" s="307" t="str">
        <f t="shared" si="32"/>
        <v>BZ - 중단</v>
      </c>
    </row>
    <row r="48" spans="1:64">
      <c r="A48" s="287">
        <v>45</v>
      </c>
      <c r="B48" s="475" t="s">
        <v>710</v>
      </c>
      <c r="C48" s="434" t="s">
        <v>627</v>
      </c>
      <c r="D48" s="43"/>
      <c r="E48" s="44"/>
      <c r="F48" s="42"/>
      <c r="G48" s="42"/>
      <c r="H48" s="42"/>
      <c r="I48" s="45" t="s">
        <v>238</v>
      </c>
      <c r="J48" s="46">
        <v>162</v>
      </c>
      <c r="K48" s="47">
        <v>98</v>
      </c>
      <c r="L48" s="47">
        <v>140</v>
      </c>
      <c r="M48" s="47">
        <v>114</v>
      </c>
      <c r="N48" s="47">
        <v>75</v>
      </c>
      <c r="O48" s="47">
        <v>147</v>
      </c>
      <c r="P48" s="47">
        <v>70</v>
      </c>
      <c r="Q48" s="47">
        <v>58</v>
      </c>
      <c r="R48" s="47">
        <v>78</v>
      </c>
      <c r="S48" s="47">
        <v>93</v>
      </c>
      <c r="T48" s="30">
        <v>64</v>
      </c>
      <c r="U48" s="29">
        <v>54</v>
      </c>
      <c r="V48" s="48">
        <v>37499</v>
      </c>
      <c r="W48" s="48">
        <f t="shared" si="21"/>
        <v>1153</v>
      </c>
      <c r="X48" s="133">
        <f t="shared" si="22"/>
        <v>70.333333333333329</v>
      </c>
      <c r="Y48" s="48">
        <f t="shared" si="23"/>
        <v>7912289</v>
      </c>
      <c r="Z48" s="48">
        <f t="shared" si="24"/>
        <v>43236347</v>
      </c>
      <c r="AA48" s="49">
        <f t="shared" si="25"/>
        <v>8.3003830901296188E-3</v>
      </c>
      <c r="AB48" s="50">
        <f>SUM($AA$2:AA48)</f>
        <v>0.75694605368610135</v>
      </c>
      <c r="AC48" s="45" t="str">
        <f t="shared" si="26"/>
        <v>B</v>
      </c>
      <c r="AD48" s="48">
        <f t="shared" si="35"/>
        <v>96.083333333333329</v>
      </c>
      <c r="AE48" s="48">
        <f t="shared" si="36"/>
        <v>35.240739524337769</v>
      </c>
      <c r="AF48" s="51">
        <f t="shared" si="27"/>
        <v>0.36677265766873657</v>
      </c>
      <c r="AG48" s="45" t="str">
        <f t="shared" si="28"/>
        <v>X</v>
      </c>
      <c r="AH48" s="45" t="str">
        <f t="shared" si="29"/>
        <v>BX</v>
      </c>
      <c r="AI48" s="52">
        <f t="shared" si="30"/>
        <v>0.1</v>
      </c>
      <c r="AJ48" s="289" t="str">
        <f t="shared" si="31"/>
        <v>발주</v>
      </c>
      <c r="AK48" s="307" t="str">
        <f t="shared" si="32"/>
        <v>BX - 낮은재고+격월1회</v>
      </c>
    </row>
    <row r="49" spans="1:37">
      <c r="A49" s="287">
        <v>44</v>
      </c>
      <c r="B49" s="475" t="s">
        <v>710</v>
      </c>
      <c r="C49" s="434" t="s">
        <v>628</v>
      </c>
      <c r="D49" s="43"/>
      <c r="E49" s="44"/>
      <c r="F49" s="42"/>
      <c r="G49" s="42"/>
      <c r="H49" s="42"/>
      <c r="I49" s="45" t="s">
        <v>238</v>
      </c>
      <c r="J49" s="46">
        <v>151</v>
      </c>
      <c r="K49" s="47">
        <v>165</v>
      </c>
      <c r="L49" s="47">
        <v>213</v>
      </c>
      <c r="M49" s="47">
        <v>156</v>
      </c>
      <c r="N49" s="47">
        <v>126</v>
      </c>
      <c r="O49" s="47">
        <v>58</v>
      </c>
      <c r="P49" s="47">
        <v>48</v>
      </c>
      <c r="Q49" s="47">
        <v>81</v>
      </c>
      <c r="R49" s="47">
        <v>152</v>
      </c>
      <c r="S49" s="47">
        <v>256</v>
      </c>
      <c r="T49" s="30">
        <v>113</v>
      </c>
      <c r="U49" s="29">
        <v>251</v>
      </c>
      <c r="V49" s="48">
        <v>24107</v>
      </c>
      <c r="W49" s="48">
        <f t="shared" si="21"/>
        <v>1770</v>
      </c>
      <c r="X49" s="133">
        <f t="shared" si="22"/>
        <v>206.66666666666666</v>
      </c>
      <c r="Y49" s="48">
        <f t="shared" si="23"/>
        <v>14946340</v>
      </c>
      <c r="Z49" s="48">
        <f t="shared" si="24"/>
        <v>42669390</v>
      </c>
      <c r="AA49" s="49">
        <f t="shared" si="25"/>
        <v>8.1915404005372117E-3</v>
      </c>
      <c r="AB49" s="50">
        <f>SUM($AA$2:AA49)</f>
        <v>0.76513759408663851</v>
      </c>
      <c r="AC49" s="45" t="str">
        <f t="shared" si="26"/>
        <v>B</v>
      </c>
      <c r="AD49" s="48">
        <f t="shared" si="35"/>
        <v>147.5</v>
      </c>
      <c r="AE49" s="48">
        <f t="shared" si="36"/>
        <v>65.301225103362341</v>
      </c>
      <c r="AF49" s="51">
        <f t="shared" si="27"/>
        <v>0.44272017019228704</v>
      </c>
      <c r="AG49" s="45" t="str">
        <f t="shared" si="28"/>
        <v>X</v>
      </c>
      <c r="AH49" s="45" t="str">
        <f t="shared" si="29"/>
        <v>BX</v>
      </c>
      <c r="AI49" s="52">
        <f t="shared" si="30"/>
        <v>0.1</v>
      </c>
      <c r="AJ49" s="289" t="str">
        <f t="shared" si="31"/>
        <v>발주</v>
      </c>
      <c r="AK49" s="307" t="str">
        <f t="shared" si="32"/>
        <v>BX - 낮은재고+격월1회</v>
      </c>
    </row>
    <row r="50" spans="1:37">
      <c r="A50" s="287">
        <v>46</v>
      </c>
      <c r="B50" s="475" t="s">
        <v>711</v>
      </c>
      <c r="C50" s="434" t="s">
        <v>629</v>
      </c>
      <c r="D50" s="43"/>
      <c r="E50" s="44"/>
      <c r="F50" s="42"/>
      <c r="G50" s="42"/>
      <c r="H50" s="42"/>
      <c r="I50" s="45" t="s">
        <v>238</v>
      </c>
      <c r="J50" s="46">
        <v>2041</v>
      </c>
      <c r="K50" s="47">
        <v>2212</v>
      </c>
      <c r="L50" s="47">
        <v>1090</v>
      </c>
      <c r="M50" s="47">
        <v>804</v>
      </c>
      <c r="N50" s="47">
        <v>457</v>
      </c>
      <c r="O50" s="47">
        <v>415</v>
      </c>
      <c r="P50" s="47">
        <v>216</v>
      </c>
      <c r="Q50" s="47">
        <v>309</v>
      </c>
      <c r="R50" s="47">
        <v>760</v>
      </c>
      <c r="S50" s="47">
        <v>1146</v>
      </c>
      <c r="T50" s="30">
        <v>1778</v>
      </c>
      <c r="U50" s="29">
        <v>1389</v>
      </c>
      <c r="V50" s="48">
        <v>3364</v>
      </c>
      <c r="W50" s="48">
        <f t="shared" si="21"/>
        <v>12617</v>
      </c>
      <c r="X50" s="133">
        <f t="shared" si="22"/>
        <v>1437.6666666666667</v>
      </c>
      <c r="Y50" s="48">
        <f t="shared" si="23"/>
        <v>14508932</v>
      </c>
      <c r="Z50" s="48">
        <f t="shared" si="24"/>
        <v>42443588</v>
      </c>
      <c r="AA50" s="49">
        <f t="shared" si="25"/>
        <v>8.1481916157169435E-3</v>
      </c>
      <c r="AB50" s="50">
        <f>SUM($AA$2:AA50)</f>
        <v>0.7732857857023554</v>
      </c>
      <c r="AC50" s="45" t="str">
        <f t="shared" si="26"/>
        <v>B</v>
      </c>
      <c r="AD50" s="48">
        <f t="shared" si="35"/>
        <v>1051.4166666666667</v>
      </c>
      <c r="AE50" s="48">
        <f t="shared" si="36"/>
        <v>653.97177033025582</v>
      </c>
      <c r="AF50" s="51">
        <f t="shared" si="27"/>
        <v>0.62199106316581354</v>
      </c>
      <c r="AG50" s="45" t="str">
        <f t="shared" si="28"/>
        <v>Y</v>
      </c>
      <c r="AH50" s="45" t="str">
        <f t="shared" si="29"/>
        <v>BY</v>
      </c>
      <c r="AI50" s="52">
        <f t="shared" si="30"/>
        <v>0.1</v>
      </c>
      <c r="AJ50" s="289" t="str">
        <f t="shared" si="31"/>
        <v>발주</v>
      </c>
      <c r="AK50" s="307" t="str">
        <f t="shared" si="32"/>
        <v>BY - 최소재고+분기1회</v>
      </c>
    </row>
    <row r="51" spans="1:37">
      <c r="A51" s="287">
        <v>47</v>
      </c>
      <c r="B51" s="475" t="s">
        <v>711</v>
      </c>
      <c r="C51" s="434" t="s">
        <v>630</v>
      </c>
      <c r="D51" s="43"/>
      <c r="E51" s="44"/>
      <c r="F51" s="42"/>
      <c r="G51" s="42"/>
      <c r="H51" s="42"/>
      <c r="I51" s="45" t="s">
        <v>238</v>
      </c>
      <c r="J51" s="46">
        <v>0</v>
      </c>
      <c r="K51" s="47">
        <v>0</v>
      </c>
      <c r="L51" s="47">
        <v>0</v>
      </c>
      <c r="M51" s="47">
        <v>463</v>
      </c>
      <c r="N51" s="47">
        <v>253</v>
      </c>
      <c r="O51" s="47">
        <v>122</v>
      </c>
      <c r="P51" s="47">
        <v>80</v>
      </c>
      <c r="Q51" s="47">
        <v>112</v>
      </c>
      <c r="R51" s="47">
        <v>117</v>
      </c>
      <c r="S51" s="47">
        <v>183</v>
      </c>
      <c r="T51" s="30">
        <v>173</v>
      </c>
      <c r="U51" s="29">
        <v>182</v>
      </c>
      <c r="V51" s="48">
        <v>24620</v>
      </c>
      <c r="W51" s="48">
        <f t="shared" si="21"/>
        <v>1685</v>
      </c>
      <c r="X51" s="133">
        <f t="shared" si="22"/>
        <v>179.33333333333334</v>
      </c>
      <c r="Y51" s="48">
        <f t="shared" si="23"/>
        <v>13245560</v>
      </c>
      <c r="Z51" s="48">
        <f t="shared" si="24"/>
        <v>41484700</v>
      </c>
      <c r="AA51" s="49">
        <f t="shared" si="25"/>
        <v>7.9641071984897383E-3</v>
      </c>
      <c r="AB51" s="50">
        <f>SUM($AA$2:AA51)</f>
        <v>0.78124989290084512</v>
      </c>
      <c r="AC51" s="45" t="str">
        <f t="shared" si="26"/>
        <v>B</v>
      </c>
      <c r="AD51" s="48">
        <f t="shared" si="35"/>
        <v>140.41666666666666</v>
      </c>
      <c r="AE51" s="48">
        <f t="shared" si="36"/>
        <v>124.44373449698283</v>
      </c>
      <c r="AF51" s="51">
        <f t="shared" si="27"/>
        <v>0.88624618039394309</v>
      </c>
      <c r="AG51" s="45" t="str">
        <f t="shared" si="28"/>
        <v>Y</v>
      </c>
      <c r="AH51" s="45" t="str">
        <f t="shared" si="29"/>
        <v>BY</v>
      </c>
      <c r="AI51" s="52">
        <f t="shared" si="30"/>
        <v>0.1</v>
      </c>
      <c r="AJ51" s="289" t="str">
        <f t="shared" si="31"/>
        <v>발주</v>
      </c>
      <c r="AK51" s="307" t="str">
        <f t="shared" si="32"/>
        <v>BY - 최소재고+분기1회</v>
      </c>
    </row>
    <row r="52" spans="1:37">
      <c r="A52" s="287">
        <v>48</v>
      </c>
      <c r="B52" s="475" t="s">
        <v>711</v>
      </c>
      <c r="C52" s="434" t="s">
        <v>631</v>
      </c>
      <c r="D52" s="43"/>
      <c r="E52" s="44"/>
      <c r="F52" s="42"/>
      <c r="G52" s="42"/>
      <c r="H52" s="42"/>
      <c r="I52" s="45" t="s">
        <v>238</v>
      </c>
      <c r="J52" s="46">
        <v>132</v>
      </c>
      <c r="K52" s="47">
        <v>237</v>
      </c>
      <c r="L52" s="47">
        <v>304</v>
      </c>
      <c r="M52" s="47">
        <v>195</v>
      </c>
      <c r="N52" s="47">
        <v>111</v>
      </c>
      <c r="O52" s="47">
        <v>58</v>
      </c>
      <c r="P52" s="47">
        <v>33</v>
      </c>
      <c r="Q52" s="47">
        <v>45</v>
      </c>
      <c r="R52" s="47">
        <v>94</v>
      </c>
      <c r="S52" s="47">
        <v>131</v>
      </c>
      <c r="T52" s="30">
        <v>126</v>
      </c>
      <c r="U52" s="29">
        <v>76</v>
      </c>
      <c r="V52" s="48">
        <v>26893</v>
      </c>
      <c r="W52" s="48">
        <f t="shared" si="21"/>
        <v>1542</v>
      </c>
      <c r="X52" s="133">
        <f t="shared" si="22"/>
        <v>111</v>
      </c>
      <c r="Y52" s="48">
        <f t="shared" si="23"/>
        <v>8955369</v>
      </c>
      <c r="Z52" s="48">
        <f t="shared" si="24"/>
        <v>41469006</v>
      </c>
      <c r="AA52" s="49">
        <f t="shared" si="25"/>
        <v>7.9610943118502524E-3</v>
      </c>
      <c r="AB52" s="50">
        <f>SUM($AA$2:AA52)</f>
        <v>0.78921098721269534</v>
      </c>
      <c r="AC52" s="45" t="str">
        <f t="shared" si="26"/>
        <v>B</v>
      </c>
      <c r="AD52" s="48">
        <f t="shared" si="35"/>
        <v>128.5</v>
      </c>
      <c r="AE52" s="48">
        <f t="shared" si="36"/>
        <v>77.639659109675819</v>
      </c>
      <c r="AF52" s="51">
        <f t="shared" si="27"/>
        <v>0.6041996817873605</v>
      </c>
      <c r="AG52" s="45" t="str">
        <f t="shared" si="28"/>
        <v>Y</v>
      </c>
      <c r="AH52" s="45" t="str">
        <f t="shared" si="29"/>
        <v>BY</v>
      </c>
      <c r="AI52" s="52">
        <f t="shared" si="30"/>
        <v>0.1</v>
      </c>
      <c r="AJ52" s="289" t="str">
        <f t="shared" si="31"/>
        <v>발주</v>
      </c>
      <c r="AK52" s="307" t="str">
        <f t="shared" si="32"/>
        <v>BY - 최소재고+분기1회</v>
      </c>
    </row>
    <row r="53" spans="1:37">
      <c r="A53" s="287">
        <v>79</v>
      </c>
      <c r="B53" s="475" t="s">
        <v>711</v>
      </c>
      <c r="C53" s="434" t="s">
        <v>632</v>
      </c>
      <c r="D53" s="43"/>
      <c r="E53" s="44"/>
      <c r="F53" s="42"/>
      <c r="G53" s="42"/>
      <c r="H53" s="42"/>
      <c r="I53" s="45" t="s">
        <v>186</v>
      </c>
      <c r="J53" s="46">
        <v>0</v>
      </c>
      <c r="K53" s="47">
        <v>0</v>
      </c>
      <c r="L53" s="47">
        <v>0</v>
      </c>
      <c r="M53" s="47">
        <v>14</v>
      </c>
      <c r="N53" s="47">
        <v>65</v>
      </c>
      <c r="O53" s="47">
        <v>741</v>
      </c>
      <c r="P53" s="47">
        <v>1735</v>
      </c>
      <c r="Q53" s="47">
        <v>244</v>
      </c>
      <c r="R53" s="47">
        <v>38</v>
      </c>
      <c r="S53" s="47">
        <v>7</v>
      </c>
      <c r="T53" s="30">
        <v>7</v>
      </c>
      <c r="U53" s="29">
        <v>4</v>
      </c>
      <c r="V53" s="48">
        <v>14434</v>
      </c>
      <c r="W53" s="48">
        <f t="shared" si="21"/>
        <v>2855</v>
      </c>
      <c r="X53" s="133">
        <f t="shared" si="22"/>
        <v>6</v>
      </c>
      <c r="Y53" s="48">
        <f t="shared" si="23"/>
        <v>259812</v>
      </c>
      <c r="Z53" s="48">
        <f t="shared" si="24"/>
        <v>41209070</v>
      </c>
      <c r="AA53" s="49">
        <f t="shared" si="25"/>
        <v>7.91119258497874E-3</v>
      </c>
      <c r="AB53" s="50">
        <f>SUM($AA$2:AA53)</f>
        <v>0.79712217979767408</v>
      </c>
      <c r="AC53" s="45" t="str">
        <f t="shared" si="26"/>
        <v>B</v>
      </c>
      <c r="AD53" s="48">
        <f>AVERAGE(M53:S53)</f>
        <v>406.28571428571428</v>
      </c>
      <c r="AE53" s="48">
        <f>_xlfn.STDEV.S(M53:S53)</f>
        <v>641.51895640625571</v>
      </c>
      <c r="AF53" s="51">
        <f t="shared" si="27"/>
        <v>1.5789847731518249</v>
      </c>
      <c r="AG53" s="45" t="str">
        <f t="shared" si="28"/>
        <v>Z</v>
      </c>
      <c r="AH53" s="45" t="str">
        <f t="shared" si="29"/>
        <v>BZ</v>
      </c>
      <c r="AI53" s="52">
        <f t="shared" si="30"/>
        <v>0</v>
      </c>
      <c r="AJ53" s="289" t="str">
        <f t="shared" si="31"/>
        <v>발주안함</v>
      </c>
      <c r="AK53" s="307" t="str">
        <f t="shared" si="32"/>
        <v>BZ - 중단</v>
      </c>
    </row>
    <row r="54" spans="1:37">
      <c r="A54" s="287">
        <v>49</v>
      </c>
      <c r="B54" s="475" t="s">
        <v>711</v>
      </c>
      <c r="C54" s="434" t="s">
        <v>633</v>
      </c>
      <c r="D54" s="43"/>
      <c r="E54" s="44"/>
      <c r="F54" s="42"/>
      <c r="G54" s="42"/>
      <c r="H54" s="42"/>
      <c r="I54" s="45" t="s">
        <v>238</v>
      </c>
      <c r="J54" s="46">
        <v>0</v>
      </c>
      <c r="K54" s="47">
        <v>0</v>
      </c>
      <c r="L54" s="47">
        <v>0</v>
      </c>
      <c r="M54" s="47">
        <v>371</v>
      </c>
      <c r="N54" s="47">
        <v>196</v>
      </c>
      <c r="O54" s="47">
        <v>136</v>
      </c>
      <c r="P54" s="47">
        <v>129</v>
      </c>
      <c r="Q54" s="47">
        <v>77</v>
      </c>
      <c r="R54" s="47">
        <v>76</v>
      </c>
      <c r="S54" s="47">
        <v>126</v>
      </c>
      <c r="T54" s="30">
        <v>87</v>
      </c>
      <c r="U54" s="29">
        <v>128</v>
      </c>
      <c r="V54" s="48">
        <v>29447</v>
      </c>
      <c r="W54" s="48">
        <f t="shared" si="21"/>
        <v>1326</v>
      </c>
      <c r="X54" s="133">
        <f t="shared" si="22"/>
        <v>113.66666666666667</v>
      </c>
      <c r="Y54" s="48">
        <f t="shared" si="23"/>
        <v>10041427</v>
      </c>
      <c r="Z54" s="48">
        <f t="shared" si="24"/>
        <v>39046722</v>
      </c>
      <c r="AA54" s="49">
        <f t="shared" si="25"/>
        <v>7.4960715578906842E-3</v>
      </c>
      <c r="AB54" s="50">
        <f>SUM($AA$2:AA54)</f>
        <v>0.80461825135556475</v>
      </c>
      <c r="AC54" s="45" t="str">
        <f t="shared" si="26"/>
        <v>B</v>
      </c>
      <c r="AD54" s="48">
        <f>AVERAGE(J54:U54)</f>
        <v>110.5</v>
      </c>
      <c r="AE54" s="48">
        <f>_xlfn.STDEV.P(J54:U54)</f>
        <v>98.406046562190483</v>
      </c>
      <c r="AF54" s="51">
        <f t="shared" si="27"/>
        <v>0.89055245757638446</v>
      </c>
      <c r="AG54" s="45" t="str">
        <f t="shared" si="28"/>
        <v>Y</v>
      </c>
      <c r="AH54" s="45" t="str">
        <f t="shared" si="29"/>
        <v>BY</v>
      </c>
      <c r="AI54" s="52">
        <f t="shared" si="30"/>
        <v>0.1</v>
      </c>
      <c r="AJ54" s="289" t="str">
        <f t="shared" si="31"/>
        <v>발주</v>
      </c>
      <c r="AK54" s="307" t="str">
        <f t="shared" si="32"/>
        <v>BY - 최소재고+분기1회</v>
      </c>
    </row>
    <row r="55" spans="1:37">
      <c r="A55" s="287">
        <v>53</v>
      </c>
      <c r="B55" s="475" t="s">
        <v>711</v>
      </c>
      <c r="C55" s="434" t="s">
        <v>634</v>
      </c>
      <c r="D55" s="43"/>
      <c r="E55" s="44"/>
      <c r="F55" s="42"/>
      <c r="G55" s="42"/>
      <c r="H55" s="42"/>
      <c r="I55" s="45" t="s">
        <v>186</v>
      </c>
      <c r="J55" s="46">
        <v>0</v>
      </c>
      <c r="K55" s="47">
        <v>0</v>
      </c>
      <c r="L55" s="47">
        <v>0</v>
      </c>
      <c r="M55" s="47">
        <v>546</v>
      </c>
      <c r="N55" s="47">
        <v>1664</v>
      </c>
      <c r="O55" s="47">
        <v>2106</v>
      </c>
      <c r="P55" s="47">
        <v>2577</v>
      </c>
      <c r="Q55" s="47">
        <v>1081</v>
      </c>
      <c r="R55" s="47">
        <v>311</v>
      </c>
      <c r="S55" s="47">
        <v>39</v>
      </c>
      <c r="T55" s="30">
        <v>30</v>
      </c>
      <c r="U55" s="29">
        <v>18</v>
      </c>
      <c r="V55" s="48">
        <v>4350</v>
      </c>
      <c r="W55" s="48">
        <f t="shared" si="21"/>
        <v>8372</v>
      </c>
      <c r="X55" s="133">
        <f t="shared" si="22"/>
        <v>29</v>
      </c>
      <c r="Y55" s="48">
        <f t="shared" si="23"/>
        <v>378450</v>
      </c>
      <c r="Z55" s="48">
        <f t="shared" si="24"/>
        <v>36418200</v>
      </c>
      <c r="AA55" s="49">
        <f t="shared" si="25"/>
        <v>6.9914558566420634E-3</v>
      </c>
      <c r="AB55" s="50">
        <f>SUM($AA$2:AA55)</f>
        <v>0.81160970721220682</v>
      </c>
      <c r="AC55" s="45" t="str">
        <f t="shared" si="26"/>
        <v>B</v>
      </c>
      <c r="AD55" s="48">
        <f>AVERAGE(M55:S55)</f>
        <v>1189.1428571428571</v>
      </c>
      <c r="AE55" s="48">
        <f>_xlfn.STDEV.S(M55:S55)</f>
        <v>958.43230130796201</v>
      </c>
      <c r="AF55" s="51">
        <f t="shared" si="27"/>
        <v>0.80598583723639283</v>
      </c>
      <c r="AG55" s="45" t="str">
        <f t="shared" si="28"/>
        <v>Y</v>
      </c>
      <c r="AH55" s="45" t="str">
        <f t="shared" si="29"/>
        <v>BY</v>
      </c>
      <c r="AI55" s="52">
        <f t="shared" si="30"/>
        <v>0</v>
      </c>
      <c r="AJ55" s="289" t="str">
        <f t="shared" si="31"/>
        <v>발주안함</v>
      </c>
      <c r="AK55" s="307" t="str">
        <f t="shared" si="32"/>
        <v>BY - 최소재고+분기1회</v>
      </c>
    </row>
    <row r="56" spans="1:37">
      <c r="A56" s="287">
        <v>51</v>
      </c>
      <c r="B56" s="475" t="s">
        <v>711</v>
      </c>
      <c r="C56" s="434" t="s">
        <v>635</v>
      </c>
      <c r="D56" s="43"/>
      <c r="E56" s="44"/>
      <c r="F56" s="42"/>
      <c r="G56" s="42"/>
      <c r="H56" s="42"/>
      <c r="I56" s="45" t="s">
        <v>238</v>
      </c>
      <c r="J56" s="46">
        <v>103</v>
      </c>
      <c r="K56" s="47">
        <v>120</v>
      </c>
      <c r="L56" s="47">
        <v>146</v>
      </c>
      <c r="M56" s="47">
        <v>102</v>
      </c>
      <c r="N56" s="47">
        <v>81</v>
      </c>
      <c r="O56" s="47">
        <v>38</v>
      </c>
      <c r="P56" s="47">
        <v>34</v>
      </c>
      <c r="Q56" s="47">
        <v>78</v>
      </c>
      <c r="R56" s="47">
        <v>98</v>
      </c>
      <c r="S56" s="47">
        <v>84</v>
      </c>
      <c r="T56" s="30">
        <v>71</v>
      </c>
      <c r="U56" s="29">
        <v>113</v>
      </c>
      <c r="V56" s="48">
        <v>30093</v>
      </c>
      <c r="W56" s="48">
        <f t="shared" si="21"/>
        <v>1068</v>
      </c>
      <c r="X56" s="133">
        <f t="shared" si="22"/>
        <v>89.333333333333329</v>
      </c>
      <c r="Y56" s="48">
        <f t="shared" si="23"/>
        <v>8064924</v>
      </c>
      <c r="Z56" s="48">
        <f t="shared" si="24"/>
        <v>32139324</v>
      </c>
      <c r="AA56" s="49">
        <f t="shared" si="25"/>
        <v>6.1700101874424557E-3</v>
      </c>
      <c r="AB56" s="50">
        <f>SUM($AA$2:AA56)</f>
        <v>0.81777971739964928</v>
      </c>
      <c r="AC56" s="45" t="str">
        <f t="shared" si="26"/>
        <v>B</v>
      </c>
      <c r="AD56" s="48">
        <f>AVERAGE(J56:U56)</f>
        <v>89</v>
      </c>
      <c r="AE56" s="48">
        <f>_xlfn.STDEV.P(J56:U56)</f>
        <v>30.811253355443583</v>
      </c>
      <c r="AF56" s="51">
        <f t="shared" si="27"/>
        <v>0.34619385792633239</v>
      </c>
      <c r="AG56" s="45" t="str">
        <f t="shared" si="28"/>
        <v>X</v>
      </c>
      <c r="AH56" s="45" t="str">
        <f t="shared" si="29"/>
        <v>BX</v>
      </c>
      <c r="AI56" s="52">
        <f t="shared" si="30"/>
        <v>0.1</v>
      </c>
      <c r="AJ56" s="289" t="str">
        <f t="shared" si="31"/>
        <v>발주</v>
      </c>
      <c r="AK56" s="307" t="str">
        <f t="shared" si="32"/>
        <v>BX - 낮은재고+격월1회</v>
      </c>
    </row>
    <row r="57" spans="1:37">
      <c r="A57" s="287">
        <v>52</v>
      </c>
      <c r="B57" s="475" t="s">
        <v>711</v>
      </c>
      <c r="C57" s="434" t="s">
        <v>636</v>
      </c>
      <c r="D57" s="43"/>
      <c r="E57" s="44"/>
      <c r="F57" s="42"/>
      <c r="G57" s="42"/>
      <c r="H57" s="42"/>
      <c r="I57" s="438" t="s">
        <v>238</v>
      </c>
      <c r="J57" s="46">
        <v>68</v>
      </c>
      <c r="K57" s="47">
        <v>61</v>
      </c>
      <c r="L57" s="47">
        <v>93</v>
      </c>
      <c r="M57" s="47">
        <v>84</v>
      </c>
      <c r="N57" s="47">
        <v>60</v>
      </c>
      <c r="O57" s="47">
        <v>52</v>
      </c>
      <c r="P57" s="47">
        <v>36</v>
      </c>
      <c r="Q57" s="47">
        <v>40</v>
      </c>
      <c r="R57" s="47">
        <v>55</v>
      </c>
      <c r="S57" s="47">
        <v>42</v>
      </c>
      <c r="T57" s="30">
        <v>50</v>
      </c>
      <c r="U57" s="29">
        <v>27</v>
      </c>
      <c r="V57" s="48">
        <v>48038</v>
      </c>
      <c r="W57" s="48">
        <f t="shared" si="21"/>
        <v>668</v>
      </c>
      <c r="X57" s="133">
        <f t="shared" si="22"/>
        <v>39.666666666666664</v>
      </c>
      <c r="Y57" s="48">
        <f t="shared" si="23"/>
        <v>5716522</v>
      </c>
      <c r="Z57" s="48">
        <f t="shared" si="24"/>
        <v>32089384</v>
      </c>
      <c r="AA57" s="49">
        <f t="shared" si="25"/>
        <v>6.160422857330569E-3</v>
      </c>
      <c r="AB57" s="50">
        <f>SUM($AA$2:AA57)</f>
        <v>0.82394014025697981</v>
      </c>
      <c r="AC57" s="45" t="str">
        <f t="shared" si="26"/>
        <v>B</v>
      </c>
      <c r="AD57" s="48">
        <f>AVERAGE(J57:U57)</f>
        <v>55.666666666666664</v>
      </c>
      <c r="AE57" s="48">
        <f>_xlfn.STDEV.P(J57:U57)</f>
        <v>18.445113776342563</v>
      </c>
      <c r="AF57" s="51">
        <f t="shared" si="27"/>
        <v>0.33134934927561494</v>
      </c>
      <c r="AG57" s="45" t="str">
        <f t="shared" si="28"/>
        <v>X</v>
      </c>
      <c r="AH57" s="45" t="str">
        <f t="shared" si="29"/>
        <v>BX</v>
      </c>
      <c r="AI57" s="52">
        <f t="shared" si="30"/>
        <v>0.1</v>
      </c>
      <c r="AJ57" s="289" t="str">
        <f t="shared" si="31"/>
        <v>발주</v>
      </c>
      <c r="AK57" s="307" t="str">
        <f t="shared" si="32"/>
        <v>BX - 낮은재고+격월1회</v>
      </c>
    </row>
    <row r="58" spans="1:37">
      <c r="A58" s="287">
        <v>55</v>
      </c>
      <c r="B58" s="475" t="s">
        <v>711</v>
      </c>
      <c r="C58" s="434" t="s">
        <v>637</v>
      </c>
      <c r="D58" s="43"/>
      <c r="E58" s="44"/>
      <c r="F58" s="42"/>
      <c r="G58" s="42"/>
      <c r="H58" s="42"/>
      <c r="I58" s="45" t="s">
        <v>238</v>
      </c>
      <c r="J58" s="46">
        <v>40</v>
      </c>
      <c r="K58" s="47">
        <v>52</v>
      </c>
      <c r="L58" s="47">
        <v>212</v>
      </c>
      <c r="M58" s="47">
        <v>224</v>
      </c>
      <c r="N58" s="47">
        <v>138</v>
      </c>
      <c r="O58" s="47">
        <v>90</v>
      </c>
      <c r="P58" s="47">
        <v>84</v>
      </c>
      <c r="Q58" s="47">
        <v>67</v>
      </c>
      <c r="R58" s="47">
        <v>81</v>
      </c>
      <c r="S58" s="47">
        <v>102</v>
      </c>
      <c r="T58" s="30">
        <v>66</v>
      </c>
      <c r="U58" s="29">
        <v>67</v>
      </c>
      <c r="V58" s="48">
        <v>24107</v>
      </c>
      <c r="W58" s="48">
        <f t="shared" si="21"/>
        <v>1223</v>
      </c>
      <c r="X58" s="133">
        <f t="shared" si="22"/>
        <v>78.333333333333329</v>
      </c>
      <c r="Y58" s="48">
        <f t="shared" si="23"/>
        <v>5665145</v>
      </c>
      <c r="Z58" s="48">
        <f t="shared" si="24"/>
        <v>29482861</v>
      </c>
      <c r="AA58" s="49">
        <f t="shared" si="25"/>
        <v>5.6600304575463332E-3</v>
      </c>
      <c r="AB58" s="50">
        <f>SUM($AA$2:AA58)</f>
        <v>0.82960017071452619</v>
      </c>
      <c r="AC58" s="45" t="str">
        <f t="shared" si="26"/>
        <v>B</v>
      </c>
      <c r="AD58" s="48">
        <f>AVERAGE(J58:U58)</f>
        <v>101.91666666666667</v>
      </c>
      <c r="AE58" s="48">
        <f>_xlfn.STDEV.P(J58:U58)</f>
        <v>57.21226315708509</v>
      </c>
      <c r="AF58" s="51">
        <f t="shared" si="27"/>
        <v>0.56136317079723719</v>
      </c>
      <c r="AG58" s="45" t="str">
        <f t="shared" si="28"/>
        <v>Y</v>
      </c>
      <c r="AH58" s="45" t="str">
        <f t="shared" si="29"/>
        <v>BY</v>
      </c>
      <c r="AI58" s="52">
        <f t="shared" si="30"/>
        <v>0.1</v>
      </c>
      <c r="AJ58" s="289" t="str">
        <f t="shared" si="31"/>
        <v>발주</v>
      </c>
      <c r="AK58" s="307" t="str">
        <f t="shared" si="32"/>
        <v>BY - 최소재고+분기1회</v>
      </c>
    </row>
    <row r="59" spans="1:37">
      <c r="A59" s="287">
        <v>54</v>
      </c>
      <c r="B59" s="475" t="s">
        <v>711</v>
      </c>
      <c r="C59" s="434" t="s">
        <v>638</v>
      </c>
      <c r="D59" s="43"/>
      <c r="E59" s="44"/>
      <c r="F59" s="42"/>
      <c r="G59" s="42"/>
      <c r="H59" s="42"/>
      <c r="I59" s="439" t="s">
        <v>238</v>
      </c>
      <c r="J59" s="46">
        <v>236</v>
      </c>
      <c r="K59" s="47">
        <v>113</v>
      </c>
      <c r="L59" s="47">
        <v>209</v>
      </c>
      <c r="M59" s="47">
        <v>117</v>
      </c>
      <c r="N59" s="47">
        <v>81</v>
      </c>
      <c r="O59" s="47">
        <v>83</v>
      </c>
      <c r="P59" s="47">
        <v>63</v>
      </c>
      <c r="Q59" s="47">
        <v>82</v>
      </c>
      <c r="R59" s="47">
        <v>101</v>
      </c>
      <c r="S59" s="47">
        <v>91</v>
      </c>
      <c r="T59" s="30">
        <v>47</v>
      </c>
      <c r="U59" s="29">
        <v>49</v>
      </c>
      <c r="V59" s="48">
        <v>22887</v>
      </c>
      <c r="W59" s="48">
        <f t="shared" si="21"/>
        <v>1272</v>
      </c>
      <c r="X59" s="133">
        <f t="shared" si="22"/>
        <v>62.333333333333336</v>
      </c>
      <c r="Y59" s="48">
        <f t="shared" si="23"/>
        <v>4279869</v>
      </c>
      <c r="Z59" s="48">
        <f t="shared" si="24"/>
        <v>29112264</v>
      </c>
      <c r="AA59" s="49">
        <f t="shared" si="25"/>
        <v>5.5888843666878074E-3</v>
      </c>
      <c r="AB59" s="50">
        <f>SUM($AA$2:AA59)</f>
        <v>0.83518905508121399</v>
      </c>
      <c r="AC59" s="45" t="str">
        <f t="shared" si="26"/>
        <v>B</v>
      </c>
      <c r="AD59" s="48">
        <f>AVERAGE(J59:U59)</f>
        <v>106</v>
      </c>
      <c r="AE59" s="48">
        <f>_xlfn.STDEV.P(J59:U59)</f>
        <v>56.449092109616785</v>
      </c>
      <c r="AF59" s="51">
        <f t="shared" si="27"/>
        <v>0.53253860480770554</v>
      </c>
      <c r="AG59" s="45" t="str">
        <f t="shared" si="28"/>
        <v>Y</v>
      </c>
      <c r="AH59" s="45" t="str">
        <f t="shared" si="29"/>
        <v>BY</v>
      </c>
      <c r="AI59" s="52">
        <f t="shared" si="30"/>
        <v>0.1</v>
      </c>
      <c r="AJ59" s="289" t="str">
        <f t="shared" si="31"/>
        <v>발주</v>
      </c>
      <c r="AK59" s="307" t="str">
        <f t="shared" si="32"/>
        <v>BY - 최소재고+분기1회</v>
      </c>
    </row>
    <row r="60" spans="1:37">
      <c r="A60" s="287">
        <v>56</v>
      </c>
      <c r="B60" s="475" t="s">
        <v>711</v>
      </c>
      <c r="C60" s="434" t="s">
        <v>639</v>
      </c>
      <c r="D60" s="43"/>
      <c r="E60" s="44"/>
      <c r="F60" s="42"/>
      <c r="G60" s="42"/>
      <c r="H60" s="42"/>
      <c r="I60" s="45" t="s">
        <v>238</v>
      </c>
      <c r="J60" s="46">
        <v>54</v>
      </c>
      <c r="K60" s="47">
        <v>66</v>
      </c>
      <c r="L60" s="47">
        <v>178</v>
      </c>
      <c r="M60" s="47">
        <v>230</v>
      </c>
      <c r="N60" s="47">
        <v>83</v>
      </c>
      <c r="O60" s="47">
        <v>75</v>
      </c>
      <c r="P60" s="47">
        <v>76</v>
      </c>
      <c r="Q60" s="47">
        <v>56</v>
      </c>
      <c r="R60" s="47">
        <v>58</v>
      </c>
      <c r="S60" s="47">
        <v>89</v>
      </c>
      <c r="T60" s="30">
        <v>144</v>
      </c>
      <c r="U60" s="29">
        <v>94</v>
      </c>
      <c r="V60" s="48">
        <v>24107</v>
      </c>
      <c r="W60" s="48">
        <f t="shared" si="21"/>
        <v>1203</v>
      </c>
      <c r="X60" s="133">
        <f t="shared" si="22"/>
        <v>109</v>
      </c>
      <c r="Y60" s="48">
        <f t="shared" si="23"/>
        <v>7882989</v>
      </c>
      <c r="Z60" s="48">
        <f t="shared" si="24"/>
        <v>29000721</v>
      </c>
      <c r="AA60" s="49">
        <f t="shared" si="25"/>
        <v>5.5674706790091897E-3</v>
      </c>
      <c r="AB60" s="50">
        <f>SUM($AA$2:AA60)</f>
        <v>0.84075652576022319</v>
      </c>
      <c r="AC60" s="45" t="str">
        <f t="shared" si="26"/>
        <v>B</v>
      </c>
      <c r="AD60" s="48">
        <f>AVERAGE(J60:U60)</f>
        <v>100.25</v>
      </c>
      <c r="AE60" s="48">
        <f>_xlfn.STDEV.P(J60:U60)</f>
        <v>52.86638030607606</v>
      </c>
      <c r="AF60" s="51">
        <f t="shared" si="27"/>
        <v>0.52734543946210533</v>
      </c>
      <c r="AG60" s="45" t="str">
        <f t="shared" si="28"/>
        <v>Y</v>
      </c>
      <c r="AH60" s="45" t="str">
        <f t="shared" si="29"/>
        <v>BY</v>
      </c>
      <c r="AI60" s="52">
        <f t="shared" si="30"/>
        <v>0.1</v>
      </c>
      <c r="AJ60" s="289" t="str">
        <f t="shared" si="31"/>
        <v>발주</v>
      </c>
      <c r="AK60" s="307" t="str">
        <f t="shared" si="32"/>
        <v>BY - 최소재고+분기1회</v>
      </c>
    </row>
    <row r="61" spans="1:37">
      <c r="A61" s="287">
        <v>57</v>
      </c>
      <c r="B61" s="475" t="s">
        <v>711</v>
      </c>
      <c r="C61" s="434" t="s">
        <v>640</v>
      </c>
      <c r="D61" s="43"/>
      <c r="E61" s="44"/>
      <c r="F61" s="42"/>
      <c r="G61" s="42"/>
      <c r="H61" s="42"/>
      <c r="I61" s="45" t="s">
        <v>268</v>
      </c>
      <c r="J61" s="46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30">
        <v>625</v>
      </c>
      <c r="U61" s="29">
        <v>89</v>
      </c>
      <c r="V61" s="48">
        <v>39794</v>
      </c>
      <c r="W61" s="48">
        <f t="shared" si="21"/>
        <v>714</v>
      </c>
      <c r="X61" s="133">
        <f t="shared" si="22"/>
        <v>238</v>
      </c>
      <c r="Y61" s="48">
        <f t="shared" si="23"/>
        <v>28412916</v>
      </c>
      <c r="Z61" s="48">
        <f t="shared" si="24"/>
        <v>28412916</v>
      </c>
      <c r="AA61" s="49">
        <f t="shared" si="25"/>
        <v>5.4546256534501701E-3</v>
      </c>
      <c r="AB61" s="50">
        <f>SUM($AA$2:AA61)</f>
        <v>0.84621115141367331</v>
      </c>
      <c r="AC61" s="45" t="str">
        <f t="shared" si="26"/>
        <v>B</v>
      </c>
      <c r="AD61" s="48">
        <f>AVERAGE(J61,K61,R61,S61,T61,U61)</f>
        <v>119</v>
      </c>
      <c r="AE61" s="48">
        <f>_xlfn.STDEV.S(J61,K61,R61,S61,T61,U61)</f>
        <v>250.43162739558275</v>
      </c>
      <c r="AF61" s="51">
        <f t="shared" si="27"/>
        <v>2.1044674571057373</v>
      </c>
      <c r="AG61" s="45" t="str">
        <f t="shared" si="28"/>
        <v>Z</v>
      </c>
      <c r="AH61" s="45" t="str">
        <f t="shared" si="29"/>
        <v>BZ</v>
      </c>
      <c r="AI61" s="52">
        <f t="shared" si="30"/>
        <v>0</v>
      </c>
      <c r="AJ61" s="289" t="str">
        <f t="shared" si="31"/>
        <v>발주안함</v>
      </c>
      <c r="AK61" s="307" t="str">
        <f t="shared" si="32"/>
        <v>BZ - 중단</v>
      </c>
    </row>
    <row r="62" spans="1:37">
      <c r="A62" s="287">
        <v>101</v>
      </c>
      <c r="B62" s="475" t="s">
        <v>711</v>
      </c>
      <c r="C62" s="434" t="s">
        <v>641</v>
      </c>
      <c r="D62" s="43"/>
      <c r="E62" s="44"/>
      <c r="F62" s="42"/>
      <c r="G62" s="42"/>
      <c r="H62" s="42"/>
      <c r="I62" s="45" t="s">
        <v>186</v>
      </c>
      <c r="J62" s="46">
        <v>0</v>
      </c>
      <c r="K62" s="47">
        <v>0</v>
      </c>
      <c r="L62" s="47">
        <v>0</v>
      </c>
      <c r="M62" s="47">
        <v>21</v>
      </c>
      <c r="N62" s="47">
        <v>123</v>
      </c>
      <c r="O62" s="47">
        <v>1008</v>
      </c>
      <c r="P62" s="47">
        <v>1517</v>
      </c>
      <c r="Q62" s="47">
        <v>180</v>
      </c>
      <c r="R62" s="47">
        <v>34</v>
      </c>
      <c r="S62" s="47">
        <v>19</v>
      </c>
      <c r="T62" s="30">
        <v>10</v>
      </c>
      <c r="U62" s="29">
        <v>6</v>
      </c>
      <c r="V62" s="48">
        <v>9649</v>
      </c>
      <c r="W62" s="48">
        <f t="shared" si="21"/>
        <v>2918</v>
      </c>
      <c r="X62" s="133">
        <f t="shared" si="22"/>
        <v>11.666666666666666</v>
      </c>
      <c r="Y62" s="48">
        <f t="shared" si="23"/>
        <v>337715</v>
      </c>
      <c r="Z62" s="48">
        <f t="shared" si="24"/>
        <v>28155782</v>
      </c>
      <c r="AA62" s="49">
        <f t="shared" si="25"/>
        <v>5.4052618460615071E-3</v>
      </c>
      <c r="AB62" s="50">
        <f>SUM($AA$2:AA62)</f>
        <v>0.85161641325973481</v>
      </c>
      <c r="AC62" s="45" t="str">
        <f t="shared" si="26"/>
        <v>B</v>
      </c>
      <c r="AD62" s="48">
        <f>AVERAGE(M62:S62)</f>
        <v>414.57142857142856</v>
      </c>
      <c r="AE62" s="48">
        <f>_xlfn.STDEV.S(M62:S62)</f>
        <v>600.52112289878619</v>
      </c>
      <c r="AF62" s="51">
        <f t="shared" si="27"/>
        <v>1.4485347554415933</v>
      </c>
      <c r="AG62" s="45" t="str">
        <f t="shared" si="28"/>
        <v>Z</v>
      </c>
      <c r="AH62" s="45" t="str">
        <f t="shared" si="29"/>
        <v>BZ</v>
      </c>
      <c r="AI62" s="52">
        <f t="shared" si="30"/>
        <v>0</v>
      </c>
      <c r="AJ62" s="289" t="str">
        <f t="shared" si="31"/>
        <v>발주안함</v>
      </c>
      <c r="AK62" s="307" t="str">
        <f t="shared" si="32"/>
        <v>BZ - 중단</v>
      </c>
    </row>
    <row r="63" spans="1:37">
      <c r="A63" s="287">
        <v>60</v>
      </c>
      <c r="B63" s="475" t="s">
        <v>711</v>
      </c>
      <c r="C63" s="434" t="s">
        <v>642</v>
      </c>
      <c r="D63" s="43"/>
      <c r="E63" s="44"/>
      <c r="F63" s="42"/>
      <c r="G63" s="42"/>
      <c r="H63" s="42"/>
      <c r="I63" s="45" t="s">
        <v>186</v>
      </c>
      <c r="J63" s="46">
        <v>3</v>
      </c>
      <c r="K63" s="47">
        <v>4</v>
      </c>
      <c r="L63" s="47">
        <v>31</v>
      </c>
      <c r="M63" s="47">
        <v>62</v>
      </c>
      <c r="N63" s="47">
        <v>112</v>
      </c>
      <c r="O63" s="47">
        <v>156</v>
      </c>
      <c r="P63" s="47">
        <v>94</v>
      </c>
      <c r="Q63" s="47">
        <v>84</v>
      </c>
      <c r="R63" s="47">
        <v>12</v>
      </c>
      <c r="S63" s="47">
        <v>4</v>
      </c>
      <c r="T63" s="30">
        <v>1</v>
      </c>
      <c r="U63" s="29">
        <v>2</v>
      </c>
      <c r="V63" s="48">
        <v>48857</v>
      </c>
      <c r="W63" s="48">
        <f t="shared" si="21"/>
        <v>565</v>
      </c>
      <c r="X63" s="133">
        <f t="shared" si="22"/>
        <v>2.3333333333333335</v>
      </c>
      <c r="Y63" s="48">
        <f t="shared" si="23"/>
        <v>341999</v>
      </c>
      <c r="Z63" s="48">
        <f t="shared" si="24"/>
        <v>27604205</v>
      </c>
      <c r="AA63" s="49">
        <f t="shared" si="25"/>
        <v>5.2993717623385592E-3</v>
      </c>
      <c r="AB63" s="50">
        <f>SUM($AA$2:AA63)</f>
        <v>0.85691578502207333</v>
      </c>
      <c r="AC63" s="45" t="str">
        <f t="shared" si="26"/>
        <v>B</v>
      </c>
      <c r="AD63" s="48">
        <f>AVERAGE(M63:S63)</f>
        <v>74.857142857142861</v>
      </c>
      <c r="AE63" s="48">
        <f>_xlfn.STDEV.S(M63:S63)</f>
        <v>54.084589830587205</v>
      </c>
      <c r="AF63" s="51">
        <f t="shared" si="27"/>
        <v>0.72250406262234812</v>
      </c>
      <c r="AG63" s="45" t="str">
        <f t="shared" si="28"/>
        <v>Y</v>
      </c>
      <c r="AH63" s="45" t="str">
        <f t="shared" si="29"/>
        <v>BY</v>
      </c>
      <c r="AI63" s="52">
        <f t="shared" si="30"/>
        <v>0</v>
      </c>
      <c r="AJ63" s="289" t="str">
        <f t="shared" si="31"/>
        <v>발주안함</v>
      </c>
      <c r="AK63" s="307" t="str">
        <f t="shared" si="32"/>
        <v>BY - 최소재고+분기1회</v>
      </c>
    </row>
    <row r="64" spans="1:37">
      <c r="A64" s="287">
        <v>58</v>
      </c>
      <c r="B64" s="475" t="s">
        <v>711</v>
      </c>
      <c r="C64" s="434" t="s">
        <v>643</v>
      </c>
      <c r="D64" s="43"/>
      <c r="E64" s="44"/>
      <c r="F64" s="42"/>
      <c r="G64" s="42"/>
      <c r="H64" s="42"/>
      <c r="I64" s="45" t="s">
        <v>238</v>
      </c>
      <c r="J64" s="46">
        <v>0</v>
      </c>
      <c r="K64" s="47">
        <v>0</v>
      </c>
      <c r="L64" s="47">
        <v>0</v>
      </c>
      <c r="M64" s="47">
        <v>495</v>
      </c>
      <c r="N64" s="47">
        <v>264</v>
      </c>
      <c r="O64" s="47">
        <v>137</v>
      </c>
      <c r="P64" s="47">
        <v>74</v>
      </c>
      <c r="Q64" s="47">
        <v>98</v>
      </c>
      <c r="R64" s="47">
        <v>130</v>
      </c>
      <c r="S64" s="47">
        <v>250</v>
      </c>
      <c r="T64" s="30">
        <v>175</v>
      </c>
      <c r="U64" s="29">
        <v>232</v>
      </c>
      <c r="V64" s="48">
        <v>14655</v>
      </c>
      <c r="W64" s="48">
        <f t="shared" si="21"/>
        <v>1855</v>
      </c>
      <c r="X64" s="133">
        <f t="shared" si="22"/>
        <v>219</v>
      </c>
      <c r="Y64" s="48">
        <f t="shared" si="23"/>
        <v>9628335</v>
      </c>
      <c r="Z64" s="48">
        <f t="shared" si="24"/>
        <v>27185025</v>
      </c>
      <c r="AA64" s="49">
        <f t="shared" si="25"/>
        <v>5.2188988541226888E-3</v>
      </c>
      <c r="AB64" s="50">
        <f>SUM($AA$2:AA64)</f>
        <v>0.86213468387619607</v>
      </c>
      <c r="AC64" s="45" t="str">
        <f t="shared" si="26"/>
        <v>B</v>
      </c>
      <c r="AD64" s="48">
        <f t="shared" ref="AD64:AD97" si="37">AVERAGE(J64:U64)</f>
        <v>154.58333333333334</v>
      </c>
      <c r="AE64" s="48">
        <f t="shared" ref="AE64:AE90" si="38">_xlfn.STDEV.P(J64:U64)</f>
        <v>137.13342549826754</v>
      </c>
      <c r="AF64" s="51">
        <f t="shared" si="27"/>
        <v>0.88711649918016733</v>
      </c>
      <c r="AG64" s="45" t="str">
        <f t="shared" si="28"/>
        <v>Y</v>
      </c>
      <c r="AH64" s="45" t="str">
        <f t="shared" si="29"/>
        <v>BY</v>
      </c>
      <c r="AI64" s="52">
        <f t="shared" si="30"/>
        <v>0.1</v>
      </c>
      <c r="AJ64" s="289" t="str">
        <f t="shared" si="31"/>
        <v>발주</v>
      </c>
      <c r="AK64" s="307" t="str">
        <f t="shared" si="32"/>
        <v>BY - 최소재고+분기1회</v>
      </c>
    </row>
    <row r="65" spans="1:37">
      <c r="A65" s="287">
        <v>62</v>
      </c>
      <c r="B65" s="475" t="s">
        <v>711</v>
      </c>
      <c r="C65" s="434" t="s">
        <v>644</v>
      </c>
      <c r="D65" s="43"/>
      <c r="E65" s="44"/>
      <c r="F65" s="42"/>
      <c r="G65" s="42"/>
      <c r="H65" s="42"/>
      <c r="I65" s="45" t="s">
        <v>238</v>
      </c>
      <c r="J65" s="46">
        <v>0</v>
      </c>
      <c r="K65" s="47">
        <v>0</v>
      </c>
      <c r="L65" s="47">
        <v>0</v>
      </c>
      <c r="M65" s="47">
        <v>386</v>
      </c>
      <c r="N65" s="47">
        <v>163</v>
      </c>
      <c r="O65" s="47">
        <v>118</v>
      </c>
      <c r="P65" s="47">
        <v>65</v>
      </c>
      <c r="Q65" s="47">
        <v>59</v>
      </c>
      <c r="R65" s="47">
        <v>60</v>
      </c>
      <c r="S65" s="47">
        <v>151</v>
      </c>
      <c r="T65" s="30">
        <v>82</v>
      </c>
      <c r="U65" s="29">
        <v>103</v>
      </c>
      <c r="V65" s="48">
        <v>22456</v>
      </c>
      <c r="W65" s="48">
        <f t="shared" si="21"/>
        <v>1187</v>
      </c>
      <c r="X65" s="133">
        <f t="shared" si="22"/>
        <v>112</v>
      </c>
      <c r="Y65" s="48">
        <f t="shared" si="23"/>
        <v>7545216</v>
      </c>
      <c r="Z65" s="48">
        <f t="shared" si="24"/>
        <v>26655272</v>
      </c>
      <c r="AA65" s="49">
        <f t="shared" si="25"/>
        <v>5.1171984758935701E-3</v>
      </c>
      <c r="AB65" s="50">
        <f>SUM($AA$2:AA65)</f>
        <v>0.86725188235208961</v>
      </c>
      <c r="AC65" s="45" t="str">
        <f t="shared" si="26"/>
        <v>B</v>
      </c>
      <c r="AD65" s="48">
        <f t="shared" si="37"/>
        <v>98.916666666666671</v>
      </c>
      <c r="AE65" s="48">
        <f t="shared" si="38"/>
        <v>101.45397834595853</v>
      </c>
      <c r="AF65" s="51">
        <f t="shared" si="27"/>
        <v>1.0256510026550145</v>
      </c>
      <c r="AG65" s="45" t="str">
        <f t="shared" si="28"/>
        <v>Z</v>
      </c>
      <c r="AH65" s="45" t="str">
        <f t="shared" si="29"/>
        <v>BZ</v>
      </c>
      <c r="AI65" s="52">
        <f t="shared" si="30"/>
        <v>0</v>
      </c>
      <c r="AJ65" s="289" t="str">
        <f t="shared" si="31"/>
        <v>발주안함</v>
      </c>
      <c r="AK65" s="307" t="str">
        <f t="shared" si="32"/>
        <v>BZ - 중단</v>
      </c>
    </row>
    <row r="66" spans="1:37">
      <c r="A66" s="287">
        <v>59</v>
      </c>
      <c r="B66" s="475" t="s">
        <v>711</v>
      </c>
      <c r="C66" s="434" t="s">
        <v>645</v>
      </c>
      <c r="D66" s="43"/>
      <c r="E66" s="44"/>
      <c r="F66" s="42"/>
      <c r="G66" s="42"/>
      <c r="H66" s="42"/>
      <c r="I66" s="45" t="s">
        <v>238</v>
      </c>
      <c r="J66" s="46">
        <v>117</v>
      </c>
      <c r="K66" s="47">
        <v>105</v>
      </c>
      <c r="L66" s="47">
        <v>111</v>
      </c>
      <c r="M66" s="47">
        <v>82</v>
      </c>
      <c r="N66" s="47">
        <v>67</v>
      </c>
      <c r="O66" s="47">
        <v>37</v>
      </c>
      <c r="P66" s="47">
        <v>35</v>
      </c>
      <c r="Q66" s="47">
        <v>70</v>
      </c>
      <c r="R66" s="47">
        <v>98</v>
      </c>
      <c r="S66" s="47">
        <v>125</v>
      </c>
      <c r="T66" s="30">
        <v>143</v>
      </c>
      <c r="U66" s="29">
        <v>101</v>
      </c>
      <c r="V66" s="48">
        <v>24107</v>
      </c>
      <c r="W66" s="48">
        <f t="shared" ref="W66:W100" si="39">SUM(J66:U66)</f>
        <v>1091</v>
      </c>
      <c r="X66" s="133">
        <f t="shared" ref="X66:X100" si="40">AVERAGE(S66:U66)</f>
        <v>123</v>
      </c>
      <c r="Y66" s="48">
        <f t="shared" ref="Y66:Y100" si="41">(S66+T66+U66)*V66</f>
        <v>8895483</v>
      </c>
      <c r="Z66" s="48">
        <f t="shared" ref="Z66:Z100" si="42">W66*V66</f>
        <v>26300737</v>
      </c>
      <c r="AA66" s="49">
        <f t="shared" ref="AA66:AA97" si="43">Z66/SUM($Z$2:$Z$100)</f>
        <v>5.0491359192011854E-3</v>
      </c>
      <c r="AB66" s="50">
        <f>SUM($AA$2:AA66)</f>
        <v>0.87230101827129081</v>
      </c>
      <c r="AC66" s="45" t="str">
        <f t="shared" ref="AC66:AC97" si="44">IF(AB66&lt;=70%,"A",IF(AB66&lt;=90%,"B","C"))</f>
        <v>B</v>
      </c>
      <c r="AD66" s="48">
        <f t="shared" si="37"/>
        <v>90.916666666666671</v>
      </c>
      <c r="AE66" s="48">
        <f t="shared" si="38"/>
        <v>32.18555145126804</v>
      </c>
      <c r="AF66" s="51">
        <f t="shared" ref="AF66:AF97" si="45">IF(AD66=0,0,AE66/AD66)</f>
        <v>0.35401156500019842</v>
      </c>
      <c r="AG66" s="45" t="str">
        <f t="shared" ref="AG66:AG97" si="46">IF(AF66&lt;0.5,"X",IF(AF66&lt;=1,"Y","Z"))</f>
        <v>X</v>
      </c>
      <c r="AH66" s="45" t="str">
        <f t="shared" ref="AH66:AH97" si="47">AC66&amp;AG66</f>
        <v>BX</v>
      </c>
      <c r="AI66" s="52">
        <f t="shared" ref="AI66:AI97" si="48">IF(AH66="CZ",0%,IF(AH66="BZ",0%,IF(AH66="CY",5%,IF(I66="사계절",10%,IF(I66="봄",20%,IF(I66="여름",0%,IF(I66="가을",0%,IF(I66="겨울",0%,10%))))))))</f>
        <v>0.1</v>
      </c>
      <c r="AJ66" s="289" t="str">
        <f t="shared" ref="AJ66:AJ97" si="49">IF(AI66=0,"발주안함","발주")</f>
        <v>발주</v>
      </c>
      <c r="AK66" s="307" t="str">
        <f t="shared" ref="AK66:AK100" si="50">IF(AC66="A",IF(AG66="X","AX - 중간재고+월1회(LCL)",IF(AG66="Y","AY - 낮은재고+격주1회","AZ - 중단")),IF(AC66="B",IF(AG66="X","BX - 낮은재고+격월1회",IF(AG66="Y","BY - 최소재고+분기1회","BZ - 중단")),IF(AG66="X","CX - 중단(재고소진만)",IF(AG66="Y","CY - 중단(재고소진만)","CZ - 즉시단종"))))</f>
        <v>BX - 낮은재고+격월1회</v>
      </c>
    </row>
    <row r="67" spans="1:37">
      <c r="A67" s="287">
        <v>64</v>
      </c>
      <c r="B67" s="475" t="s">
        <v>711</v>
      </c>
      <c r="C67" s="434" t="s">
        <v>646</v>
      </c>
      <c r="D67" s="43"/>
      <c r="E67" s="44"/>
      <c r="F67" s="42"/>
      <c r="G67" s="42"/>
      <c r="H67" s="42"/>
      <c r="I67" s="45" t="s">
        <v>238</v>
      </c>
      <c r="J67" s="46">
        <v>241</v>
      </c>
      <c r="K67" s="47">
        <v>278</v>
      </c>
      <c r="L67" s="47">
        <v>586</v>
      </c>
      <c r="M67" s="47">
        <v>282</v>
      </c>
      <c r="N67" s="47">
        <v>424</v>
      </c>
      <c r="O67" s="47">
        <v>2</v>
      </c>
      <c r="P67" s="47">
        <v>2</v>
      </c>
      <c r="Q67" s="47">
        <v>4</v>
      </c>
      <c r="R67" s="47">
        <v>130</v>
      </c>
      <c r="S67" s="47">
        <v>1183</v>
      </c>
      <c r="T67" s="30">
        <v>334</v>
      </c>
      <c r="U67" s="29">
        <v>1482</v>
      </c>
      <c r="V67" s="48">
        <v>5000</v>
      </c>
      <c r="W67" s="48">
        <f t="shared" si="39"/>
        <v>4948</v>
      </c>
      <c r="X67" s="133">
        <f t="shared" si="40"/>
        <v>999.66666666666663</v>
      </c>
      <c r="Y67" s="48">
        <f t="shared" si="41"/>
        <v>14995000</v>
      </c>
      <c r="Z67" s="48">
        <f t="shared" si="42"/>
        <v>24740000</v>
      </c>
      <c r="AA67" s="49">
        <f t="shared" si="43"/>
        <v>4.7495103517835764E-3</v>
      </c>
      <c r="AB67" s="50">
        <f>SUM($AA$2:AA67)</f>
        <v>0.87705052862307442</v>
      </c>
      <c r="AC67" s="45" t="str">
        <f t="shared" si="44"/>
        <v>B</v>
      </c>
      <c r="AD67" s="48">
        <f t="shared" si="37"/>
        <v>412.33333333333331</v>
      </c>
      <c r="AE67" s="48">
        <f t="shared" si="38"/>
        <v>449.27058167161977</v>
      </c>
      <c r="AF67" s="51">
        <f t="shared" si="45"/>
        <v>1.0895810388155693</v>
      </c>
      <c r="AG67" s="45" t="str">
        <f t="shared" si="46"/>
        <v>Z</v>
      </c>
      <c r="AH67" s="45" t="str">
        <f t="shared" si="47"/>
        <v>BZ</v>
      </c>
      <c r="AI67" s="52">
        <f t="shared" si="48"/>
        <v>0</v>
      </c>
      <c r="AJ67" s="289" t="str">
        <f t="shared" si="49"/>
        <v>발주안함</v>
      </c>
      <c r="AK67" s="307" t="str">
        <f t="shared" si="50"/>
        <v>BZ - 중단</v>
      </c>
    </row>
    <row r="68" spans="1:37">
      <c r="A68" s="287">
        <v>67</v>
      </c>
      <c r="B68" s="475" t="s">
        <v>711</v>
      </c>
      <c r="C68" s="434" t="s">
        <v>647</v>
      </c>
      <c r="D68" s="43"/>
      <c r="E68" s="44"/>
      <c r="F68" s="42"/>
      <c r="G68" s="42"/>
      <c r="H68" s="42"/>
      <c r="I68" s="45" t="s">
        <v>238</v>
      </c>
      <c r="J68" s="46">
        <v>0</v>
      </c>
      <c r="K68" s="47">
        <v>0</v>
      </c>
      <c r="L68" s="47">
        <v>1587</v>
      </c>
      <c r="M68" s="47">
        <v>1774</v>
      </c>
      <c r="N68" s="47">
        <v>3323</v>
      </c>
      <c r="O68" s="47">
        <v>94</v>
      </c>
      <c r="P68" s="47">
        <v>282</v>
      </c>
      <c r="Q68" s="47">
        <v>12</v>
      </c>
      <c r="R68" s="47">
        <v>12</v>
      </c>
      <c r="S68" s="47">
        <v>92</v>
      </c>
      <c r="T68" s="30">
        <v>0</v>
      </c>
      <c r="U68" s="29">
        <v>4</v>
      </c>
      <c r="V68" s="48">
        <v>3400</v>
      </c>
      <c r="W68" s="48">
        <f t="shared" si="39"/>
        <v>7180</v>
      </c>
      <c r="X68" s="133">
        <f t="shared" si="40"/>
        <v>32</v>
      </c>
      <c r="Y68" s="48">
        <f t="shared" si="41"/>
        <v>326400</v>
      </c>
      <c r="Z68" s="48">
        <f t="shared" si="42"/>
        <v>24412000</v>
      </c>
      <c r="AA68" s="49">
        <f t="shared" si="43"/>
        <v>4.6865419041123959E-3</v>
      </c>
      <c r="AB68" s="50">
        <f>SUM($AA$2:AA68)</f>
        <v>0.88173707052718686</v>
      </c>
      <c r="AC68" s="45" t="str">
        <f t="shared" si="44"/>
        <v>B</v>
      </c>
      <c r="AD68" s="48">
        <f t="shared" si="37"/>
        <v>598.33333333333337</v>
      </c>
      <c r="AE68" s="48">
        <f t="shared" si="38"/>
        <v>1020.9908858010873</v>
      </c>
      <c r="AF68" s="51">
        <f t="shared" si="45"/>
        <v>1.7063914525923463</v>
      </c>
      <c r="AG68" s="45" t="str">
        <f t="shared" si="46"/>
        <v>Z</v>
      </c>
      <c r="AH68" s="45" t="str">
        <f t="shared" si="47"/>
        <v>BZ</v>
      </c>
      <c r="AI68" s="52">
        <f t="shared" si="48"/>
        <v>0</v>
      </c>
      <c r="AJ68" s="289" t="str">
        <f t="shared" si="49"/>
        <v>발주안함</v>
      </c>
      <c r="AK68" s="307" t="str">
        <f t="shared" si="50"/>
        <v>BZ - 중단</v>
      </c>
    </row>
    <row r="69" spans="1:37">
      <c r="A69" s="287">
        <v>66</v>
      </c>
      <c r="B69" s="475" t="s">
        <v>711</v>
      </c>
      <c r="C69" s="434" t="s">
        <v>648</v>
      </c>
      <c r="D69" s="43"/>
      <c r="E69" s="44"/>
      <c r="F69" s="42"/>
      <c r="G69" s="42"/>
      <c r="H69" s="42"/>
      <c r="I69" s="45" t="s">
        <v>238</v>
      </c>
      <c r="J69" s="46">
        <v>0</v>
      </c>
      <c r="K69" s="47">
        <v>0</v>
      </c>
      <c r="L69" s="47">
        <v>0</v>
      </c>
      <c r="M69" s="47">
        <v>284</v>
      </c>
      <c r="N69" s="47">
        <v>389</v>
      </c>
      <c r="O69" s="47">
        <v>280</v>
      </c>
      <c r="P69" s="47">
        <v>175</v>
      </c>
      <c r="Q69" s="47">
        <v>135</v>
      </c>
      <c r="R69" s="47">
        <v>100</v>
      </c>
      <c r="S69" s="47">
        <v>140</v>
      </c>
      <c r="T69" s="30">
        <v>270</v>
      </c>
      <c r="U69" s="29">
        <v>317</v>
      </c>
      <c r="V69" s="48">
        <v>11637</v>
      </c>
      <c r="W69" s="48">
        <f t="shared" si="39"/>
        <v>2090</v>
      </c>
      <c r="X69" s="133">
        <f t="shared" si="40"/>
        <v>242.33333333333334</v>
      </c>
      <c r="Y69" s="48">
        <f t="shared" si="41"/>
        <v>8460099</v>
      </c>
      <c r="Z69" s="48">
        <f t="shared" si="42"/>
        <v>24321330</v>
      </c>
      <c r="AA69" s="49">
        <f t="shared" si="43"/>
        <v>4.6691353518247556E-3</v>
      </c>
      <c r="AB69" s="50">
        <f>SUM($AA$2:AA69)</f>
        <v>0.88640620587901164</v>
      </c>
      <c r="AC69" s="45" t="str">
        <f t="shared" si="44"/>
        <v>B</v>
      </c>
      <c r="AD69" s="48">
        <f t="shared" si="37"/>
        <v>174.16666666666666</v>
      </c>
      <c r="AE69" s="48">
        <f t="shared" si="38"/>
        <v>128.51966991692578</v>
      </c>
      <c r="AF69" s="51">
        <f t="shared" si="45"/>
        <v>0.73791198038426287</v>
      </c>
      <c r="AG69" s="45" t="str">
        <f t="shared" si="46"/>
        <v>Y</v>
      </c>
      <c r="AH69" s="45" t="str">
        <f t="shared" si="47"/>
        <v>BY</v>
      </c>
      <c r="AI69" s="52">
        <f t="shared" si="48"/>
        <v>0.1</v>
      </c>
      <c r="AJ69" s="289" t="str">
        <f t="shared" si="49"/>
        <v>발주</v>
      </c>
      <c r="AK69" s="307" t="str">
        <f t="shared" si="50"/>
        <v>BY - 최소재고+분기1회</v>
      </c>
    </row>
    <row r="70" spans="1:37">
      <c r="A70" s="287">
        <v>70</v>
      </c>
      <c r="B70" s="475" t="s">
        <v>711</v>
      </c>
      <c r="C70" s="434" t="s">
        <v>649</v>
      </c>
      <c r="D70" s="43"/>
      <c r="E70" s="44"/>
      <c r="F70" s="42"/>
      <c r="G70" s="42"/>
      <c r="H70" s="42"/>
      <c r="I70" s="45" t="s">
        <v>238</v>
      </c>
      <c r="J70" s="46">
        <v>0</v>
      </c>
      <c r="K70" s="47">
        <v>0</v>
      </c>
      <c r="L70" s="47">
        <v>0</v>
      </c>
      <c r="M70" s="47">
        <v>327</v>
      </c>
      <c r="N70" s="47">
        <v>356</v>
      </c>
      <c r="O70" s="47">
        <v>298</v>
      </c>
      <c r="P70" s="47">
        <v>187</v>
      </c>
      <c r="Q70" s="47">
        <v>107</v>
      </c>
      <c r="R70" s="47">
        <v>88</v>
      </c>
      <c r="S70" s="47">
        <v>100</v>
      </c>
      <c r="T70" s="30">
        <v>167</v>
      </c>
      <c r="U70" s="29">
        <v>164</v>
      </c>
      <c r="V70" s="48">
        <v>13291</v>
      </c>
      <c r="W70" s="48">
        <f t="shared" si="39"/>
        <v>1794</v>
      </c>
      <c r="X70" s="133">
        <f t="shared" si="40"/>
        <v>143.66666666666666</v>
      </c>
      <c r="Y70" s="48">
        <f t="shared" si="41"/>
        <v>5728421</v>
      </c>
      <c r="Z70" s="48">
        <f t="shared" si="42"/>
        <v>23844054</v>
      </c>
      <c r="AA70" s="49">
        <f t="shared" si="43"/>
        <v>4.5775093492921018E-3</v>
      </c>
      <c r="AB70" s="50">
        <f>SUM($AA$2:AA70)</f>
        <v>0.89098371522830377</v>
      </c>
      <c r="AC70" s="45" t="str">
        <f t="shared" si="44"/>
        <v>B</v>
      </c>
      <c r="AD70" s="48">
        <f t="shared" si="37"/>
        <v>149.5</v>
      </c>
      <c r="AE70" s="48">
        <f t="shared" si="38"/>
        <v>120.14331719520094</v>
      </c>
      <c r="AF70" s="51">
        <f t="shared" si="45"/>
        <v>0.80363422873044099</v>
      </c>
      <c r="AG70" s="45" t="str">
        <f t="shared" si="46"/>
        <v>Y</v>
      </c>
      <c r="AH70" s="45" t="str">
        <f t="shared" si="47"/>
        <v>BY</v>
      </c>
      <c r="AI70" s="52">
        <f t="shared" si="48"/>
        <v>0.1</v>
      </c>
      <c r="AJ70" s="289" t="str">
        <f t="shared" si="49"/>
        <v>발주</v>
      </c>
      <c r="AK70" s="307" t="str">
        <f t="shared" si="50"/>
        <v>BY - 최소재고+분기1회</v>
      </c>
    </row>
    <row r="71" spans="1:37">
      <c r="A71" s="287">
        <v>65</v>
      </c>
      <c r="B71" s="475" t="s">
        <v>711</v>
      </c>
      <c r="C71" s="434" t="s">
        <v>650</v>
      </c>
      <c r="D71" s="43"/>
      <c r="E71" s="44"/>
      <c r="F71" s="42"/>
      <c r="G71" s="42"/>
      <c r="H71" s="42"/>
      <c r="I71" s="45" t="s">
        <v>238</v>
      </c>
      <c r="J71" s="46">
        <v>0</v>
      </c>
      <c r="K71" s="47">
        <v>0</v>
      </c>
      <c r="L71" s="47">
        <v>0</v>
      </c>
      <c r="M71" s="47">
        <v>592</v>
      </c>
      <c r="N71" s="47">
        <v>234</v>
      </c>
      <c r="O71" s="47">
        <v>81</v>
      </c>
      <c r="P71" s="47">
        <v>58</v>
      </c>
      <c r="Q71" s="47">
        <v>100</v>
      </c>
      <c r="R71" s="47">
        <v>112</v>
      </c>
      <c r="S71" s="47">
        <v>132</v>
      </c>
      <c r="T71" s="30">
        <v>156</v>
      </c>
      <c r="U71" s="29">
        <v>160</v>
      </c>
      <c r="V71" s="48">
        <v>14655</v>
      </c>
      <c r="W71" s="48">
        <f t="shared" si="39"/>
        <v>1625</v>
      </c>
      <c r="X71" s="133">
        <f t="shared" si="40"/>
        <v>149.33333333333334</v>
      </c>
      <c r="Y71" s="48">
        <f t="shared" si="41"/>
        <v>6565440</v>
      </c>
      <c r="Z71" s="48">
        <f t="shared" si="42"/>
        <v>23814375</v>
      </c>
      <c r="AA71" s="49">
        <f t="shared" si="43"/>
        <v>4.5718116646627331E-3</v>
      </c>
      <c r="AB71" s="50">
        <f>SUM($AA$2:AA71)</f>
        <v>0.89555552689296647</v>
      </c>
      <c r="AC71" s="45" t="str">
        <f t="shared" si="44"/>
        <v>B</v>
      </c>
      <c r="AD71" s="48">
        <f t="shared" si="37"/>
        <v>135.41666666666666</v>
      </c>
      <c r="AE71" s="48">
        <f t="shared" si="38"/>
        <v>154.10951643411107</v>
      </c>
      <c r="AF71" s="51">
        <f t="shared" si="45"/>
        <v>1.1380395059749742</v>
      </c>
      <c r="AG71" s="45" t="str">
        <f t="shared" si="46"/>
        <v>Z</v>
      </c>
      <c r="AH71" s="45" t="str">
        <f t="shared" si="47"/>
        <v>BZ</v>
      </c>
      <c r="AI71" s="52">
        <f t="shared" si="48"/>
        <v>0</v>
      </c>
      <c r="AJ71" s="289" t="str">
        <f t="shared" si="49"/>
        <v>발주안함</v>
      </c>
      <c r="AK71" s="307" t="str">
        <f t="shared" si="50"/>
        <v>BZ - 중단</v>
      </c>
    </row>
    <row r="72" spans="1:37">
      <c r="A72" s="287">
        <v>69</v>
      </c>
      <c r="B72" s="475" t="s">
        <v>711</v>
      </c>
      <c r="C72" s="434" t="s">
        <v>651</v>
      </c>
      <c r="D72" s="43"/>
      <c r="E72" s="44"/>
      <c r="F72" s="42"/>
      <c r="G72" s="42"/>
      <c r="H72" s="42"/>
      <c r="I72" s="45" t="s">
        <v>238</v>
      </c>
      <c r="J72" s="46">
        <v>0</v>
      </c>
      <c r="K72" s="47">
        <v>0</v>
      </c>
      <c r="L72" s="47">
        <v>0</v>
      </c>
      <c r="M72" s="47">
        <v>173</v>
      </c>
      <c r="N72" s="47">
        <v>99</v>
      </c>
      <c r="O72" s="47">
        <v>82</v>
      </c>
      <c r="P72" s="47">
        <v>57</v>
      </c>
      <c r="Q72" s="47">
        <v>50</v>
      </c>
      <c r="R72" s="47">
        <v>64</v>
      </c>
      <c r="S72" s="47">
        <v>87</v>
      </c>
      <c r="T72" s="30">
        <v>45</v>
      </c>
      <c r="U72" s="29">
        <v>56</v>
      </c>
      <c r="V72" s="48">
        <v>32309</v>
      </c>
      <c r="W72" s="48">
        <f t="shared" si="39"/>
        <v>713</v>
      </c>
      <c r="X72" s="133">
        <f t="shared" si="40"/>
        <v>62.666666666666664</v>
      </c>
      <c r="Y72" s="48">
        <f t="shared" si="41"/>
        <v>6074092</v>
      </c>
      <c r="Z72" s="48">
        <f t="shared" si="42"/>
        <v>23036317</v>
      </c>
      <c r="AA72" s="49">
        <f t="shared" si="43"/>
        <v>4.422442443753759E-3</v>
      </c>
      <c r="AB72" s="50">
        <f>SUM($AA$2:AA72)</f>
        <v>0.89997796933672025</v>
      </c>
      <c r="AC72" s="45" t="str">
        <f t="shared" si="44"/>
        <v>B</v>
      </c>
      <c r="AD72" s="48">
        <f t="shared" si="37"/>
        <v>59.416666666666664</v>
      </c>
      <c r="AE72" s="48">
        <f t="shared" si="38"/>
        <v>47.138905257641362</v>
      </c>
      <c r="AF72" s="51">
        <f t="shared" si="45"/>
        <v>0.79336165931514213</v>
      </c>
      <c r="AG72" s="45" t="str">
        <f t="shared" si="46"/>
        <v>Y</v>
      </c>
      <c r="AH72" s="45" t="str">
        <f t="shared" si="47"/>
        <v>BY</v>
      </c>
      <c r="AI72" s="52">
        <f t="shared" si="48"/>
        <v>0.1</v>
      </c>
      <c r="AJ72" s="289" t="str">
        <f t="shared" si="49"/>
        <v>발주</v>
      </c>
      <c r="AK72" s="307" t="str">
        <f t="shared" si="50"/>
        <v>BY - 최소재고+분기1회</v>
      </c>
    </row>
    <row r="73" spans="1:37">
      <c r="A73" s="287">
        <v>68</v>
      </c>
      <c r="B73" s="475" t="s">
        <v>711</v>
      </c>
      <c r="C73" s="434" t="s">
        <v>652</v>
      </c>
      <c r="D73" s="43"/>
      <c r="E73" s="44"/>
      <c r="F73" s="42"/>
      <c r="G73" s="42"/>
      <c r="H73" s="42"/>
      <c r="I73" s="45" t="s">
        <v>238</v>
      </c>
      <c r="J73" s="46">
        <v>504</v>
      </c>
      <c r="K73" s="47">
        <v>1144</v>
      </c>
      <c r="L73" s="47">
        <v>813</v>
      </c>
      <c r="M73" s="47">
        <v>1061</v>
      </c>
      <c r="N73" s="47">
        <v>759</v>
      </c>
      <c r="O73" s="47">
        <v>245</v>
      </c>
      <c r="P73" s="47">
        <v>204</v>
      </c>
      <c r="Q73" s="47">
        <v>255</v>
      </c>
      <c r="R73" s="47">
        <v>460</v>
      </c>
      <c r="S73" s="47">
        <v>517</v>
      </c>
      <c r="T73" s="30">
        <v>432</v>
      </c>
      <c r="U73" s="29">
        <v>339</v>
      </c>
      <c r="V73" s="48">
        <v>3364</v>
      </c>
      <c r="W73" s="48">
        <f t="shared" si="39"/>
        <v>6733</v>
      </c>
      <c r="X73" s="133">
        <f t="shared" si="40"/>
        <v>429.33333333333331</v>
      </c>
      <c r="Y73" s="48">
        <f t="shared" si="41"/>
        <v>4332832</v>
      </c>
      <c r="Z73" s="48">
        <f t="shared" si="42"/>
        <v>22649812</v>
      </c>
      <c r="AA73" s="49">
        <f t="shared" si="43"/>
        <v>4.3482423831831801E-3</v>
      </c>
      <c r="AB73" s="50">
        <f>SUM($AA$2:AA73)</f>
        <v>0.90432621171990346</v>
      </c>
      <c r="AC73" s="45" t="str">
        <f t="shared" si="44"/>
        <v>C</v>
      </c>
      <c r="AD73" s="48">
        <f t="shared" si="37"/>
        <v>561.08333333333337</v>
      </c>
      <c r="AE73" s="48">
        <f t="shared" si="38"/>
        <v>302.05530904492014</v>
      </c>
      <c r="AF73" s="51">
        <f t="shared" si="45"/>
        <v>0.53834304300297664</v>
      </c>
      <c r="AG73" s="45" t="str">
        <f t="shared" si="46"/>
        <v>Y</v>
      </c>
      <c r="AH73" s="45" t="str">
        <f t="shared" si="47"/>
        <v>CY</v>
      </c>
      <c r="AI73" s="52">
        <f t="shared" si="48"/>
        <v>0.05</v>
      </c>
      <c r="AJ73" s="289" t="str">
        <f t="shared" si="49"/>
        <v>발주</v>
      </c>
      <c r="AK73" s="307" t="str">
        <f t="shared" si="50"/>
        <v>CY - 중단(재고소진만)</v>
      </c>
    </row>
    <row r="74" spans="1:37">
      <c r="A74" s="287">
        <v>71</v>
      </c>
      <c r="B74" s="475" t="s">
        <v>711</v>
      </c>
      <c r="C74" s="434" t="s">
        <v>653</v>
      </c>
      <c r="D74" s="43"/>
      <c r="E74" s="44"/>
      <c r="F74" s="42"/>
      <c r="G74" s="42"/>
      <c r="H74" s="42"/>
      <c r="I74" s="45" t="s">
        <v>238</v>
      </c>
      <c r="J74" s="46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115</v>
      </c>
      <c r="S74" s="47">
        <v>93</v>
      </c>
      <c r="T74" s="30">
        <v>429</v>
      </c>
      <c r="U74" s="29">
        <v>117</v>
      </c>
      <c r="V74" s="48">
        <v>29918</v>
      </c>
      <c r="W74" s="48">
        <f t="shared" si="39"/>
        <v>754</v>
      </c>
      <c r="X74" s="133">
        <f t="shared" si="40"/>
        <v>213</v>
      </c>
      <c r="Y74" s="48">
        <f t="shared" si="41"/>
        <v>19117602</v>
      </c>
      <c r="Z74" s="48">
        <f t="shared" si="42"/>
        <v>22558172</v>
      </c>
      <c r="AA74" s="49">
        <f t="shared" si="43"/>
        <v>4.3306496132301713E-3</v>
      </c>
      <c r="AB74" s="50">
        <f>SUM($AA$2:AA74)</f>
        <v>0.90865686133313361</v>
      </c>
      <c r="AC74" s="45" t="str">
        <f t="shared" si="44"/>
        <v>C</v>
      </c>
      <c r="AD74" s="48">
        <f t="shared" si="37"/>
        <v>62.833333333333336</v>
      </c>
      <c r="AE74" s="48">
        <f t="shared" si="38"/>
        <v>119.80110832356917</v>
      </c>
      <c r="AF74" s="51">
        <f t="shared" si="45"/>
        <v>1.9066489388366445</v>
      </c>
      <c r="AG74" s="45" t="str">
        <f t="shared" si="46"/>
        <v>Z</v>
      </c>
      <c r="AH74" s="45" t="str">
        <f t="shared" si="47"/>
        <v>CZ</v>
      </c>
      <c r="AI74" s="52">
        <f t="shared" si="48"/>
        <v>0</v>
      </c>
      <c r="AJ74" s="289" t="str">
        <f t="shared" si="49"/>
        <v>발주안함</v>
      </c>
      <c r="AK74" s="307" t="str">
        <f t="shared" si="50"/>
        <v>CZ - 즉시단종</v>
      </c>
    </row>
    <row r="75" spans="1:37">
      <c r="A75" s="287">
        <v>75</v>
      </c>
      <c r="B75" s="475" t="s">
        <v>711</v>
      </c>
      <c r="C75" s="434" t="s">
        <v>654</v>
      </c>
      <c r="D75" s="43"/>
      <c r="E75" s="44"/>
      <c r="F75" s="42"/>
      <c r="G75" s="42"/>
      <c r="H75" s="42"/>
      <c r="I75" s="45" t="s">
        <v>238</v>
      </c>
      <c r="J75" s="46">
        <v>42</v>
      </c>
      <c r="K75" s="47">
        <v>32</v>
      </c>
      <c r="L75" s="47">
        <v>91</v>
      </c>
      <c r="M75" s="47">
        <v>101</v>
      </c>
      <c r="N75" s="47">
        <v>50</v>
      </c>
      <c r="O75" s="47">
        <v>44</v>
      </c>
      <c r="P75" s="47">
        <v>37</v>
      </c>
      <c r="Q75" s="47">
        <v>18</v>
      </c>
      <c r="R75" s="47">
        <v>15</v>
      </c>
      <c r="S75" s="47">
        <v>12</v>
      </c>
      <c r="T75" s="30">
        <v>128</v>
      </c>
      <c r="U75" s="29">
        <v>126</v>
      </c>
      <c r="V75" s="48">
        <v>31265</v>
      </c>
      <c r="W75" s="48">
        <f t="shared" si="39"/>
        <v>696</v>
      </c>
      <c r="X75" s="133">
        <f t="shared" si="40"/>
        <v>88.666666666666671</v>
      </c>
      <c r="Y75" s="48">
        <f t="shared" si="41"/>
        <v>8316490</v>
      </c>
      <c r="Z75" s="48">
        <f t="shared" si="42"/>
        <v>21760440</v>
      </c>
      <c r="AA75" s="49">
        <f t="shared" si="43"/>
        <v>4.1775034373227734E-3</v>
      </c>
      <c r="AB75" s="50">
        <f>SUM($AA$2:AA75)</f>
        <v>0.91283436477045643</v>
      </c>
      <c r="AC75" s="45" t="str">
        <f t="shared" si="44"/>
        <v>C</v>
      </c>
      <c r="AD75" s="48">
        <f t="shared" si="37"/>
        <v>58</v>
      </c>
      <c r="AE75" s="48">
        <f t="shared" si="38"/>
        <v>40.476330531970575</v>
      </c>
      <c r="AF75" s="51">
        <f t="shared" si="45"/>
        <v>0.69786776779259607</v>
      </c>
      <c r="AG75" s="45" t="str">
        <f t="shared" si="46"/>
        <v>Y</v>
      </c>
      <c r="AH75" s="45" t="str">
        <f t="shared" si="47"/>
        <v>CY</v>
      </c>
      <c r="AI75" s="52">
        <f t="shared" si="48"/>
        <v>0.05</v>
      </c>
      <c r="AJ75" s="289" t="str">
        <f t="shared" si="49"/>
        <v>발주</v>
      </c>
      <c r="AK75" s="307" t="str">
        <f t="shared" si="50"/>
        <v>CY - 중단(재고소진만)</v>
      </c>
    </row>
    <row r="76" spans="1:37">
      <c r="A76" s="287">
        <v>74</v>
      </c>
      <c r="B76" s="475" t="s">
        <v>711</v>
      </c>
      <c r="C76" s="434" t="s">
        <v>655</v>
      </c>
      <c r="D76" s="43"/>
      <c r="E76" s="44"/>
      <c r="F76" s="42"/>
      <c r="G76" s="42"/>
      <c r="H76" s="42"/>
      <c r="I76" s="45" t="s">
        <v>238</v>
      </c>
      <c r="J76" s="46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97</v>
      </c>
      <c r="S76" s="47">
        <v>272</v>
      </c>
      <c r="T76" s="30">
        <v>238</v>
      </c>
      <c r="U76" s="29">
        <v>271</v>
      </c>
      <c r="V76" s="48">
        <v>24620</v>
      </c>
      <c r="W76" s="48">
        <f t="shared" si="39"/>
        <v>878</v>
      </c>
      <c r="X76" s="133">
        <f t="shared" si="40"/>
        <v>260.33333333333331</v>
      </c>
      <c r="Y76" s="48">
        <f t="shared" si="41"/>
        <v>19228220</v>
      </c>
      <c r="Z76" s="75">
        <f t="shared" si="42"/>
        <v>21616360</v>
      </c>
      <c r="AA76" s="49">
        <f t="shared" si="43"/>
        <v>4.1498433948213599E-3</v>
      </c>
      <c r="AB76" s="50">
        <f>SUM($AA$2:AA76)</f>
        <v>0.91698420816527781</v>
      </c>
      <c r="AC76" s="45" t="str">
        <f t="shared" si="44"/>
        <v>C</v>
      </c>
      <c r="AD76" s="48">
        <f t="shared" si="37"/>
        <v>73.166666666666671</v>
      </c>
      <c r="AE76" s="48">
        <f t="shared" si="38"/>
        <v>111.51893212464968</v>
      </c>
      <c r="AF76" s="51">
        <f t="shared" si="45"/>
        <v>1.5241767488562599</v>
      </c>
      <c r="AG76" s="45" t="str">
        <f t="shared" si="46"/>
        <v>Z</v>
      </c>
      <c r="AH76" s="45" t="str">
        <f t="shared" si="47"/>
        <v>CZ</v>
      </c>
      <c r="AI76" s="52">
        <f t="shared" si="48"/>
        <v>0</v>
      </c>
      <c r="AJ76" s="289" t="str">
        <f t="shared" si="49"/>
        <v>발주안함</v>
      </c>
      <c r="AK76" s="307" t="str">
        <f t="shared" si="50"/>
        <v>CZ - 즉시단종</v>
      </c>
    </row>
    <row r="77" spans="1:37">
      <c r="A77" s="287">
        <v>73</v>
      </c>
      <c r="B77" s="475" t="s">
        <v>711</v>
      </c>
      <c r="C77" s="434" t="s">
        <v>656</v>
      </c>
      <c r="D77" s="43"/>
      <c r="E77" s="44"/>
      <c r="F77" s="42"/>
      <c r="G77" s="42"/>
      <c r="H77" s="42"/>
      <c r="I77" s="45" t="s">
        <v>238</v>
      </c>
      <c r="J77" s="46">
        <v>69</v>
      </c>
      <c r="K77" s="47">
        <v>64</v>
      </c>
      <c r="L77" s="47">
        <v>103</v>
      </c>
      <c r="M77" s="47">
        <v>66</v>
      </c>
      <c r="N77" s="47">
        <v>55</v>
      </c>
      <c r="O77" s="47">
        <v>29</v>
      </c>
      <c r="P77" s="47">
        <v>33</v>
      </c>
      <c r="Q77" s="47">
        <v>38</v>
      </c>
      <c r="R77" s="47">
        <v>57</v>
      </c>
      <c r="S77" s="47">
        <v>47</v>
      </c>
      <c r="T77" s="30">
        <v>6</v>
      </c>
      <c r="U77" s="29">
        <v>11</v>
      </c>
      <c r="V77" s="48">
        <v>37246</v>
      </c>
      <c r="W77" s="48">
        <f t="shared" si="39"/>
        <v>578</v>
      </c>
      <c r="X77" s="133">
        <f t="shared" si="40"/>
        <v>21.333333333333332</v>
      </c>
      <c r="Y77" s="48">
        <f t="shared" si="41"/>
        <v>2383744</v>
      </c>
      <c r="Z77" s="48">
        <f t="shared" si="42"/>
        <v>21528188</v>
      </c>
      <c r="AA77" s="49">
        <f t="shared" si="43"/>
        <v>4.1329164010162883E-3</v>
      </c>
      <c r="AB77" s="50">
        <f>SUM($AA$2:AA77)</f>
        <v>0.92111712456629413</v>
      </c>
      <c r="AC77" s="45" t="str">
        <f t="shared" si="44"/>
        <v>C</v>
      </c>
      <c r="AD77" s="48">
        <f t="shared" si="37"/>
        <v>48.166666666666664</v>
      </c>
      <c r="AE77" s="48">
        <f t="shared" si="38"/>
        <v>25.812895140908847</v>
      </c>
      <c r="AF77" s="51">
        <f t="shared" si="45"/>
        <v>0.53590785759672344</v>
      </c>
      <c r="AG77" s="45" t="str">
        <f t="shared" si="46"/>
        <v>Y</v>
      </c>
      <c r="AH77" s="45" t="str">
        <f t="shared" si="47"/>
        <v>CY</v>
      </c>
      <c r="AI77" s="52">
        <f t="shared" si="48"/>
        <v>0.05</v>
      </c>
      <c r="AJ77" s="289" t="str">
        <f t="shared" si="49"/>
        <v>발주</v>
      </c>
      <c r="AK77" s="307" t="str">
        <f t="shared" si="50"/>
        <v>CY - 중단(재고소진만)</v>
      </c>
    </row>
    <row r="78" spans="1:37">
      <c r="A78" s="287">
        <v>76</v>
      </c>
      <c r="B78" s="475" t="s">
        <v>711</v>
      </c>
      <c r="C78" s="434" t="s">
        <v>657</v>
      </c>
      <c r="D78" s="43"/>
      <c r="E78" s="44"/>
      <c r="F78" s="42"/>
      <c r="G78" s="42"/>
      <c r="H78" s="42"/>
      <c r="I78" s="45" t="s">
        <v>238</v>
      </c>
      <c r="J78" s="46">
        <v>559</v>
      </c>
      <c r="K78" s="47">
        <v>907</v>
      </c>
      <c r="L78" s="47">
        <v>876</v>
      </c>
      <c r="M78" s="47">
        <v>732</v>
      </c>
      <c r="N78" s="47">
        <v>524</v>
      </c>
      <c r="O78" s="47">
        <v>233</v>
      </c>
      <c r="P78" s="47">
        <v>193</v>
      </c>
      <c r="Q78" s="47">
        <v>211</v>
      </c>
      <c r="R78" s="47">
        <v>446</v>
      </c>
      <c r="S78" s="47">
        <v>519</v>
      </c>
      <c r="T78" s="30">
        <v>531</v>
      </c>
      <c r="U78" s="29">
        <v>348</v>
      </c>
      <c r="V78" s="48">
        <v>3364</v>
      </c>
      <c r="W78" s="48">
        <f t="shared" si="39"/>
        <v>6079</v>
      </c>
      <c r="X78" s="133">
        <f t="shared" si="40"/>
        <v>466</v>
      </c>
      <c r="Y78" s="48">
        <f t="shared" si="41"/>
        <v>4702872</v>
      </c>
      <c r="Z78" s="48">
        <f t="shared" si="42"/>
        <v>20449756</v>
      </c>
      <c r="AA78" s="49">
        <f t="shared" si="43"/>
        <v>3.9258822883366335E-3</v>
      </c>
      <c r="AB78" s="50">
        <f>SUM($AA$2:AA78)</f>
        <v>0.92504300685463081</v>
      </c>
      <c r="AC78" s="45" t="str">
        <f t="shared" si="44"/>
        <v>C</v>
      </c>
      <c r="AD78" s="48">
        <f t="shared" si="37"/>
        <v>506.58333333333331</v>
      </c>
      <c r="AE78" s="48">
        <f t="shared" si="38"/>
        <v>231.08204110709733</v>
      </c>
      <c r="AF78" s="51">
        <f t="shared" si="45"/>
        <v>0.45615800185641847</v>
      </c>
      <c r="AG78" s="45" t="str">
        <f t="shared" si="46"/>
        <v>X</v>
      </c>
      <c r="AH78" s="45" t="str">
        <f t="shared" si="47"/>
        <v>CX</v>
      </c>
      <c r="AI78" s="52">
        <f t="shared" si="48"/>
        <v>0.1</v>
      </c>
      <c r="AJ78" s="289" t="str">
        <f t="shared" si="49"/>
        <v>발주</v>
      </c>
      <c r="AK78" s="307" t="str">
        <f t="shared" si="50"/>
        <v>CX - 중단(재고소진만)</v>
      </c>
    </row>
    <row r="79" spans="1:37">
      <c r="A79" s="287">
        <v>72</v>
      </c>
      <c r="B79" s="475" t="s">
        <v>711</v>
      </c>
      <c r="C79" s="434" t="s">
        <v>658</v>
      </c>
      <c r="D79" s="43"/>
      <c r="E79" s="44"/>
      <c r="F79" s="42"/>
      <c r="G79" s="42"/>
      <c r="H79" s="42"/>
      <c r="I79" s="45" t="s">
        <v>238</v>
      </c>
      <c r="J79" s="46">
        <v>84</v>
      </c>
      <c r="K79" s="47">
        <v>90</v>
      </c>
      <c r="L79" s="47">
        <v>70</v>
      </c>
      <c r="M79" s="47">
        <v>58</v>
      </c>
      <c r="N79" s="47">
        <v>38</v>
      </c>
      <c r="O79" s="47">
        <v>24</v>
      </c>
      <c r="P79" s="47">
        <v>15</v>
      </c>
      <c r="Q79" s="47">
        <v>69</v>
      </c>
      <c r="R79" s="47">
        <v>48</v>
      </c>
      <c r="S79" s="47">
        <v>64</v>
      </c>
      <c r="T79" s="30">
        <v>66</v>
      </c>
      <c r="U79" s="29">
        <v>46</v>
      </c>
      <c r="V79" s="48">
        <v>30093</v>
      </c>
      <c r="W79" s="48">
        <f t="shared" si="39"/>
        <v>672</v>
      </c>
      <c r="X79" s="133">
        <f t="shared" si="40"/>
        <v>58.666666666666664</v>
      </c>
      <c r="Y79" s="48">
        <f t="shared" si="41"/>
        <v>5296368</v>
      </c>
      <c r="Z79" s="75">
        <f t="shared" si="42"/>
        <v>20222496</v>
      </c>
      <c r="AA79" s="49">
        <f t="shared" si="43"/>
        <v>3.8822536010873878E-3</v>
      </c>
      <c r="AB79" s="50">
        <f>SUM($AA$2:AA79)</f>
        <v>0.92892526045571822</v>
      </c>
      <c r="AC79" s="45" t="str">
        <f t="shared" si="44"/>
        <v>C</v>
      </c>
      <c r="AD79" s="48">
        <f t="shared" si="37"/>
        <v>56</v>
      </c>
      <c r="AE79" s="48">
        <f t="shared" si="38"/>
        <v>21.729396371428884</v>
      </c>
      <c r="AF79" s="51">
        <f t="shared" si="45"/>
        <v>0.38802493520408721</v>
      </c>
      <c r="AG79" s="45" t="str">
        <f t="shared" si="46"/>
        <v>X</v>
      </c>
      <c r="AH79" s="45" t="str">
        <f t="shared" si="47"/>
        <v>CX</v>
      </c>
      <c r="AI79" s="52">
        <f t="shared" si="48"/>
        <v>0.1</v>
      </c>
      <c r="AJ79" s="289" t="str">
        <f t="shared" si="49"/>
        <v>발주</v>
      </c>
      <c r="AK79" s="307" t="str">
        <f t="shared" si="50"/>
        <v>CX - 중단(재고소진만)</v>
      </c>
    </row>
    <row r="80" spans="1:37">
      <c r="A80" s="287">
        <v>77</v>
      </c>
      <c r="B80" s="475" t="s">
        <v>711</v>
      </c>
      <c r="C80" s="434" t="s">
        <v>659</v>
      </c>
      <c r="D80" s="43"/>
      <c r="E80" s="44"/>
      <c r="F80" s="42"/>
      <c r="G80" s="42"/>
      <c r="H80" s="42"/>
      <c r="I80" s="45" t="s">
        <v>238</v>
      </c>
      <c r="J80" s="46">
        <v>0</v>
      </c>
      <c r="K80" s="47">
        <v>0</v>
      </c>
      <c r="L80" s="47">
        <v>0</v>
      </c>
      <c r="M80" s="47">
        <v>1119</v>
      </c>
      <c r="N80" s="47">
        <v>651</v>
      </c>
      <c r="O80" s="47">
        <v>677</v>
      </c>
      <c r="P80" s="47">
        <v>390</v>
      </c>
      <c r="Q80" s="47">
        <v>416</v>
      </c>
      <c r="R80" s="47">
        <v>574</v>
      </c>
      <c r="S80" s="47">
        <v>848</v>
      </c>
      <c r="T80" s="30">
        <v>583</v>
      </c>
      <c r="U80" s="29">
        <v>718</v>
      </c>
      <c r="V80" s="48">
        <v>3364</v>
      </c>
      <c r="W80" s="48">
        <f t="shared" si="39"/>
        <v>5976</v>
      </c>
      <c r="X80" s="133">
        <f t="shared" si="40"/>
        <v>716.33333333333337</v>
      </c>
      <c r="Y80" s="48">
        <f t="shared" si="41"/>
        <v>7229236</v>
      </c>
      <c r="Z80" s="48">
        <f t="shared" si="42"/>
        <v>20103264</v>
      </c>
      <c r="AA80" s="49">
        <f t="shared" si="43"/>
        <v>3.8593638024510151E-3</v>
      </c>
      <c r="AB80" s="50">
        <f>SUM($AA$2:AA80)</f>
        <v>0.93278462425816921</v>
      </c>
      <c r="AC80" s="45" t="str">
        <f t="shared" si="44"/>
        <v>C</v>
      </c>
      <c r="AD80" s="48">
        <f t="shared" si="37"/>
        <v>498</v>
      </c>
      <c r="AE80" s="48">
        <f t="shared" si="38"/>
        <v>340.02352859765455</v>
      </c>
      <c r="AF80" s="51">
        <f t="shared" si="45"/>
        <v>0.68277816987480833</v>
      </c>
      <c r="AG80" s="45" t="str">
        <f t="shared" si="46"/>
        <v>Y</v>
      </c>
      <c r="AH80" s="45" t="str">
        <f t="shared" si="47"/>
        <v>CY</v>
      </c>
      <c r="AI80" s="52">
        <f t="shared" si="48"/>
        <v>0.05</v>
      </c>
      <c r="AJ80" s="289" t="str">
        <f t="shared" si="49"/>
        <v>발주</v>
      </c>
      <c r="AK80" s="307" t="str">
        <f t="shared" si="50"/>
        <v>CY - 중단(재고소진만)</v>
      </c>
    </row>
    <row r="81" spans="1:37">
      <c r="A81" s="287">
        <v>78</v>
      </c>
      <c r="B81" s="475" t="s">
        <v>711</v>
      </c>
      <c r="C81" s="434" t="s">
        <v>660</v>
      </c>
      <c r="D81" s="43"/>
      <c r="E81" s="44"/>
      <c r="F81" s="42"/>
      <c r="G81" s="42"/>
      <c r="H81" s="42"/>
      <c r="I81" s="45" t="s">
        <v>238</v>
      </c>
      <c r="J81" s="46">
        <v>204</v>
      </c>
      <c r="K81" s="47">
        <v>38</v>
      </c>
      <c r="L81" s="47">
        <v>1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19</v>
      </c>
      <c r="S81" s="47">
        <v>185</v>
      </c>
      <c r="T81" s="30">
        <v>180</v>
      </c>
      <c r="U81" s="29">
        <v>11</v>
      </c>
      <c r="V81" s="48">
        <v>31265</v>
      </c>
      <c r="W81" s="48">
        <f t="shared" si="39"/>
        <v>638</v>
      </c>
      <c r="X81" s="133">
        <f t="shared" si="40"/>
        <v>125.33333333333333</v>
      </c>
      <c r="Y81" s="48">
        <f t="shared" si="41"/>
        <v>11755640</v>
      </c>
      <c r="Z81" s="75">
        <f t="shared" si="42"/>
        <v>19947070</v>
      </c>
      <c r="AA81" s="49">
        <f t="shared" si="43"/>
        <v>3.8293781508792089E-3</v>
      </c>
      <c r="AB81" s="50">
        <f>SUM($AA$2:AA81)</f>
        <v>0.93661400240904846</v>
      </c>
      <c r="AC81" s="45" t="str">
        <f t="shared" si="44"/>
        <v>C</v>
      </c>
      <c r="AD81" s="48">
        <f t="shared" si="37"/>
        <v>53.166666666666664</v>
      </c>
      <c r="AE81" s="48">
        <f t="shared" si="38"/>
        <v>79.711807294918501</v>
      </c>
      <c r="AF81" s="51">
        <f t="shared" si="45"/>
        <v>1.4992816419106929</v>
      </c>
      <c r="AG81" s="45" t="str">
        <f t="shared" si="46"/>
        <v>Z</v>
      </c>
      <c r="AH81" s="45" t="str">
        <f t="shared" si="47"/>
        <v>CZ</v>
      </c>
      <c r="AI81" s="52">
        <f t="shared" si="48"/>
        <v>0</v>
      </c>
      <c r="AJ81" s="289" t="str">
        <f t="shared" si="49"/>
        <v>발주안함</v>
      </c>
      <c r="AK81" s="307" t="str">
        <f t="shared" si="50"/>
        <v>CZ - 즉시단종</v>
      </c>
    </row>
    <row r="82" spans="1:37">
      <c r="A82" s="287">
        <v>81</v>
      </c>
      <c r="B82" s="475" t="s">
        <v>711</v>
      </c>
      <c r="C82" s="434" t="s">
        <v>661</v>
      </c>
      <c r="D82" s="43"/>
      <c r="E82" s="44"/>
      <c r="F82" s="42"/>
      <c r="G82" s="42"/>
      <c r="H82" s="42"/>
      <c r="I82" s="45" t="s">
        <v>238</v>
      </c>
      <c r="J82" s="46">
        <v>0</v>
      </c>
      <c r="K82" s="47">
        <v>0</v>
      </c>
      <c r="L82" s="47">
        <v>0</v>
      </c>
      <c r="M82" s="47">
        <v>235</v>
      </c>
      <c r="N82" s="47">
        <v>86</v>
      </c>
      <c r="O82" s="47">
        <v>38</v>
      </c>
      <c r="P82" s="47">
        <v>31</v>
      </c>
      <c r="Q82" s="47">
        <v>31</v>
      </c>
      <c r="R82" s="47">
        <v>109</v>
      </c>
      <c r="S82" s="47">
        <v>64</v>
      </c>
      <c r="T82" s="30">
        <v>84</v>
      </c>
      <c r="U82" s="29">
        <v>99</v>
      </c>
      <c r="V82" s="48">
        <v>24620</v>
      </c>
      <c r="W82" s="48">
        <f t="shared" si="39"/>
        <v>777</v>
      </c>
      <c r="X82" s="133">
        <f t="shared" si="40"/>
        <v>82.333333333333329</v>
      </c>
      <c r="Y82" s="48">
        <f t="shared" si="41"/>
        <v>6081140</v>
      </c>
      <c r="Z82" s="48">
        <f t="shared" si="42"/>
        <v>19129740</v>
      </c>
      <c r="AA82" s="49">
        <f t="shared" si="43"/>
        <v>3.6724696102234584E-3</v>
      </c>
      <c r="AB82" s="50">
        <f>SUM($AA$2:AA82)</f>
        <v>0.94028647201927196</v>
      </c>
      <c r="AC82" s="45" t="str">
        <f t="shared" si="44"/>
        <v>C</v>
      </c>
      <c r="AD82" s="48">
        <f t="shared" si="37"/>
        <v>64.75</v>
      </c>
      <c r="AE82" s="48">
        <f t="shared" si="38"/>
        <v>63.580821269729867</v>
      </c>
      <c r="AF82" s="51">
        <f t="shared" si="45"/>
        <v>0.98194318563289373</v>
      </c>
      <c r="AG82" s="45" t="str">
        <f t="shared" si="46"/>
        <v>Y</v>
      </c>
      <c r="AH82" s="45" t="str">
        <f t="shared" si="47"/>
        <v>CY</v>
      </c>
      <c r="AI82" s="52">
        <f t="shared" si="48"/>
        <v>0.05</v>
      </c>
      <c r="AJ82" s="289" t="str">
        <f t="shared" si="49"/>
        <v>발주</v>
      </c>
      <c r="AK82" s="307" t="str">
        <f t="shared" si="50"/>
        <v>CY - 중단(재고소진만)</v>
      </c>
    </row>
    <row r="83" spans="1:37">
      <c r="A83" s="287">
        <v>83</v>
      </c>
      <c r="B83" s="475" t="s">
        <v>711</v>
      </c>
      <c r="C83" s="434" t="s">
        <v>662</v>
      </c>
      <c r="D83" s="43"/>
      <c r="E83" s="44"/>
      <c r="F83" s="42"/>
      <c r="G83" s="42"/>
      <c r="H83" s="42"/>
      <c r="I83" s="45" t="s">
        <v>238</v>
      </c>
      <c r="J83" s="46">
        <v>0</v>
      </c>
      <c r="K83" s="47">
        <v>0</v>
      </c>
      <c r="L83" s="47">
        <v>0</v>
      </c>
      <c r="M83" s="47">
        <v>1546</v>
      </c>
      <c r="N83" s="47">
        <v>663</v>
      </c>
      <c r="O83" s="47">
        <v>465</v>
      </c>
      <c r="P83" s="47">
        <v>397</v>
      </c>
      <c r="Q83" s="47">
        <v>262</v>
      </c>
      <c r="R83" s="47">
        <v>360</v>
      </c>
      <c r="S83" s="47">
        <v>460</v>
      </c>
      <c r="T83" s="30">
        <v>448</v>
      </c>
      <c r="U83" s="29">
        <v>972</v>
      </c>
      <c r="V83" s="48">
        <v>3364</v>
      </c>
      <c r="W83" s="48">
        <f t="shared" si="39"/>
        <v>5573</v>
      </c>
      <c r="X83" s="133">
        <f t="shared" si="40"/>
        <v>626.66666666666663</v>
      </c>
      <c r="Y83" s="48">
        <f t="shared" si="41"/>
        <v>6324320</v>
      </c>
      <c r="Z83" s="48">
        <f t="shared" si="42"/>
        <v>18747572</v>
      </c>
      <c r="AA83" s="49">
        <f t="shared" si="43"/>
        <v>3.5991021537917513E-3</v>
      </c>
      <c r="AB83" s="50">
        <f>SUM($AA$2:AA83)</f>
        <v>0.94388557417306373</v>
      </c>
      <c r="AC83" s="45" t="str">
        <f t="shared" si="44"/>
        <v>C</v>
      </c>
      <c r="AD83" s="48">
        <f t="shared" si="37"/>
        <v>464.41666666666669</v>
      </c>
      <c r="AE83" s="48">
        <f t="shared" si="38"/>
        <v>425.30938902037991</v>
      </c>
      <c r="AF83" s="51">
        <f t="shared" si="45"/>
        <v>0.91579269123354723</v>
      </c>
      <c r="AG83" s="45" t="str">
        <f t="shared" si="46"/>
        <v>Y</v>
      </c>
      <c r="AH83" s="45" t="str">
        <f t="shared" si="47"/>
        <v>CY</v>
      </c>
      <c r="AI83" s="52">
        <f t="shared" si="48"/>
        <v>0.05</v>
      </c>
      <c r="AJ83" s="289" t="str">
        <f t="shared" si="49"/>
        <v>발주</v>
      </c>
      <c r="AK83" s="307" t="str">
        <f t="shared" si="50"/>
        <v>CY - 중단(재고소진만)</v>
      </c>
    </row>
    <row r="84" spans="1:37">
      <c r="A84" s="287">
        <v>84</v>
      </c>
      <c r="B84" s="475" t="s">
        <v>711</v>
      </c>
      <c r="C84" s="434" t="s">
        <v>663</v>
      </c>
      <c r="D84" s="43"/>
      <c r="E84" s="44"/>
      <c r="F84" s="42"/>
      <c r="G84" s="42"/>
      <c r="H84" s="42"/>
      <c r="I84" s="45" t="s">
        <v>238</v>
      </c>
      <c r="J84" s="46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110</v>
      </c>
      <c r="T84" s="30">
        <v>78</v>
      </c>
      <c r="U84" s="29">
        <v>15</v>
      </c>
      <c r="V84" s="48">
        <v>89631</v>
      </c>
      <c r="W84" s="48">
        <f t="shared" si="39"/>
        <v>203</v>
      </c>
      <c r="X84" s="133">
        <f t="shared" si="40"/>
        <v>67.666666666666671</v>
      </c>
      <c r="Y84" s="48">
        <f t="shared" si="41"/>
        <v>18195093</v>
      </c>
      <c r="Z84" s="48">
        <f t="shared" si="42"/>
        <v>18195093</v>
      </c>
      <c r="AA84" s="49">
        <f t="shared" si="43"/>
        <v>3.4930389068377077E-3</v>
      </c>
      <c r="AB84" s="50">
        <f>SUM($AA$2:AA84)</f>
        <v>0.94737861307990145</v>
      </c>
      <c r="AC84" s="45" t="str">
        <f t="shared" si="44"/>
        <v>C</v>
      </c>
      <c r="AD84" s="48">
        <f t="shared" si="37"/>
        <v>16.916666666666668</v>
      </c>
      <c r="AE84" s="48">
        <f t="shared" si="38"/>
        <v>35.325765699022327</v>
      </c>
      <c r="AF84" s="51">
        <f t="shared" si="45"/>
        <v>2.0882226028978712</v>
      </c>
      <c r="AG84" s="45" t="str">
        <f t="shared" si="46"/>
        <v>Z</v>
      </c>
      <c r="AH84" s="45" t="str">
        <f t="shared" si="47"/>
        <v>CZ</v>
      </c>
      <c r="AI84" s="52">
        <f t="shared" si="48"/>
        <v>0</v>
      </c>
      <c r="AJ84" s="289" t="str">
        <f t="shared" si="49"/>
        <v>발주안함</v>
      </c>
      <c r="AK84" s="307" t="str">
        <f t="shared" si="50"/>
        <v>CZ - 즉시단종</v>
      </c>
    </row>
    <row r="85" spans="1:37">
      <c r="A85" s="287">
        <v>85</v>
      </c>
      <c r="B85" s="475" t="s">
        <v>711</v>
      </c>
      <c r="C85" s="434" t="s">
        <v>664</v>
      </c>
      <c r="D85" s="43"/>
      <c r="E85" s="44"/>
      <c r="F85" s="42"/>
      <c r="G85" s="42"/>
      <c r="H85" s="42"/>
      <c r="I85" s="438" t="s">
        <v>238</v>
      </c>
      <c r="J85" s="46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99</v>
      </c>
      <c r="S85" s="47">
        <v>223</v>
      </c>
      <c r="T85" s="30">
        <v>82</v>
      </c>
      <c r="U85" s="29">
        <v>53</v>
      </c>
      <c r="V85" s="48">
        <v>39794</v>
      </c>
      <c r="W85" s="48">
        <f t="shared" si="39"/>
        <v>457</v>
      </c>
      <c r="X85" s="133">
        <f t="shared" si="40"/>
        <v>119.33333333333333</v>
      </c>
      <c r="Y85" s="48">
        <f t="shared" si="41"/>
        <v>14246252</v>
      </c>
      <c r="Z85" s="48">
        <f t="shared" si="42"/>
        <v>18185858</v>
      </c>
      <c r="AA85" s="49">
        <f t="shared" si="43"/>
        <v>3.4912659994772097E-3</v>
      </c>
      <c r="AB85" s="50">
        <f>SUM($AA$2:AA85)</f>
        <v>0.9508698790793787</v>
      </c>
      <c r="AC85" s="45" t="str">
        <f t="shared" si="44"/>
        <v>C</v>
      </c>
      <c r="AD85" s="48">
        <f t="shared" si="37"/>
        <v>38.083333333333336</v>
      </c>
      <c r="AE85" s="48">
        <f t="shared" si="38"/>
        <v>65.611810843949598</v>
      </c>
      <c r="AF85" s="51">
        <f t="shared" si="45"/>
        <v>1.7228484247864226</v>
      </c>
      <c r="AG85" s="45" t="str">
        <f t="shared" si="46"/>
        <v>Z</v>
      </c>
      <c r="AH85" s="45" t="str">
        <f t="shared" si="47"/>
        <v>CZ</v>
      </c>
      <c r="AI85" s="52">
        <f t="shared" si="48"/>
        <v>0</v>
      </c>
      <c r="AJ85" s="289" t="str">
        <f t="shared" si="49"/>
        <v>발주안함</v>
      </c>
      <c r="AK85" s="307" t="str">
        <f t="shared" si="50"/>
        <v>CZ - 즉시단종</v>
      </c>
    </row>
    <row r="86" spans="1:37">
      <c r="A86" s="287">
        <v>80</v>
      </c>
      <c r="B86" s="475" t="s">
        <v>711</v>
      </c>
      <c r="C86" s="434" t="s">
        <v>665</v>
      </c>
      <c r="D86" s="43"/>
      <c r="E86" s="44"/>
      <c r="F86" s="42"/>
      <c r="G86" s="42"/>
      <c r="H86" s="42"/>
      <c r="I86" s="45" t="s">
        <v>238</v>
      </c>
      <c r="J86" s="46">
        <v>40</v>
      </c>
      <c r="K86" s="47">
        <v>57</v>
      </c>
      <c r="L86" s="47">
        <v>58</v>
      </c>
      <c r="M86" s="47">
        <v>57</v>
      </c>
      <c r="N86" s="47">
        <v>40</v>
      </c>
      <c r="O86" s="47">
        <v>25</v>
      </c>
      <c r="P86" s="47">
        <v>11</v>
      </c>
      <c r="Q86" s="47">
        <v>58</v>
      </c>
      <c r="R86" s="47">
        <v>14</v>
      </c>
      <c r="S86" s="47">
        <v>43</v>
      </c>
      <c r="T86" s="30">
        <v>72</v>
      </c>
      <c r="U86" s="29">
        <v>157</v>
      </c>
      <c r="V86" s="48">
        <v>28675</v>
      </c>
      <c r="W86" s="48">
        <f t="shared" si="39"/>
        <v>632</v>
      </c>
      <c r="X86" s="133">
        <f t="shared" si="40"/>
        <v>90.666666666666671</v>
      </c>
      <c r="Y86" s="48">
        <f t="shared" si="41"/>
        <v>7799600</v>
      </c>
      <c r="Z86" s="48">
        <f t="shared" si="42"/>
        <v>18122600</v>
      </c>
      <c r="AA86" s="49">
        <f t="shared" si="43"/>
        <v>3.479121920017504E-3</v>
      </c>
      <c r="AB86" s="50">
        <f>SUM($AA$2:AA86)</f>
        <v>0.95434900099939624</v>
      </c>
      <c r="AC86" s="45" t="str">
        <f t="shared" si="44"/>
        <v>C</v>
      </c>
      <c r="AD86" s="48">
        <f t="shared" si="37"/>
        <v>52.666666666666664</v>
      </c>
      <c r="AE86" s="48">
        <f t="shared" si="38"/>
        <v>36.24530620952487</v>
      </c>
      <c r="AF86" s="51">
        <f t="shared" si="45"/>
        <v>0.68820201663654823</v>
      </c>
      <c r="AG86" s="45" t="str">
        <f t="shared" si="46"/>
        <v>Y</v>
      </c>
      <c r="AH86" s="45" t="str">
        <f t="shared" si="47"/>
        <v>CY</v>
      </c>
      <c r="AI86" s="52">
        <f t="shared" si="48"/>
        <v>0.05</v>
      </c>
      <c r="AJ86" s="289" t="str">
        <f t="shared" si="49"/>
        <v>발주</v>
      </c>
      <c r="AK86" s="307" t="str">
        <f t="shared" si="50"/>
        <v>CY - 중단(재고소진만)</v>
      </c>
    </row>
    <row r="87" spans="1:37">
      <c r="A87" s="287">
        <v>89</v>
      </c>
      <c r="B87" s="475" t="s">
        <v>711</v>
      </c>
      <c r="C87" s="434" t="s">
        <v>666</v>
      </c>
      <c r="D87" s="43"/>
      <c r="E87" s="44"/>
      <c r="F87" s="42"/>
      <c r="G87" s="42"/>
      <c r="H87" s="42"/>
      <c r="I87" s="45" t="s">
        <v>238</v>
      </c>
      <c r="J87" s="46">
        <v>0</v>
      </c>
      <c r="K87" s="47">
        <v>0</v>
      </c>
      <c r="L87" s="47">
        <v>0</v>
      </c>
      <c r="M87" s="47">
        <v>176</v>
      </c>
      <c r="N87" s="47">
        <v>40</v>
      </c>
      <c r="O87" s="47">
        <v>52</v>
      </c>
      <c r="P87" s="47">
        <v>56</v>
      </c>
      <c r="Q87" s="47">
        <v>42</v>
      </c>
      <c r="R87" s="47">
        <v>39</v>
      </c>
      <c r="S87" s="47">
        <v>46</v>
      </c>
      <c r="T87" s="30">
        <v>51</v>
      </c>
      <c r="U87" s="29">
        <v>51</v>
      </c>
      <c r="V87" s="48">
        <v>32309</v>
      </c>
      <c r="W87" s="48">
        <f t="shared" si="39"/>
        <v>553</v>
      </c>
      <c r="X87" s="133">
        <f t="shared" si="40"/>
        <v>49.333333333333336</v>
      </c>
      <c r="Y87" s="48">
        <f t="shared" si="41"/>
        <v>4781732</v>
      </c>
      <c r="Z87" s="75">
        <f t="shared" si="42"/>
        <v>17866877</v>
      </c>
      <c r="AA87" s="49">
        <f t="shared" si="43"/>
        <v>3.430028992140012E-3</v>
      </c>
      <c r="AB87" s="50">
        <f>SUM($AA$2:AA87)</f>
        <v>0.9577790299915363</v>
      </c>
      <c r="AC87" s="45" t="str">
        <f t="shared" si="44"/>
        <v>C</v>
      </c>
      <c r="AD87" s="48">
        <f t="shared" si="37"/>
        <v>46.083333333333336</v>
      </c>
      <c r="AE87" s="48">
        <f t="shared" si="38"/>
        <v>44.285923898633477</v>
      </c>
      <c r="AF87" s="51">
        <f t="shared" si="45"/>
        <v>0.96099654029584392</v>
      </c>
      <c r="AG87" s="45" t="str">
        <f t="shared" si="46"/>
        <v>Y</v>
      </c>
      <c r="AH87" s="45" t="str">
        <f t="shared" si="47"/>
        <v>CY</v>
      </c>
      <c r="AI87" s="52">
        <f t="shared" si="48"/>
        <v>0.05</v>
      </c>
      <c r="AJ87" s="289" t="str">
        <f t="shared" si="49"/>
        <v>발주</v>
      </c>
      <c r="AK87" s="307" t="str">
        <f t="shared" si="50"/>
        <v>CY - 중단(재고소진만)</v>
      </c>
    </row>
    <row r="88" spans="1:37">
      <c r="A88" s="287">
        <v>90</v>
      </c>
      <c r="B88" s="475" t="s">
        <v>711</v>
      </c>
      <c r="C88" s="434" t="s">
        <v>667</v>
      </c>
      <c r="D88" s="43"/>
      <c r="E88" s="44"/>
      <c r="F88" s="42"/>
      <c r="G88" s="42"/>
      <c r="H88" s="42"/>
      <c r="I88" s="45" t="s">
        <v>238</v>
      </c>
      <c r="J88" s="46">
        <v>0</v>
      </c>
      <c r="K88" s="47">
        <v>0</v>
      </c>
      <c r="L88" s="47">
        <v>0</v>
      </c>
      <c r="M88" s="47">
        <v>1453</v>
      </c>
      <c r="N88" s="47">
        <v>825</v>
      </c>
      <c r="O88" s="47">
        <v>454</v>
      </c>
      <c r="P88" s="47">
        <v>364</v>
      </c>
      <c r="Q88" s="47">
        <v>210</v>
      </c>
      <c r="R88" s="47">
        <v>352</v>
      </c>
      <c r="S88" s="47">
        <v>554</v>
      </c>
      <c r="T88" s="30">
        <v>495</v>
      </c>
      <c r="U88" s="29">
        <v>589</v>
      </c>
      <c r="V88" s="48">
        <v>3364</v>
      </c>
      <c r="W88" s="48">
        <f t="shared" si="39"/>
        <v>5296</v>
      </c>
      <c r="X88" s="133">
        <f t="shared" si="40"/>
        <v>546</v>
      </c>
      <c r="Y88" s="48">
        <f t="shared" si="41"/>
        <v>5510232</v>
      </c>
      <c r="Z88" s="75">
        <f t="shared" si="42"/>
        <v>17815744</v>
      </c>
      <c r="AA88" s="49">
        <f t="shared" si="43"/>
        <v>3.4202126334974188E-3</v>
      </c>
      <c r="AB88" s="50">
        <f>SUM($AA$2:AA88)</f>
        <v>0.96119924262503376</v>
      </c>
      <c r="AC88" s="45" t="str">
        <f t="shared" si="44"/>
        <v>C</v>
      </c>
      <c r="AD88" s="48">
        <f t="shared" si="37"/>
        <v>441.33333333333331</v>
      </c>
      <c r="AE88" s="48">
        <f t="shared" si="38"/>
        <v>393.70152258898986</v>
      </c>
      <c r="AF88" s="51">
        <f t="shared" si="45"/>
        <v>0.89207293637988638</v>
      </c>
      <c r="AG88" s="45" t="str">
        <f t="shared" si="46"/>
        <v>Y</v>
      </c>
      <c r="AH88" s="45" t="str">
        <f t="shared" si="47"/>
        <v>CY</v>
      </c>
      <c r="AI88" s="52">
        <f t="shared" si="48"/>
        <v>0.05</v>
      </c>
      <c r="AJ88" s="289" t="str">
        <f t="shared" si="49"/>
        <v>발주</v>
      </c>
      <c r="AK88" s="307" t="str">
        <f t="shared" si="50"/>
        <v>CY - 중단(재고소진만)</v>
      </c>
    </row>
    <row r="89" spans="1:37">
      <c r="A89" s="287">
        <v>87</v>
      </c>
      <c r="B89" s="475" t="s">
        <v>711</v>
      </c>
      <c r="C89" s="434" t="s">
        <v>668</v>
      </c>
      <c r="D89" s="43"/>
      <c r="E89" s="44"/>
      <c r="F89" s="42"/>
      <c r="G89" s="42"/>
      <c r="H89" s="42"/>
      <c r="I89" s="45" t="s">
        <v>238</v>
      </c>
      <c r="J89" s="46">
        <v>61</v>
      </c>
      <c r="K89" s="47">
        <v>50</v>
      </c>
      <c r="L89" s="47">
        <v>48</v>
      </c>
      <c r="M89" s="47">
        <v>56</v>
      </c>
      <c r="N89" s="47">
        <v>48</v>
      </c>
      <c r="O89" s="47">
        <v>30</v>
      </c>
      <c r="P89" s="47">
        <v>18</v>
      </c>
      <c r="Q89" s="47">
        <v>23</v>
      </c>
      <c r="R89" s="47">
        <v>36</v>
      </c>
      <c r="S89" s="47">
        <v>31</v>
      </c>
      <c r="T89" s="30">
        <v>23</v>
      </c>
      <c r="U89" s="29">
        <v>12</v>
      </c>
      <c r="V89" s="48">
        <v>39794</v>
      </c>
      <c r="W89" s="48">
        <f t="shared" si="39"/>
        <v>436</v>
      </c>
      <c r="X89" s="133">
        <f t="shared" si="40"/>
        <v>22</v>
      </c>
      <c r="Y89" s="48">
        <f t="shared" si="41"/>
        <v>2626404</v>
      </c>
      <c r="Z89" s="75">
        <f t="shared" si="42"/>
        <v>17350184</v>
      </c>
      <c r="AA89" s="49">
        <f t="shared" si="43"/>
        <v>3.3308358331992638E-3</v>
      </c>
      <c r="AB89" s="50">
        <f>SUM($AA$2:AA89)</f>
        <v>0.96453007845823302</v>
      </c>
      <c r="AC89" s="45" t="str">
        <f t="shared" si="44"/>
        <v>C</v>
      </c>
      <c r="AD89" s="48">
        <f t="shared" si="37"/>
        <v>36.333333333333336</v>
      </c>
      <c r="AE89" s="48">
        <f t="shared" si="38"/>
        <v>15.293426329272616</v>
      </c>
      <c r="AF89" s="51">
        <f t="shared" si="45"/>
        <v>0.42091999071392522</v>
      </c>
      <c r="AG89" s="45" t="str">
        <f t="shared" si="46"/>
        <v>X</v>
      </c>
      <c r="AH89" s="45" t="str">
        <f t="shared" si="47"/>
        <v>CX</v>
      </c>
      <c r="AI89" s="52">
        <f t="shared" si="48"/>
        <v>0.1</v>
      </c>
      <c r="AJ89" s="289" t="str">
        <f t="shared" si="49"/>
        <v>발주</v>
      </c>
      <c r="AK89" s="307" t="str">
        <f t="shared" si="50"/>
        <v>CX - 중단(재고소진만)</v>
      </c>
    </row>
    <row r="90" spans="1:37">
      <c r="A90" s="287">
        <v>88</v>
      </c>
      <c r="B90" s="475" t="s">
        <v>711</v>
      </c>
      <c r="C90" s="434" t="s">
        <v>669</v>
      </c>
      <c r="D90" s="43"/>
      <c r="E90" s="44"/>
      <c r="F90" s="42"/>
      <c r="G90" s="42"/>
      <c r="H90" s="42"/>
      <c r="I90" s="45" t="s">
        <v>238</v>
      </c>
      <c r="J90" s="46">
        <v>55</v>
      </c>
      <c r="K90" s="47">
        <v>61</v>
      </c>
      <c r="L90" s="47">
        <v>44</v>
      </c>
      <c r="M90" s="47">
        <v>49</v>
      </c>
      <c r="N90" s="47">
        <v>36</v>
      </c>
      <c r="O90" s="47">
        <v>23</v>
      </c>
      <c r="P90" s="47">
        <v>10</v>
      </c>
      <c r="Q90" s="47">
        <v>15</v>
      </c>
      <c r="R90" s="47">
        <v>35</v>
      </c>
      <c r="S90" s="47">
        <v>22</v>
      </c>
      <c r="T90" s="30">
        <v>30</v>
      </c>
      <c r="U90" s="29">
        <v>93</v>
      </c>
      <c r="V90" s="48">
        <v>36596</v>
      </c>
      <c r="W90" s="48">
        <f t="shared" si="39"/>
        <v>473</v>
      </c>
      <c r="X90" s="133">
        <f t="shared" si="40"/>
        <v>48.333333333333336</v>
      </c>
      <c r="Y90" s="48">
        <f t="shared" si="41"/>
        <v>5306420</v>
      </c>
      <c r="Z90" s="48">
        <f t="shared" si="42"/>
        <v>17309908</v>
      </c>
      <c r="AA90" s="49">
        <f t="shared" si="43"/>
        <v>3.3231037685699815E-3</v>
      </c>
      <c r="AB90" s="50">
        <f>SUM($AA$2:AA90)</f>
        <v>0.96785318222680305</v>
      </c>
      <c r="AC90" s="45" t="str">
        <f t="shared" si="44"/>
        <v>C</v>
      </c>
      <c r="AD90" s="48">
        <f t="shared" si="37"/>
        <v>39.416666666666664</v>
      </c>
      <c r="AE90" s="48">
        <f t="shared" si="38"/>
        <v>22.073582753045677</v>
      </c>
      <c r="AF90" s="51">
        <f t="shared" si="45"/>
        <v>0.5600063277728291</v>
      </c>
      <c r="AG90" s="45" t="str">
        <f t="shared" si="46"/>
        <v>Y</v>
      </c>
      <c r="AH90" s="45" t="str">
        <f t="shared" si="47"/>
        <v>CY</v>
      </c>
      <c r="AI90" s="52">
        <f t="shared" si="48"/>
        <v>0.05</v>
      </c>
      <c r="AJ90" s="289" t="str">
        <f t="shared" si="49"/>
        <v>발주</v>
      </c>
      <c r="AK90" s="307" t="str">
        <f t="shared" si="50"/>
        <v>CY - 중단(재고소진만)</v>
      </c>
    </row>
    <row r="91" spans="1:37">
      <c r="A91" s="287">
        <v>91</v>
      </c>
      <c r="B91" s="475" t="s">
        <v>711</v>
      </c>
      <c r="C91" s="434" t="s">
        <v>670</v>
      </c>
      <c r="D91" s="43"/>
      <c r="E91" s="44"/>
      <c r="F91" s="42"/>
      <c r="G91" s="42"/>
      <c r="H91" s="42"/>
      <c r="I91" s="438" t="s">
        <v>268</v>
      </c>
      <c r="J91" s="46">
        <v>3</v>
      </c>
      <c r="K91" s="47">
        <v>1</v>
      </c>
      <c r="L91" s="47">
        <v>0</v>
      </c>
      <c r="M91" s="47">
        <v>1</v>
      </c>
      <c r="N91" s="47">
        <v>1</v>
      </c>
      <c r="O91" s="47">
        <v>3</v>
      </c>
      <c r="P91" s="47">
        <v>0</v>
      </c>
      <c r="Q91" s="47">
        <v>0</v>
      </c>
      <c r="R91" s="47">
        <v>3</v>
      </c>
      <c r="S91" s="47">
        <v>16</v>
      </c>
      <c r="T91" s="30">
        <v>230</v>
      </c>
      <c r="U91" s="29">
        <v>354</v>
      </c>
      <c r="V91" s="48">
        <v>28242</v>
      </c>
      <c r="W91" s="48">
        <f t="shared" si="39"/>
        <v>612</v>
      </c>
      <c r="X91" s="133">
        <f t="shared" si="40"/>
        <v>200</v>
      </c>
      <c r="Y91" s="48">
        <f t="shared" si="41"/>
        <v>16945200</v>
      </c>
      <c r="Z91" s="48">
        <f t="shared" si="42"/>
        <v>17284104</v>
      </c>
      <c r="AA91" s="49">
        <f t="shared" si="43"/>
        <v>3.318149994717216E-3</v>
      </c>
      <c r="AB91" s="50">
        <f>SUM($AA$2:AA91)</f>
        <v>0.9711713322215203</v>
      </c>
      <c r="AC91" s="45" t="str">
        <f t="shared" si="44"/>
        <v>C</v>
      </c>
      <c r="AD91" s="48">
        <f t="shared" si="37"/>
        <v>51</v>
      </c>
      <c r="AE91" s="48">
        <f>_xlfn.STDEV.S(R91:U91)</f>
        <v>170.85934761278548</v>
      </c>
      <c r="AF91" s="51">
        <f t="shared" si="45"/>
        <v>3.3501832865252057</v>
      </c>
      <c r="AG91" s="45" t="str">
        <f t="shared" si="46"/>
        <v>Z</v>
      </c>
      <c r="AH91" s="45" t="str">
        <f t="shared" si="47"/>
        <v>CZ</v>
      </c>
      <c r="AI91" s="52">
        <f t="shared" si="48"/>
        <v>0</v>
      </c>
      <c r="AJ91" s="289" t="str">
        <f t="shared" si="49"/>
        <v>발주안함</v>
      </c>
      <c r="AK91" s="307" t="str">
        <f t="shared" si="50"/>
        <v>CZ - 즉시단종</v>
      </c>
    </row>
    <row r="92" spans="1:37">
      <c r="A92" s="287">
        <v>86</v>
      </c>
      <c r="B92" s="475" t="s">
        <v>711</v>
      </c>
      <c r="C92" s="434" t="s">
        <v>671</v>
      </c>
      <c r="D92" s="43"/>
      <c r="E92" s="44"/>
      <c r="F92" s="42"/>
      <c r="G92" s="42"/>
      <c r="H92" s="42"/>
      <c r="I92" s="438" t="s">
        <v>238</v>
      </c>
      <c r="J92" s="46">
        <v>26</v>
      </c>
      <c r="K92" s="47">
        <v>24</v>
      </c>
      <c r="L92" s="47">
        <v>28</v>
      </c>
      <c r="M92" s="47">
        <v>22</v>
      </c>
      <c r="N92" s="47">
        <v>34</v>
      </c>
      <c r="O92" s="47">
        <v>39</v>
      </c>
      <c r="P92" s="47">
        <v>40</v>
      </c>
      <c r="Q92" s="47">
        <v>73</v>
      </c>
      <c r="R92" s="47">
        <v>13</v>
      </c>
      <c r="S92" s="47">
        <v>21</v>
      </c>
      <c r="T92" s="30">
        <v>114</v>
      </c>
      <c r="U92" s="29">
        <v>141</v>
      </c>
      <c r="V92" s="48">
        <v>29825</v>
      </c>
      <c r="W92" s="48">
        <f t="shared" si="39"/>
        <v>575</v>
      </c>
      <c r="X92" s="133">
        <f t="shared" si="40"/>
        <v>92</v>
      </c>
      <c r="Y92" s="48">
        <f t="shared" si="41"/>
        <v>8231700</v>
      </c>
      <c r="Z92" s="48">
        <f t="shared" si="42"/>
        <v>17149375</v>
      </c>
      <c r="AA92" s="49">
        <f t="shared" si="43"/>
        <v>3.2922851289053545E-3</v>
      </c>
      <c r="AB92" s="50">
        <f>SUM($AA$2:AA92)</f>
        <v>0.97446361735042564</v>
      </c>
      <c r="AC92" s="45" t="str">
        <f t="shared" si="44"/>
        <v>C</v>
      </c>
      <c r="AD92" s="48">
        <f t="shared" si="37"/>
        <v>47.916666666666664</v>
      </c>
      <c r="AE92" s="48">
        <f t="shared" ref="AE92:AE97" si="51">_xlfn.STDEV.P(J92:U92)</f>
        <v>38.795314006834495</v>
      </c>
      <c r="AF92" s="51">
        <f t="shared" si="45"/>
        <v>0.8096413357948069</v>
      </c>
      <c r="AG92" s="45" t="str">
        <f t="shared" si="46"/>
        <v>Y</v>
      </c>
      <c r="AH92" s="45" t="str">
        <f t="shared" si="47"/>
        <v>CY</v>
      </c>
      <c r="AI92" s="52">
        <f t="shared" si="48"/>
        <v>0.05</v>
      </c>
      <c r="AJ92" s="289" t="str">
        <f t="shared" si="49"/>
        <v>발주</v>
      </c>
      <c r="AK92" s="307" t="str">
        <f t="shared" si="50"/>
        <v>CY - 중단(재고소진만)</v>
      </c>
    </row>
    <row r="93" spans="1:37">
      <c r="A93" s="287">
        <v>92</v>
      </c>
      <c r="B93" s="475" t="s">
        <v>711</v>
      </c>
      <c r="C93" s="434" t="s">
        <v>672</v>
      </c>
      <c r="D93" s="43"/>
      <c r="E93" s="44"/>
      <c r="F93" s="42"/>
      <c r="G93" s="42"/>
      <c r="H93" s="42"/>
      <c r="I93" s="45" t="s">
        <v>238</v>
      </c>
      <c r="J93" s="46">
        <v>177</v>
      </c>
      <c r="K93" s="47">
        <v>43</v>
      </c>
      <c r="L93" s="47">
        <v>0</v>
      </c>
      <c r="M93" s="47">
        <v>2</v>
      </c>
      <c r="N93" s="47">
        <v>0</v>
      </c>
      <c r="O93" s="47">
        <v>1</v>
      </c>
      <c r="P93" s="47">
        <v>0</v>
      </c>
      <c r="Q93" s="47">
        <v>0</v>
      </c>
      <c r="R93" s="47">
        <v>13</v>
      </c>
      <c r="S93" s="47">
        <v>128</v>
      </c>
      <c r="T93" s="30">
        <v>70</v>
      </c>
      <c r="U93" s="29">
        <v>32</v>
      </c>
      <c r="V93" s="48">
        <v>36596</v>
      </c>
      <c r="W93" s="48">
        <f t="shared" si="39"/>
        <v>466</v>
      </c>
      <c r="X93" s="133">
        <f t="shared" si="40"/>
        <v>76.666666666666671</v>
      </c>
      <c r="Y93" s="48">
        <f t="shared" si="41"/>
        <v>8417080</v>
      </c>
      <c r="Z93" s="48">
        <f t="shared" si="42"/>
        <v>17053736</v>
      </c>
      <c r="AA93" s="49">
        <f t="shared" si="43"/>
        <v>3.2739246430308912E-3</v>
      </c>
      <c r="AB93" s="50">
        <f>SUM($AA$2:AA93)</f>
        <v>0.97773754199345653</v>
      </c>
      <c r="AC93" s="45" t="str">
        <f t="shared" si="44"/>
        <v>C</v>
      </c>
      <c r="AD93" s="48">
        <f t="shared" si="37"/>
        <v>38.833333333333336</v>
      </c>
      <c r="AE93" s="48">
        <f t="shared" si="51"/>
        <v>55.949133644369823</v>
      </c>
      <c r="AF93" s="51">
        <f t="shared" si="45"/>
        <v>1.4407502226017979</v>
      </c>
      <c r="AG93" s="45" t="str">
        <f t="shared" si="46"/>
        <v>Z</v>
      </c>
      <c r="AH93" s="45" t="str">
        <f t="shared" si="47"/>
        <v>CZ</v>
      </c>
      <c r="AI93" s="52">
        <f t="shared" si="48"/>
        <v>0</v>
      </c>
      <c r="AJ93" s="289" t="str">
        <f t="shared" si="49"/>
        <v>발주안함</v>
      </c>
      <c r="AK93" s="307" t="str">
        <f t="shared" si="50"/>
        <v>CZ - 즉시단종</v>
      </c>
    </row>
    <row r="94" spans="1:37">
      <c r="A94" s="287">
        <v>94</v>
      </c>
      <c r="B94" s="475" t="s">
        <v>711</v>
      </c>
      <c r="C94" s="434" t="s">
        <v>673</v>
      </c>
      <c r="D94" s="43"/>
      <c r="E94" s="44"/>
      <c r="F94" s="42"/>
      <c r="G94" s="42"/>
      <c r="H94" s="42"/>
      <c r="I94" s="45" t="s">
        <v>238</v>
      </c>
      <c r="J94" s="46">
        <v>17</v>
      </c>
      <c r="K94" s="47">
        <v>1</v>
      </c>
      <c r="L94" s="47">
        <v>4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8</v>
      </c>
      <c r="S94" s="47">
        <v>75</v>
      </c>
      <c r="T94" s="30">
        <v>68</v>
      </c>
      <c r="U94" s="29">
        <v>17</v>
      </c>
      <c r="V94" s="48">
        <v>89631</v>
      </c>
      <c r="W94" s="48">
        <f t="shared" si="39"/>
        <v>190</v>
      </c>
      <c r="X94" s="133">
        <f t="shared" si="40"/>
        <v>53.333333333333336</v>
      </c>
      <c r="Y94" s="48">
        <f t="shared" si="41"/>
        <v>14340960</v>
      </c>
      <c r="Z94" s="75">
        <f t="shared" si="42"/>
        <v>17029890</v>
      </c>
      <c r="AA94" s="49">
        <f t="shared" si="43"/>
        <v>3.2693467600944065E-3</v>
      </c>
      <c r="AB94" s="50">
        <f>SUM($AA$2:AA94)</f>
        <v>0.98100688875355091</v>
      </c>
      <c r="AC94" s="45" t="str">
        <f t="shared" si="44"/>
        <v>C</v>
      </c>
      <c r="AD94" s="48">
        <f t="shared" si="37"/>
        <v>15.833333333333334</v>
      </c>
      <c r="AE94" s="48">
        <f t="shared" si="51"/>
        <v>25.657465883355581</v>
      </c>
      <c r="AF94" s="51">
        <f t="shared" si="45"/>
        <v>1.6204715294750893</v>
      </c>
      <c r="AG94" s="45" t="str">
        <f t="shared" si="46"/>
        <v>Z</v>
      </c>
      <c r="AH94" s="45" t="str">
        <f t="shared" si="47"/>
        <v>CZ</v>
      </c>
      <c r="AI94" s="52">
        <f t="shared" si="48"/>
        <v>0</v>
      </c>
      <c r="AJ94" s="289" t="str">
        <f t="shared" si="49"/>
        <v>발주안함</v>
      </c>
      <c r="AK94" s="307" t="str">
        <f t="shared" si="50"/>
        <v>CZ - 즉시단종</v>
      </c>
    </row>
    <row r="95" spans="1:37">
      <c r="A95" s="287">
        <v>82</v>
      </c>
      <c r="B95" s="475" t="s">
        <v>711</v>
      </c>
      <c r="C95" s="434" t="s">
        <v>674</v>
      </c>
      <c r="D95" s="43"/>
      <c r="E95" s="44"/>
      <c r="F95" s="42"/>
      <c r="G95" s="42"/>
      <c r="H95" s="42"/>
      <c r="I95" s="45" t="s">
        <v>238</v>
      </c>
      <c r="J95" s="46">
        <v>0</v>
      </c>
      <c r="K95" s="47">
        <v>0</v>
      </c>
      <c r="L95" s="47">
        <v>0</v>
      </c>
      <c r="M95" s="47">
        <v>2</v>
      </c>
      <c r="N95" s="47">
        <v>6</v>
      </c>
      <c r="O95" s="47">
        <v>13</v>
      </c>
      <c r="P95" s="47">
        <v>86</v>
      </c>
      <c r="Q95" s="47">
        <v>162</v>
      </c>
      <c r="R95" s="47">
        <v>179</v>
      </c>
      <c r="S95" s="47">
        <v>99</v>
      </c>
      <c r="T95" s="30">
        <v>82</v>
      </c>
      <c r="U95" s="29">
        <v>79</v>
      </c>
      <c r="V95" s="48">
        <v>24030</v>
      </c>
      <c r="W95" s="48">
        <f t="shared" si="39"/>
        <v>708</v>
      </c>
      <c r="X95" s="133">
        <f t="shared" si="40"/>
        <v>86.666666666666671</v>
      </c>
      <c r="Y95" s="48">
        <f t="shared" si="41"/>
        <v>6247800</v>
      </c>
      <c r="Z95" s="75">
        <f t="shared" si="42"/>
        <v>17013240</v>
      </c>
      <c r="AA95" s="49">
        <f t="shared" si="43"/>
        <v>3.2661503434671954E-3</v>
      </c>
      <c r="AB95" s="50">
        <f>SUM($AA$2:AA95)</f>
        <v>0.98427303909701813</v>
      </c>
      <c r="AC95" s="45" t="str">
        <f t="shared" si="44"/>
        <v>C</v>
      </c>
      <c r="AD95" s="48">
        <f t="shared" si="37"/>
        <v>59</v>
      </c>
      <c r="AE95" s="48">
        <f t="shared" si="51"/>
        <v>62.505999712027645</v>
      </c>
      <c r="AF95" s="51">
        <f t="shared" si="45"/>
        <v>1.059423723932672</v>
      </c>
      <c r="AG95" s="45" t="str">
        <f t="shared" si="46"/>
        <v>Z</v>
      </c>
      <c r="AH95" s="45" t="str">
        <f t="shared" si="47"/>
        <v>CZ</v>
      </c>
      <c r="AI95" s="52">
        <f t="shared" si="48"/>
        <v>0</v>
      </c>
      <c r="AJ95" s="289" t="str">
        <f t="shared" si="49"/>
        <v>발주안함</v>
      </c>
      <c r="AK95" s="307" t="str">
        <f t="shared" si="50"/>
        <v>CZ - 즉시단종</v>
      </c>
    </row>
    <row r="96" spans="1:37">
      <c r="A96" s="287">
        <v>93</v>
      </c>
      <c r="B96" s="475" t="s">
        <v>711</v>
      </c>
      <c r="C96" s="434" t="s">
        <v>675</v>
      </c>
      <c r="D96" s="43"/>
      <c r="E96" s="44"/>
      <c r="F96" s="42"/>
      <c r="G96" s="42"/>
      <c r="H96" s="42"/>
      <c r="I96" s="45" t="s">
        <v>238</v>
      </c>
      <c r="J96" s="46">
        <v>20</v>
      </c>
      <c r="K96" s="47">
        <v>21</v>
      </c>
      <c r="L96" s="47">
        <v>29</v>
      </c>
      <c r="M96" s="47">
        <v>28</v>
      </c>
      <c r="N96" s="47">
        <v>0</v>
      </c>
      <c r="O96" s="47">
        <v>0</v>
      </c>
      <c r="P96" s="47">
        <v>0</v>
      </c>
      <c r="Q96" s="47">
        <v>1</v>
      </c>
      <c r="R96" s="47">
        <v>2</v>
      </c>
      <c r="S96" s="47">
        <v>13</v>
      </c>
      <c r="T96" s="30">
        <v>94</v>
      </c>
      <c r="U96" s="29">
        <v>1</v>
      </c>
      <c r="V96" s="48">
        <v>81197</v>
      </c>
      <c r="W96" s="48">
        <f t="shared" si="39"/>
        <v>209</v>
      </c>
      <c r="X96" s="133">
        <f t="shared" si="40"/>
        <v>36</v>
      </c>
      <c r="Y96" s="48">
        <f t="shared" si="41"/>
        <v>8769276</v>
      </c>
      <c r="Z96" s="75">
        <f t="shared" si="42"/>
        <v>16970173</v>
      </c>
      <c r="AA96" s="49">
        <f t="shared" si="43"/>
        <v>3.2578824711017849E-3</v>
      </c>
      <c r="AB96" s="50">
        <f>SUM($AA$2:AA96)</f>
        <v>0.98753092156811995</v>
      </c>
      <c r="AC96" s="45" t="str">
        <f t="shared" si="44"/>
        <v>C</v>
      </c>
      <c r="AD96" s="48">
        <f t="shared" si="37"/>
        <v>17.416666666666668</v>
      </c>
      <c r="AE96" s="48">
        <f t="shared" si="51"/>
        <v>25.555359298763321</v>
      </c>
      <c r="AF96" s="51">
        <f t="shared" si="45"/>
        <v>1.4672933568667934</v>
      </c>
      <c r="AG96" s="45" t="str">
        <f t="shared" si="46"/>
        <v>Z</v>
      </c>
      <c r="AH96" s="45" t="str">
        <f t="shared" si="47"/>
        <v>CZ</v>
      </c>
      <c r="AI96" s="52">
        <f t="shared" si="48"/>
        <v>0</v>
      </c>
      <c r="AJ96" s="289" t="str">
        <f t="shared" si="49"/>
        <v>발주안함</v>
      </c>
      <c r="AK96" s="307" t="str">
        <f t="shared" si="50"/>
        <v>CZ - 즉시단종</v>
      </c>
    </row>
    <row r="97" spans="1:37">
      <c r="A97" s="287">
        <v>95</v>
      </c>
      <c r="B97" s="475" t="s">
        <v>711</v>
      </c>
      <c r="C97" s="434" t="s">
        <v>676</v>
      </c>
      <c r="D97" s="43"/>
      <c r="E97" s="44"/>
      <c r="F97" s="42"/>
      <c r="G97" s="42"/>
      <c r="H97" s="42"/>
      <c r="I97" s="438" t="s">
        <v>238</v>
      </c>
      <c r="J97" s="46">
        <v>55</v>
      </c>
      <c r="K97" s="47">
        <v>66</v>
      </c>
      <c r="L97" s="47">
        <v>69</v>
      </c>
      <c r="M97" s="47">
        <v>68</v>
      </c>
      <c r="N97" s="47">
        <v>30</v>
      </c>
      <c r="O97" s="47">
        <v>41</v>
      </c>
      <c r="P97" s="47">
        <v>18</v>
      </c>
      <c r="Q97" s="47">
        <v>23</v>
      </c>
      <c r="R97" s="47">
        <v>31</v>
      </c>
      <c r="S97" s="47">
        <v>55</v>
      </c>
      <c r="T97" s="30">
        <v>378</v>
      </c>
      <c r="U97" s="29">
        <v>28</v>
      </c>
      <c r="V97" s="48">
        <v>19177</v>
      </c>
      <c r="W97" s="48">
        <f t="shared" si="39"/>
        <v>862</v>
      </c>
      <c r="X97" s="133">
        <f t="shared" si="40"/>
        <v>153.66666666666666</v>
      </c>
      <c r="Y97" s="48">
        <f t="shared" si="41"/>
        <v>8840597</v>
      </c>
      <c r="Z97" s="48">
        <f t="shared" si="42"/>
        <v>16530574</v>
      </c>
      <c r="AA97" s="49">
        <f t="shared" si="43"/>
        <v>3.1734895850414084E-3</v>
      </c>
      <c r="AB97" s="50">
        <f>SUM($AA$2:AA97)</f>
        <v>0.99070441115316132</v>
      </c>
      <c r="AC97" s="45" t="str">
        <f t="shared" si="44"/>
        <v>C</v>
      </c>
      <c r="AD97" s="48">
        <f t="shared" si="37"/>
        <v>71.833333333333329</v>
      </c>
      <c r="AE97" s="48">
        <f t="shared" si="51"/>
        <v>93.956402419183519</v>
      </c>
      <c r="AF97" s="51">
        <f t="shared" si="45"/>
        <v>1.3079777598958264</v>
      </c>
      <c r="AG97" s="45" t="str">
        <f t="shared" si="46"/>
        <v>Z</v>
      </c>
      <c r="AH97" s="45" t="str">
        <f t="shared" si="47"/>
        <v>CZ</v>
      </c>
      <c r="AI97" s="52">
        <f t="shared" si="48"/>
        <v>0</v>
      </c>
      <c r="AJ97" s="289" t="str">
        <f t="shared" si="49"/>
        <v>발주안함</v>
      </c>
      <c r="AK97" s="307" t="str">
        <f t="shared" si="50"/>
        <v>CZ - 즉시단종</v>
      </c>
    </row>
    <row r="98" spans="1:37">
      <c r="A98" s="287">
        <v>96</v>
      </c>
      <c r="B98" s="475" t="s">
        <v>711</v>
      </c>
      <c r="C98" s="434" t="s">
        <v>677</v>
      </c>
      <c r="D98" s="43"/>
      <c r="E98" s="44"/>
      <c r="F98" s="42"/>
      <c r="G98" s="42"/>
      <c r="H98" s="42"/>
      <c r="I98" s="45" t="s">
        <v>268</v>
      </c>
      <c r="J98" s="46">
        <v>0</v>
      </c>
      <c r="K98" s="47">
        <v>0</v>
      </c>
      <c r="L98" s="47">
        <v>0</v>
      </c>
      <c r="M98" s="47">
        <v>426</v>
      </c>
      <c r="N98" s="47">
        <v>33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30">
        <v>111</v>
      </c>
      <c r="U98" s="29">
        <v>18</v>
      </c>
      <c r="V98" s="48">
        <v>27668</v>
      </c>
      <c r="W98" s="48">
        <f t="shared" si="39"/>
        <v>588</v>
      </c>
      <c r="X98" s="133">
        <f t="shared" si="40"/>
        <v>43</v>
      </c>
      <c r="Y98" s="48">
        <f t="shared" si="41"/>
        <v>3569172</v>
      </c>
      <c r="Z98" s="48">
        <f t="shared" si="42"/>
        <v>16268784</v>
      </c>
      <c r="AA98" s="49">
        <f t="shared" ref="AA98:AA100" si="52">Z98/SUM($Z$2:$Z$100)</f>
        <v>3.1232319328589743E-3</v>
      </c>
      <c r="AB98" s="50">
        <f>SUM($AA$2:AA98)</f>
        <v>0.99382764308602034</v>
      </c>
      <c r="AC98" s="45" t="str">
        <f t="shared" ref="AC98:AC100" si="53">IF(AB98&lt;=70%,"A",IF(AB98&lt;=90%,"B","C"))</f>
        <v>C</v>
      </c>
      <c r="AD98" s="48">
        <f>AVERAGE(J98,K98,R98,S98,T98,U98)</f>
        <v>21.5</v>
      </c>
      <c r="AE98" s="48">
        <f>_xlfn.STDEV.S(J98,K98,R98,S98,T98,U98)</f>
        <v>44.433095773308438</v>
      </c>
      <c r="AF98" s="51">
        <f t="shared" ref="AF98:AF100" si="54">IF(AD98=0,0,AE98/AD98)</f>
        <v>2.0666556173631832</v>
      </c>
      <c r="AG98" s="45" t="str">
        <f t="shared" ref="AG98:AG100" si="55">IF(AF98&lt;0.5,"X",IF(AF98&lt;=1,"Y","Z"))</f>
        <v>Z</v>
      </c>
      <c r="AH98" s="45" t="str">
        <f t="shared" ref="AH98:AH100" si="56">AC98&amp;AG98</f>
        <v>CZ</v>
      </c>
      <c r="AI98" s="52">
        <f t="shared" ref="AI98:AI100" si="57">IF(AH98="CZ",0%,IF(AH98="BZ",0%,IF(AH98="CY",5%,IF(I98="사계절",10%,IF(I98="봄",20%,IF(I98="여름",0%,IF(I98="가을",0%,IF(I98="겨울",0%,10%))))))))</f>
        <v>0</v>
      </c>
      <c r="AJ98" s="289" t="str">
        <f t="shared" ref="AJ98:AJ100" si="58">IF(AI98=0,"발주안함","발주")</f>
        <v>발주안함</v>
      </c>
      <c r="AK98" s="307" t="str">
        <f t="shared" si="50"/>
        <v>CZ - 즉시단종</v>
      </c>
    </row>
    <row r="99" spans="1:37">
      <c r="A99" s="287">
        <v>97</v>
      </c>
      <c r="B99" s="475" t="s">
        <v>711</v>
      </c>
      <c r="C99" s="434" t="s">
        <v>678</v>
      </c>
      <c r="D99" s="43"/>
      <c r="E99" s="44"/>
      <c r="F99" s="42"/>
      <c r="G99" s="42"/>
      <c r="H99" s="42"/>
      <c r="I99" s="45" t="s">
        <v>238</v>
      </c>
      <c r="J99" s="46"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107</v>
      </c>
      <c r="T99" s="30">
        <v>34</v>
      </c>
      <c r="U99" s="29">
        <v>40</v>
      </c>
      <c r="V99" s="48">
        <v>89631</v>
      </c>
      <c r="W99" s="48">
        <f t="shared" si="39"/>
        <v>181</v>
      </c>
      <c r="X99" s="133">
        <f t="shared" si="40"/>
        <v>60.333333333333336</v>
      </c>
      <c r="Y99" s="48">
        <f t="shared" si="41"/>
        <v>16223211</v>
      </c>
      <c r="Z99" s="48">
        <f t="shared" si="42"/>
        <v>16223211</v>
      </c>
      <c r="AA99" s="49">
        <f t="shared" si="52"/>
        <v>3.1144829661951976E-3</v>
      </c>
      <c r="AB99" s="50">
        <f>SUM($AA$2:AA99)</f>
        <v>0.99694212605221555</v>
      </c>
      <c r="AC99" s="45" t="str">
        <f t="shared" si="53"/>
        <v>C</v>
      </c>
      <c r="AD99" s="48">
        <f>AVERAGE(J99:U99)</f>
        <v>15.083333333333334</v>
      </c>
      <c r="AE99" s="48">
        <f>_xlfn.STDEV.P(J99:U99)</f>
        <v>30.923179906917003</v>
      </c>
      <c r="AF99" s="51">
        <f t="shared" si="54"/>
        <v>2.0501555739392487</v>
      </c>
      <c r="AG99" s="45" t="str">
        <f t="shared" si="55"/>
        <v>Z</v>
      </c>
      <c r="AH99" s="45" t="str">
        <f t="shared" si="56"/>
        <v>CZ</v>
      </c>
      <c r="AI99" s="52">
        <f t="shared" si="57"/>
        <v>0</v>
      </c>
      <c r="AJ99" s="289" t="str">
        <f t="shared" si="58"/>
        <v>발주안함</v>
      </c>
      <c r="AK99" s="307" t="str">
        <f t="shared" si="50"/>
        <v>CZ - 즉시단종</v>
      </c>
    </row>
    <row r="100" spans="1:37">
      <c r="A100" s="287">
        <v>99</v>
      </c>
      <c r="B100" s="475" t="s">
        <v>711</v>
      </c>
      <c r="C100" s="434" t="s">
        <v>679</v>
      </c>
      <c r="D100" s="43"/>
      <c r="E100" s="44"/>
      <c r="F100" s="42"/>
      <c r="G100" s="42"/>
      <c r="H100" s="42"/>
      <c r="I100" s="435" t="s">
        <v>238</v>
      </c>
      <c r="J100" s="46">
        <v>0</v>
      </c>
      <c r="K100" s="47">
        <v>0</v>
      </c>
      <c r="L100" s="47">
        <v>0</v>
      </c>
      <c r="M100" s="47">
        <v>138</v>
      </c>
      <c r="N100" s="47">
        <v>98</v>
      </c>
      <c r="O100" s="47">
        <v>44</v>
      </c>
      <c r="P100" s="47">
        <v>46</v>
      </c>
      <c r="Q100" s="47">
        <v>38</v>
      </c>
      <c r="R100" s="47">
        <v>27</v>
      </c>
      <c r="S100" s="47">
        <v>29</v>
      </c>
      <c r="T100" s="30">
        <v>41</v>
      </c>
      <c r="U100" s="29">
        <v>32</v>
      </c>
      <c r="V100" s="48">
        <v>32309</v>
      </c>
      <c r="W100" s="48">
        <f t="shared" si="39"/>
        <v>493</v>
      </c>
      <c r="X100" s="133">
        <f t="shared" si="40"/>
        <v>34</v>
      </c>
      <c r="Y100" s="48">
        <f t="shared" si="41"/>
        <v>3295518</v>
      </c>
      <c r="Z100" s="48">
        <f t="shared" si="42"/>
        <v>15928337</v>
      </c>
      <c r="AA100" s="49">
        <f t="shared" si="52"/>
        <v>3.0578739477848567E-3</v>
      </c>
      <c r="AB100" s="50">
        <f>SUM($AA$2:AA100)</f>
        <v>1.0000000000000004</v>
      </c>
      <c r="AC100" s="45" t="str">
        <f t="shared" si="53"/>
        <v>C</v>
      </c>
      <c r="AD100" s="48">
        <f>AVERAGE(J100:U100)</f>
        <v>41.083333333333336</v>
      </c>
      <c r="AE100" s="48">
        <f>_xlfn.STDEV.P(J100:U100)</f>
        <v>38.906851010529699</v>
      </c>
      <c r="AF100" s="51">
        <f t="shared" si="54"/>
        <v>0.94702274264981012</v>
      </c>
      <c r="AG100" s="45" t="str">
        <f t="shared" si="55"/>
        <v>Y</v>
      </c>
      <c r="AH100" s="45" t="str">
        <f t="shared" si="56"/>
        <v>CY</v>
      </c>
      <c r="AI100" s="52">
        <f t="shared" si="57"/>
        <v>0.05</v>
      </c>
      <c r="AJ100" s="289" t="str">
        <f t="shared" si="58"/>
        <v>발주</v>
      </c>
      <c r="AK100" s="307" t="str">
        <f t="shared" si="50"/>
        <v>CY - 중단(재고소진만)</v>
      </c>
    </row>
  </sheetData>
  <phoneticPr fontId="15" type="noConversion"/>
  <conditionalFormatting sqref="D2:D100">
    <cfRule type="duplicateValues" dxfId="44" priority="57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1:W100"/>
  <sheetViews>
    <sheetView showGridLines="0" zoomScaleNormal="100" workbookViewId="0">
      <pane xSplit="3" ySplit="1" topLeftCell="D82" activePane="bottomRight" state="frozen"/>
      <selection pane="topRight" activeCell="D1" sqref="D1"/>
      <selection pane="bottomLeft" activeCell="A2" sqref="A2"/>
      <selection pane="bottomRight" activeCell="J83" sqref="J83"/>
    </sheetView>
  </sheetViews>
  <sheetFormatPr defaultColWidth="19" defaultRowHeight="16.5"/>
  <cols>
    <col min="1" max="1" width="0.5" customWidth="1"/>
    <col min="2" max="2" width="6.5" customWidth="1"/>
    <col min="3" max="3" width="7.125" bestFit="1" customWidth="1"/>
    <col min="4" max="4" width="9" customWidth="1"/>
    <col min="5" max="5" width="8.375" customWidth="1"/>
    <col min="6" max="6" width="6.25" customWidth="1"/>
    <col min="7" max="7" width="5.875" customWidth="1"/>
    <col min="8" max="8" width="8.375" customWidth="1"/>
    <col min="9" max="9" width="10.25" customWidth="1"/>
    <col min="10" max="10" width="12" customWidth="1"/>
    <col min="11" max="11" width="15.875" style="367" customWidth="1"/>
    <col min="12" max="12" width="15.875" style="366" customWidth="1"/>
    <col min="13" max="13" width="18.375" style="366" customWidth="1"/>
    <col min="14" max="14" width="10.25" customWidth="1"/>
    <col min="15" max="15" width="9.125" customWidth="1"/>
    <col min="16" max="16" width="13.125" customWidth="1"/>
    <col min="17" max="17" width="10.625" customWidth="1"/>
    <col min="18" max="18" width="11.5" customWidth="1"/>
    <col min="19" max="19" width="1.625" customWidth="1"/>
    <col min="20" max="20" width="18.25" customWidth="1"/>
    <col min="21" max="21" width="35.125" bestFit="1" customWidth="1"/>
    <col min="22" max="22" width="35.625" customWidth="1"/>
    <col min="23" max="23" width="25.375" customWidth="1"/>
  </cols>
  <sheetData>
    <row r="1" spans="2:23" ht="36.75" customHeight="1">
      <c r="B1" s="315" t="s">
        <v>291</v>
      </c>
      <c r="C1" s="284" t="s">
        <v>10</v>
      </c>
      <c r="D1" s="284" t="s">
        <v>11</v>
      </c>
      <c r="E1" s="284" t="s">
        <v>72</v>
      </c>
      <c r="F1" s="284" t="s">
        <v>292</v>
      </c>
      <c r="G1" s="284" t="s">
        <v>293</v>
      </c>
      <c r="H1" s="284" t="s">
        <v>12</v>
      </c>
      <c r="I1" s="284" t="s">
        <v>13</v>
      </c>
      <c r="J1" s="284" t="s">
        <v>83</v>
      </c>
      <c r="K1" s="430" t="s">
        <v>462</v>
      </c>
      <c r="L1" s="431" t="s">
        <v>506</v>
      </c>
      <c r="M1" s="476" t="s">
        <v>296</v>
      </c>
      <c r="N1" s="284" t="s">
        <v>49</v>
      </c>
      <c r="O1" s="284" t="s">
        <v>509</v>
      </c>
      <c r="P1" s="283" t="s">
        <v>507</v>
      </c>
      <c r="Q1" s="284" t="s">
        <v>84</v>
      </c>
      <c r="R1" s="283" t="s">
        <v>85</v>
      </c>
      <c r="S1" s="218"/>
      <c r="T1" s="203" t="s">
        <v>86</v>
      </c>
      <c r="V1" s="267" t="s">
        <v>534</v>
      </c>
    </row>
    <row r="2" spans="2:23">
      <c r="B2" s="400" t="str">
        <f>_xlfn.XLOOKUP(C2,'ABC-XYZ분석 (2)'!C:C,'ABC-XYZ분석 (2)'!B:B)</f>
        <v>신재품</v>
      </c>
      <c r="C2" s="434" t="s">
        <v>581</v>
      </c>
      <c r="D2" s="383"/>
      <c r="E2" s="383"/>
      <c r="F2" s="384" t="str">
        <f>_xlfn.XLOOKUP(표3[[#This Row],[SKU코드]],'ABC-XYZ분석 (2)'!C:C,'ABC-XYZ분석 (2)'!AC:AC)</f>
        <v>A</v>
      </c>
      <c r="G2" s="385" t="str">
        <f>_xlfn.XLOOKUP(C2,'ABC-XYZ분석 (2)'!C:C,'ABC-XYZ분석 (2)'!AG:AG)</f>
        <v>Z</v>
      </c>
      <c r="H2" s="386">
        <f>SUMIF(재고!C:C,재고분석!C2,재고!I:I)</f>
        <v>1233</v>
      </c>
      <c r="I2" s="385">
        <f>SUMIF(안전재고!A:A,재고분석!$C2,안전재고!I:I)</f>
        <v>212</v>
      </c>
      <c r="J2" s="387">
        <f>SUMIF('ABC-XYZ분석 (2)'!C:C,재고분석!$C2,'ABC-XYZ분석 (2)'!X:X)</f>
        <v>6</v>
      </c>
      <c r="K2" s="432">
        <f>IFERROR(재고분석!$J2/재고분석!$H2,"")</f>
        <v>4.8661800486618006E-3</v>
      </c>
      <c r="L2" s="432">
        <f>IFERROR(재고분석!$K2*12,"")</f>
        <v>5.8394160583941604E-2</v>
      </c>
      <c r="M2" s="387">
        <f t="shared" ref="M2:M33" si="0">IFERROR(H2/(J2/30),"")</f>
        <v>6165</v>
      </c>
      <c r="N2" s="385" t="str">
        <f>IF(H2=0,"재고없음",IF(H2&lt;I2,"부족",IF(H2&lt;VLOOKUP(C2,공급물량!$B:$M,12,0)*0.8,"재주문",IF(H2&lt;=VLOOKUP(C2,공급물량!$B:$M,12,0)*1.2,"적정","과잉"))))</f>
        <v>과잉</v>
      </c>
      <c r="O2" s="385" t="str">
        <f t="shared" ref="O2:O33" si="1">IF(H2=0,"-",IF(K2&gt;=0.5,"우수",IF(K2&gt;=0.33,"적정",IF(K2&gt;=0.17,"주의","불량"))))</f>
        <v>불량</v>
      </c>
      <c r="P2" s="389" t="str">
        <f t="shared" ref="P2:P33" si="2">IF(N2="재고없음","긴급발주",IF(N2="부족","긴급발주",IF(AND(N2="재주문",OR(O2="우수",O2="적정")),"현상유지",IF(N2="재주문","발주검토",IF(AND(N2="적정",O2="불량"),"판촉검토",IF(N2="적정","현상유지",IF(AND(N2="과잉",OR(O2="우수",O2="적정")),"발주축소","판촉/할인검토")))))))</f>
        <v>판촉/할인검토</v>
      </c>
      <c r="Q2" s="388">
        <f>_xlfn.XLOOKUP(표3[[#This Row],[SKU코드]],재고!C:C,재고!H:H)</f>
        <v>9680</v>
      </c>
      <c r="R2" s="396">
        <f t="shared" ref="R2:R65" si="3">Q2*H2</f>
        <v>11935440</v>
      </c>
      <c r="T2" s="219" t="s">
        <v>8</v>
      </c>
      <c r="U2" s="150" t="s">
        <v>87</v>
      </c>
      <c r="V2" s="368" t="s">
        <v>575</v>
      </c>
      <c r="W2" s="150" t="s">
        <v>88</v>
      </c>
    </row>
    <row r="3" spans="2:23">
      <c r="B3" s="401" t="str">
        <f>_xlfn.XLOOKUP(C3,'ABC-XYZ분석 (2)'!C:C,'ABC-XYZ분석 (2)'!B:B)</f>
        <v>신재품</v>
      </c>
      <c r="C3" s="434" t="s">
        <v>689</v>
      </c>
      <c r="D3" s="390"/>
      <c r="E3" s="390"/>
      <c r="F3" s="384" t="str">
        <f>_xlfn.XLOOKUP(표3[[#This Row],[SKU코드]],'ABC-XYZ분석 (2)'!C:C,'ABC-XYZ분석 (2)'!AC:AC)</f>
        <v>A</v>
      </c>
      <c r="G3" s="391" t="str">
        <f>_xlfn.XLOOKUP(C3,'ABC-XYZ분석 (2)'!C:C,'ABC-XYZ분석 (2)'!AG:AG)</f>
        <v>Z</v>
      </c>
      <c r="H3" s="392">
        <f>SUMIF(재고!C:C,재고분석!C3,재고!I:I)</f>
        <v>1865</v>
      </c>
      <c r="I3" s="391">
        <f>SUMIF(안전재고!A:A,재고분석!$C3,안전재고!I:I)</f>
        <v>237</v>
      </c>
      <c r="J3" s="393">
        <f>SUMIF('ABC-XYZ분석 (2)'!C:C,재고분석!$C3,'ABC-XYZ분석 (2)'!X:X)</f>
        <v>6.333333333333333</v>
      </c>
      <c r="K3" s="432">
        <f>IFERROR(재고분석!$J3/재고분석!$H3,"")</f>
        <v>3.395889186773905E-3</v>
      </c>
      <c r="L3" s="432">
        <f>IFERROR(재고분석!$K3*12,"")</f>
        <v>4.0750670241286861E-2</v>
      </c>
      <c r="M3" s="393">
        <f t="shared" si="0"/>
        <v>8834.21052631579</v>
      </c>
      <c r="N3" s="391" t="str">
        <f>IF(H3=0,"재고없음",IF(H3&lt;I3,"부족",IF(H3&lt;VLOOKUP(C3,공급물량!$B:$M,12,0)*0.8,"재주문",IF(H3&lt;=VLOOKUP(C3,공급물량!$B:$M,12,0)*1.2,"적정","과잉"))))</f>
        <v>과잉</v>
      </c>
      <c r="O3" s="391" t="str">
        <f t="shared" si="1"/>
        <v>불량</v>
      </c>
      <c r="P3" s="395" t="str">
        <f t="shared" si="2"/>
        <v>판촉/할인검토</v>
      </c>
      <c r="Q3" s="394">
        <f>_xlfn.XLOOKUP(재고분석!$C3,재고!C:C,재고!H:H)</f>
        <v>12300</v>
      </c>
      <c r="R3" s="397">
        <f t="shared" si="3"/>
        <v>22939500</v>
      </c>
      <c r="T3" s="213" t="s">
        <v>89</v>
      </c>
      <c r="U3" s="151" t="s">
        <v>90</v>
      </c>
      <c r="V3" s="151" t="s">
        <v>91</v>
      </c>
      <c r="W3" s="151" t="s">
        <v>550</v>
      </c>
    </row>
    <row r="4" spans="2:23">
      <c r="B4" s="400" t="str">
        <f>_xlfn.XLOOKUP(C4,'ABC-XYZ분석 (2)'!C:C,'ABC-XYZ분석 (2)'!B:B)</f>
        <v>신재품</v>
      </c>
      <c r="C4" s="434" t="s">
        <v>583</v>
      </c>
      <c r="D4" s="383"/>
      <c r="E4" s="383"/>
      <c r="F4" s="384" t="str">
        <f>_xlfn.XLOOKUP(표3[[#This Row],[SKU코드]],'ABC-XYZ분석 (2)'!C:C,'ABC-XYZ분석 (2)'!AC:AC)</f>
        <v>A</v>
      </c>
      <c r="G4" s="385" t="str">
        <f>_xlfn.XLOOKUP(C4,'ABC-XYZ분석 (2)'!C:C,'ABC-XYZ분석 (2)'!AG:AG)</f>
        <v>Z</v>
      </c>
      <c r="H4" s="386">
        <f>SUMIF(재고!C:C,재고분석!C4,재고!I:I)</f>
        <v>0</v>
      </c>
      <c r="I4" s="385">
        <f>SUMIF(안전재고!A:A,재고분석!$C4,안전재고!I:I)</f>
        <v>257</v>
      </c>
      <c r="J4" s="387">
        <f>SUMIF('ABC-XYZ분석 (2)'!C:C,재고분석!$C4,'ABC-XYZ분석 (2)'!X:X)</f>
        <v>11.333333333333334</v>
      </c>
      <c r="K4" s="432" t="str">
        <f>IFERROR(재고분석!$J4/재고분석!$H4,"")</f>
        <v/>
      </c>
      <c r="L4" s="432" t="str">
        <f>IFERROR(재고분석!$K4*12,"")</f>
        <v/>
      </c>
      <c r="M4" s="393">
        <f t="shared" ref="M4" si="4">IFERROR(H4/(J4/30),"")</f>
        <v>0</v>
      </c>
      <c r="N4" s="385" t="str">
        <f>IF(H4=0,"재고없음",IF(H4&lt;I4,"부족",IF(H4&lt;VLOOKUP(C4,공급물량!$B:$M,12,0)*0.8,"재주문",IF(H4&lt;=VLOOKUP(C4,공급물량!$B:$M,12,0)*1.2,"적정","과잉"))))</f>
        <v>재고없음</v>
      </c>
      <c r="O4" s="385" t="str">
        <f t="shared" si="1"/>
        <v>-</v>
      </c>
      <c r="P4" s="389" t="str">
        <f t="shared" si="2"/>
        <v>긴급발주</v>
      </c>
      <c r="Q4" s="388">
        <f>_xlfn.XLOOKUP(재고분석!$C4,재고!C:C,재고!H:H)</f>
        <v>2700</v>
      </c>
      <c r="R4" s="396">
        <f t="shared" si="3"/>
        <v>0</v>
      </c>
      <c r="T4" s="213" t="s">
        <v>548</v>
      </c>
      <c r="U4" s="151" t="s">
        <v>562</v>
      </c>
      <c r="V4" s="151" t="s">
        <v>576</v>
      </c>
      <c r="W4" s="151" t="s">
        <v>92</v>
      </c>
    </row>
    <row r="5" spans="2:23">
      <c r="B5" s="401" t="str">
        <f>_xlfn.XLOOKUP(C5,'ABC-XYZ분석 (2)'!C:C,'ABC-XYZ분석 (2)'!B:B)</f>
        <v>신재품</v>
      </c>
      <c r="C5" s="434" t="s">
        <v>584</v>
      </c>
      <c r="D5" s="390"/>
      <c r="E5" s="390"/>
      <c r="F5" s="384" t="str">
        <f>_xlfn.XLOOKUP(표3[[#This Row],[SKU코드]],'ABC-XYZ분석 (2)'!C:C,'ABC-XYZ분석 (2)'!AC:AC)</f>
        <v>A</v>
      </c>
      <c r="G5" s="391" t="str">
        <f>_xlfn.XLOOKUP(C5,'ABC-XYZ분석 (2)'!C:C,'ABC-XYZ분석 (2)'!AG:AG)</f>
        <v>Z</v>
      </c>
      <c r="H5" s="392">
        <f>SUMIF(재고!C:C,재고분석!C5,재고!I:I)</f>
        <v>0</v>
      </c>
      <c r="I5" s="391">
        <f>SUMIF(안전재고!A:A,재고분석!$C5,안전재고!I:I)</f>
        <v>518</v>
      </c>
      <c r="J5" s="393">
        <f>SUMIF('ABC-XYZ분석 (2)'!C:C,재고분석!$C5,'ABC-XYZ분석 (2)'!X:X)</f>
        <v>7.333333333333333</v>
      </c>
      <c r="K5" s="432" t="str">
        <f>IFERROR(재고분석!$J5/재고분석!$H5,"")</f>
        <v/>
      </c>
      <c r="L5" s="432" t="str">
        <f>IFERROR(재고분석!$K5*12,"")</f>
        <v/>
      </c>
      <c r="M5" s="393">
        <f t="shared" si="0"/>
        <v>0</v>
      </c>
      <c r="N5" s="391" t="str">
        <f>IF(H5=0,"재고없음",IF(H5&lt;I5,"부족",IF(H5&lt;VLOOKUP(C5,공급물량!$B:$M,12,0)*0.8,"재주문",IF(H5&lt;=VLOOKUP(C5,공급물량!$B:$M,12,0)*1.2,"적정","과잉"))))</f>
        <v>재고없음</v>
      </c>
      <c r="O5" s="391" t="str">
        <f t="shared" si="1"/>
        <v>-</v>
      </c>
      <c r="P5" s="395" t="str">
        <f t="shared" si="2"/>
        <v>긴급발주</v>
      </c>
      <c r="Q5" s="394">
        <f>_xlfn.XLOOKUP(재고분석!$C5,재고!C:C,재고!H:H)</f>
        <v>2700</v>
      </c>
      <c r="R5" s="397">
        <f t="shared" si="3"/>
        <v>0</v>
      </c>
      <c r="T5" s="213" t="s">
        <v>93</v>
      </c>
      <c r="U5" s="151" t="s">
        <v>563</v>
      </c>
      <c r="V5" s="151" t="s">
        <v>577</v>
      </c>
      <c r="W5" s="151" t="s">
        <v>94</v>
      </c>
    </row>
    <row r="6" spans="2:23">
      <c r="B6" s="400" t="str">
        <f>_xlfn.XLOOKUP(C6,'ABC-XYZ분석 (2)'!C:C,'ABC-XYZ분석 (2)'!B:B)</f>
        <v>신재품</v>
      </c>
      <c r="C6" s="434" t="s">
        <v>585</v>
      </c>
      <c r="D6" s="383"/>
      <c r="E6" s="383"/>
      <c r="F6" s="384" t="str">
        <f>_xlfn.XLOOKUP(표3[[#This Row],[SKU코드]],'ABC-XYZ분석 (2)'!C:C,'ABC-XYZ분석 (2)'!AC:AC)</f>
        <v>A</v>
      </c>
      <c r="G6" s="385" t="str">
        <f>_xlfn.XLOOKUP(C6,'ABC-XYZ분석 (2)'!C:C,'ABC-XYZ분석 (2)'!AG:AG)</f>
        <v>Z</v>
      </c>
      <c r="H6" s="386">
        <f>SUMIF(재고!C:C,재고분석!C6,재고!I:I)</f>
        <v>0</v>
      </c>
      <c r="I6" s="385">
        <f>SUMIF(안전재고!A:A,재고분석!$C6,안전재고!I:I)</f>
        <v>187</v>
      </c>
      <c r="J6" s="387">
        <f>SUMIF('ABC-XYZ분석 (2)'!C:C,재고분석!$C6,'ABC-XYZ분석 (2)'!X:X)</f>
        <v>5.333333333333333</v>
      </c>
      <c r="K6" s="432" t="str">
        <f>IFERROR(재고분석!$J6/재고분석!$H6,"")</f>
        <v/>
      </c>
      <c r="L6" s="432" t="str">
        <f>IFERROR(재고분석!$K6*12,"")</f>
        <v/>
      </c>
      <c r="M6" s="387">
        <f t="shared" si="0"/>
        <v>0</v>
      </c>
      <c r="N6" s="385" t="str">
        <f>IF(H6=0,"재고없음",IF(H6&lt;I6,"부족",IF(H6&lt;VLOOKUP(C6,공급물량!$B:$M,12,0)*0.8,"재주문",IF(H6&lt;=VLOOKUP(C6,공급물량!$B:$M,12,0)*1.2,"적정","과잉"))))</f>
        <v>재고없음</v>
      </c>
      <c r="O6" s="385" t="str">
        <f t="shared" si="1"/>
        <v>-</v>
      </c>
      <c r="P6" s="389" t="str">
        <f t="shared" si="2"/>
        <v>긴급발주</v>
      </c>
      <c r="Q6" s="388">
        <f>_xlfn.XLOOKUP(재고분석!$C6,재고!C:C,재고!H:H)</f>
        <v>2700</v>
      </c>
      <c r="R6" s="396">
        <f t="shared" si="3"/>
        <v>0</v>
      </c>
      <c r="T6" s="314" t="s">
        <v>549</v>
      </c>
      <c r="U6" s="151" t="s">
        <v>564</v>
      </c>
      <c r="V6" s="151" t="s">
        <v>578</v>
      </c>
      <c r="W6" s="151" t="s">
        <v>95</v>
      </c>
    </row>
    <row r="7" spans="2:23">
      <c r="B7" s="401" t="str">
        <f>_xlfn.XLOOKUP(C7,'ABC-XYZ분석 (2)'!C:C,'ABC-XYZ분석 (2)'!B:B)</f>
        <v>신재품</v>
      </c>
      <c r="C7" s="434" t="s">
        <v>586</v>
      </c>
      <c r="D7" s="390"/>
      <c r="E7" s="390"/>
      <c r="F7" s="384" t="str">
        <f>_xlfn.XLOOKUP(표3[[#This Row],[SKU코드]],'ABC-XYZ분석 (2)'!C:C,'ABC-XYZ분석 (2)'!AC:AC)</f>
        <v>A</v>
      </c>
      <c r="G7" s="391" t="str">
        <f>_xlfn.XLOOKUP(C7,'ABC-XYZ분석 (2)'!C:C,'ABC-XYZ분석 (2)'!AG:AG)</f>
        <v>Z</v>
      </c>
      <c r="H7" s="392">
        <f>SUMIF(재고!C:C,재고분석!C7,재고!I:I)</f>
        <v>0</v>
      </c>
      <c r="I7" s="391">
        <f>SUMIF(안전재고!A:A,재고분석!$C7,안전재고!I:I)</f>
        <v>763</v>
      </c>
      <c r="J7" s="393">
        <f>SUMIF('ABC-XYZ분석 (2)'!C:C,재고분석!$C7,'ABC-XYZ분석 (2)'!X:X)</f>
        <v>5</v>
      </c>
      <c r="K7" s="432" t="str">
        <f>IFERROR(재고분석!$J7/재고분석!$H7,"")</f>
        <v/>
      </c>
      <c r="L7" s="432" t="str">
        <f>IFERROR(재고분석!$K7*12,"")</f>
        <v/>
      </c>
      <c r="M7" s="393">
        <f t="shared" si="0"/>
        <v>0</v>
      </c>
      <c r="N7" s="391" t="str">
        <f>IF(H7=0,"재고없음",IF(H7&lt;I7,"부족",IF(H7&lt;VLOOKUP(C7,공급물량!$B:$M,12,0)*0.8,"재주문",IF(H7&lt;=VLOOKUP(C7,공급물량!$B:$M,12,0)*1.2,"적정","과잉"))))</f>
        <v>재고없음</v>
      </c>
      <c r="O7" s="391" t="str">
        <f t="shared" si="1"/>
        <v>-</v>
      </c>
      <c r="P7" s="395" t="str">
        <f t="shared" si="2"/>
        <v>긴급발주</v>
      </c>
      <c r="Q7" s="394">
        <f>_xlfn.XLOOKUP(재고분석!$C7,재고!C:C,재고!H:H)</f>
        <v>3700</v>
      </c>
      <c r="R7" s="397">
        <f t="shared" si="3"/>
        <v>0</v>
      </c>
    </row>
    <row r="8" spans="2:23">
      <c r="B8" s="400" t="str">
        <f>_xlfn.XLOOKUP(C8,'ABC-XYZ분석 (2)'!C:C,'ABC-XYZ분석 (2)'!B:B)</f>
        <v>신재품</v>
      </c>
      <c r="C8" s="434" t="s">
        <v>587</v>
      </c>
      <c r="D8" s="383"/>
      <c r="E8" s="383"/>
      <c r="F8" s="384" t="str">
        <f>_xlfn.XLOOKUP(표3[[#This Row],[SKU코드]],'ABC-XYZ분석 (2)'!C:C,'ABC-XYZ분석 (2)'!AC:AC)</f>
        <v>A</v>
      </c>
      <c r="G8" s="385" t="str">
        <f>_xlfn.XLOOKUP(C8,'ABC-XYZ분석 (2)'!C:C,'ABC-XYZ분석 (2)'!AG:AG)</f>
        <v>Z</v>
      </c>
      <c r="H8" s="386">
        <f>SUMIF(재고!C:C,재고분석!C8,재고!I:I)</f>
        <v>0</v>
      </c>
      <c r="I8" s="385">
        <f>SUMIF(안전재고!A:A,재고분석!$C8,안전재고!I:I)</f>
        <v>631</v>
      </c>
      <c r="J8" s="387">
        <f>SUMIF('ABC-XYZ분석 (2)'!C:C,재고분석!$C8,'ABC-XYZ분석 (2)'!X:X)</f>
        <v>6</v>
      </c>
      <c r="K8" s="432" t="str">
        <f>IFERROR(재고분석!$J8/재고분석!$H8,"")</f>
        <v/>
      </c>
      <c r="L8" s="432" t="str">
        <f>IFERROR(재고분석!$K8*12,"")</f>
        <v/>
      </c>
      <c r="M8" s="387">
        <f t="shared" si="0"/>
        <v>0</v>
      </c>
      <c r="N8" s="385" t="str">
        <f>IF(H8=0,"재고없음",IF(H8&lt;I8,"부족",IF(H8&lt;VLOOKUP(C8,공급물량!$B:$M,12,0)*0.8,"재주문",IF(H8&lt;=VLOOKUP(C8,공급물량!$B:$M,12,0)*1.2,"적정","과잉"))))</f>
        <v>재고없음</v>
      </c>
      <c r="O8" s="385" t="str">
        <f t="shared" si="1"/>
        <v>-</v>
      </c>
      <c r="P8" s="389" t="str">
        <f t="shared" si="2"/>
        <v>긴급발주</v>
      </c>
      <c r="Q8" s="388">
        <f>_xlfn.XLOOKUP(재고분석!$C8,재고!C:C,재고!H:H)</f>
        <v>3700</v>
      </c>
      <c r="R8" s="396">
        <f t="shared" si="3"/>
        <v>0</v>
      </c>
      <c r="T8" s="362"/>
      <c r="V8" s="363"/>
    </row>
    <row r="9" spans="2:23">
      <c r="B9" s="401" t="str">
        <f>_xlfn.XLOOKUP(C9,'ABC-XYZ분석 (2)'!C:C,'ABC-XYZ분석 (2)'!B:B)</f>
        <v>신재품</v>
      </c>
      <c r="C9" s="434" t="s">
        <v>588</v>
      </c>
      <c r="D9" s="390"/>
      <c r="E9" s="390"/>
      <c r="F9" s="384" t="str">
        <f>_xlfn.XLOOKUP(표3[[#This Row],[SKU코드]],'ABC-XYZ분석 (2)'!C:C,'ABC-XYZ분석 (2)'!AC:AC)</f>
        <v>A</v>
      </c>
      <c r="G9" s="391" t="str">
        <f>_xlfn.XLOOKUP(C9,'ABC-XYZ분석 (2)'!C:C,'ABC-XYZ분석 (2)'!AG:AG)</f>
        <v>X</v>
      </c>
      <c r="H9" s="392">
        <f>SUMIF(재고!C:C,재고분석!C9,재고!I:I)</f>
        <v>0</v>
      </c>
      <c r="I9" s="391">
        <f>SUMIF(안전재고!A:A,재고분석!$C9,안전재고!I:I)</f>
        <v>63</v>
      </c>
      <c r="J9" s="393">
        <f>SUMIF('ABC-XYZ분석 (2)'!C:C,재고분석!$C9,'ABC-XYZ분석 (2)'!X:X)</f>
        <v>1028.3333333333333</v>
      </c>
      <c r="K9" s="432" t="str">
        <f>IFERROR(재고분석!$J9/재고분석!$H9,"")</f>
        <v/>
      </c>
      <c r="L9" s="432" t="str">
        <f>IFERROR(재고분석!$K9*12,"")</f>
        <v/>
      </c>
      <c r="M9" s="393">
        <f t="shared" si="0"/>
        <v>0</v>
      </c>
      <c r="N9" s="391" t="str">
        <f>IF(H9=0,"재고없음",IF(H9&lt;I9,"부족",IF(H9&lt;VLOOKUP(C9,공급물량!$B:$M,12,0)*0.8,"재주문",IF(H9&lt;=VLOOKUP(C9,공급물량!$B:$M,12,0)*1.2,"적정","과잉"))))</f>
        <v>재고없음</v>
      </c>
      <c r="O9" s="391" t="str">
        <f t="shared" si="1"/>
        <v>-</v>
      </c>
      <c r="P9" s="395" t="str">
        <f t="shared" si="2"/>
        <v>긴급발주</v>
      </c>
      <c r="Q9" s="394">
        <f>_xlfn.XLOOKUP(재고분석!$C9,재고!C:C,재고!H:H)</f>
        <v>3700</v>
      </c>
      <c r="R9" s="397">
        <f t="shared" si="3"/>
        <v>0</v>
      </c>
      <c r="T9" s="362"/>
    </row>
    <row r="10" spans="2:23">
      <c r="B10" s="400" t="str">
        <f>_xlfn.XLOOKUP(C10,'ABC-XYZ분석 (2)'!C:C,'ABC-XYZ분석 (2)'!B:B)</f>
        <v>신재품</v>
      </c>
      <c r="C10" s="434" t="s">
        <v>589</v>
      </c>
      <c r="D10" s="383"/>
      <c r="E10" s="383"/>
      <c r="F10" s="384" t="str">
        <f>_xlfn.XLOOKUP(표3[[#This Row],[SKU코드]],'ABC-XYZ분석 (2)'!C:C,'ABC-XYZ분석 (2)'!AC:AC)</f>
        <v>A</v>
      </c>
      <c r="G10" s="385" t="str">
        <f>_xlfn.XLOOKUP(C10,'ABC-XYZ분석 (2)'!C:C,'ABC-XYZ분석 (2)'!AG:AG)</f>
        <v>Z</v>
      </c>
      <c r="H10" s="386">
        <f>SUMIF(재고!C:C,재고분석!C10,재고!I:I)</f>
        <v>0</v>
      </c>
      <c r="I10" s="385">
        <f>SUMIF(안전재고!A:A,재고분석!$C10,안전재고!I:I)</f>
        <v>496</v>
      </c>
      <c r="J10" s="387">
        <f>SUMIF('ABC-XYZ분석 (2)'!C:C,재고분석!$C10,'ABC-XYZ분석 (2)'!X:X)</f>
        <v>3.6666666666666665</v>
      </c>
      <c r="K10" s="432" t="str">
        <f>IFERROR(재고분석!$J10/재고분석!$H10,"")</f>
        <v/>
      </c>
      <c r="L10" s="432" t="str">
        <f>IFERROR(재고분석!$K10*12,"")</f>
        <v/>
      </c>
      <c r="M10" s="387">
        <f t="shared" si="0"/>
        <v>0</v>
      </c>
      <c r="N10" s="385" t="str">
        <f>IF(H10=0,"재고없음",IF(H10&lt;I10,"부족",IF(H10&lt;VLOOKUP(C10,공급물량!$B:$M,12,0)*0.8,"재주문",IF(H10&lt;=VLOOKUP(C10,공급물량!$B:$M,12,0)*1.2,"적정","과잉"))))</f>
        <v>재고없음</v>
      </c>
      <c r="O10" s="385" t="str">
        <f t="shared" si="1"/>
        <v>-</v>
      </c>
      <c r="P10" s="389" t="str">
        <f t="shared" si="2"/>
        <v>긴급발주</v>
      </c>
      <c r="Q10" s="388">
        <f>_xlfn.XLOOKUP(재고분석!$C10,재고!C:C,재고!H:H)</f>
        <v>4100</v>
      </c>
      <c r="R10" s="396">
        <f t="shared" si="3"/>
        <v>0</v>
      </c>
      <c r="T10" s="178"/>
    </row>
    <row r="11" spans="2:23">
      <c r="B11" s="401" t="str">
        <f>_xlfn.XLOOKUP(C11,'ABC-XYZ분석 (2)'!C:C,'ABC-XYZ분석 (2)'!B:B)</f>
        <v>신재품</v>
      </c>
      <c r="C11" s="434" t="s">
        <v>590</v>
      </c>
      <c r="D11" s="390"/>
      <c r="E11" s="390"/>
      <c r="F11" s="384" t="str">
        <f>_xlfn.XLOOKUP(표3[[#This Row],[SKU코드]],'ABC-XYZ분석 (2)'!C:C,'ABC-XYZ분석 (2)'!AC:AC)</f>
        <v>A</v>
      </c>
      <c r="G11" s="391" t="str">
        <f>_xlfn.XLOOKUP(C11,'ABC-XYZ분석 (2)'!C:C,'ABC-XYZ분석 (2)'!AG:AG)</f>
        <v>X</v>
      </c>
      <c r="H11" s="392">
        <f>SUMIF(재고!C:C,재고분석!C11,재고!I:I)</f>
        <v>0</v>
      </c>
      <c r="I11" s="391">
        <f>SUMIF(안전재고!A:A,재고분석!$C11,안전재고!I:I)</f>
        <v>57</v>
      </c>
      <c r="J11" s="393">
        <f>SUMIF('ABC-XYZ분석 (2)'!C:C,재고분석!$C11,'ABC-XYZ분석 (2)'!X:X)</f>
        <v>481</v>
      </c>
      <c r="K11" s="432" t="str">
        <f>IFERROR(재고분석!$J11/재고분석!$H11,"")</f>
        <v/>
      </c>
      <c r="L11" s="432" t="str">
        <f>IFERROR(재고분석!$K11*12,"")</f>
        <v/>
      </c>
      <c r="M11" s="393">
        <f t="shared" si="0"/>
        <v>0</v>
      </c>
      <c r="N11" s="391" t="str">
        <f>IF(H11=0,"재고없음",IF(H11&lt;I11,"부족",IF(H11&lt;VLOOKUP(C11,공급물량!$B:$M,12,0)*0.8,"재주문",IF(H11&lt;=VLOOKUP(C11,공급물량!$B:$M,12,0)*1.2,"적정","과잉"))))</f>
        <v>재고없음</v>
      </c>
      <c r="O11" s="391" t="str">
        <f t="shared" si="1"/>
        <v>-</v>
      </c>
      <c r="P11" s="395" t="str">
        <f t="shared" si="2"/>
        <v>긴급발주</v>
      </c>
      <c r="Q11" s="394">
        <f>_xlfn.XLOOKUP(재고분석!$C11,재고!C:C,재고!H:H)</f>
        <v>4100</v>
      </c>
      <c r="R11" s="397">
        <f t="shared" si="3"/>
        <v>0</v>
      </c>
      <c r="T11" s="178"/>
    </row>
    <row r="12" spans="2:23">
      <c r="B12" s="400" t="str">
        <f>_xlfn.XLOOKUP(C12,'ABC-XYZ분석 (2)'!C:C,'ABC-XYZ분석 (2)'!B:B)</f>
        <v>신재품</v>
      </c>
      <c r="C12" s="434" t="s">
        <v>591</v>
      </c>
      <c r="D12" s="383"/>
      <c r="E12" s="383"/>
      <c r="F12" s="384" t="str">
        <f>_xlfn.XLOOKUP(표3[[#This Row],[SKU코드]],'ABC-XYZ분석 (2)'!C:C,'ABC-XYZ분석 (2)'!AC:AC)</f>
        <v>A</v>
      </c>
      <c r="G12" s="385" t="str">
        <f>_xlfn.XLOOKUP(C12,'ABC-XYZ분석 (2)'!C:C,'ABC-XYZ분석 (2)'!AG:AG)</f>
        <v>X</v>
      </c>
      <c r="H12" s="386">
        <f>SUMIF(재고!C:C,재고분석!C12,재고!I:I)</f>
        <v>0</v>
      </c>
      <c r="I12" s="385">
        <f>SUMIF(안전재고!A:A,재고분석!$C12,안전재고!I:I)</f>
        <v>160</v>
      </c>
      <c r="J12" s="387">
        <f>SUMIF('ABC-XYZ분석 (2)'!C:C,재고분석!$C12,'ABC-XYZ분석 (2)'!X:X)</f>
        <v>2159</v>
      </c>
      <c r="K12" s="432" t="str">
        <f>IFERROR(재고분석!$J12/재고분석!$H12,"")</f>
        <v/>
      </c>
      <c r="L12" s="432" t="str">
        <f>IFERROR(재고분석!$K12*12,"")</f>
        <v/>
      </c>
      <c r="M12" s="387">
        <f t="shared" si="0"/>
        <v>0</v>
      </c>
      <c r="N12" s="385" t="str">
        <f>IF(H12=0,"재고없음",IF(H12&lt;I12,"부족",IF(H12&lt;VLOOKUP(C12,공급물량!$B:$M,12,0)*0.8,"재주문",IF(H12&lt;=VLOOKUP(C12,공급물량!$B:$M,12,0)*1.2,"적정","과잉"))))</f>
        <v>재고없음</v>
      </c>
      <c r="O12" s="385" t="str">
        <f t="shared" si="1"/>
        <v>-</v>
      </c>
      <c r="P12" s="389" t="str">
        <f t="shared" si="2"/>
        <v>긴급발주</v>
      </c>
      <c r="Q12" s="388">
        <f>_xlfn.XLOOKUP(재고분석!$C12,재고!C:C,재고!H:H)</f>
        <v>4100</v>
      </c>
      <c r="R12" s="396">
        <f t="shared" si="3"/>
        <v>0</v>
      </c>
    </row>
    <row r="13" spans="2:23">
      <c r="B13" s="401" t="str">
        <f>_xlfn.XLOOKUP(C13,'ABC-XYZ분석 (2)'!C:C,'ABC-XYZ분석 (2)'!B:B)</f>
        <v>신재품</v>
      </c>
      <c r="C13" s="434" t="s">
        <v>592</v>
      </c>
      <c r="D13" s="390"/>
      <c r="E13" s="390"/>
      <c r="F13" s="384" t="str">
        <f>_xlfn.XLOOKUP(표3[[#This Row],[SKU코드]],'ABC-XYZ분석 (2)'!C:C,'ABC-XYZ분석 (2)'!AC:AC)</f>
        <v>A</v>
      </c>
      <c r="G13" s="391" t="str">
        <f>_xlfn.XLOOKUP(C13,'ABC-XYZ분석 (2)'!C:C,'ABC-XYZ분석 (2)'!AG:AG)</f>
        <v>X</v>
      </c>
      <c r="H13" s="392">
        <f>SUMIF(재고!C:C,재고분석!C13,재고!I:I)</f>
        <v>2800</v>
      </c>
      <c r="I13" s="391">
        <f>SUMIF(안전재고!A:A,재고분석!$C13,안전재고!I:I)</f>
        <v>50</v>
      </c>
      <c r="J13" s="393">
        <f>SUMIF('ABC-XYZ분석 (2)'!C:C,재고분석!$C13,'ABC-XYZ분석 (2)'!X:X)</f>
        <v>563</v>
      </c>
      <c r="K13" s="432">
        <f>IFERROR(재고분석!$J13/재고분석!$H13,"")</f>
        <v>0.20107142857142857</v>
      </c>
      <c r="L13" s="432">
        <f>IFERROR(재고분석!$K13*12,"")</f>
        <v>2.4128571428571428</v>
      </c>
      <c r="M13" s="393">
        <f t="shared" si="0"/>
        <v>149.20071047957373</v>
      </c>
      <c r="N13" s="391" t="str">
        <f>IF(H13=0,"재고없음",IF(H13&lt;I13,"부족",IF(H13&lt;VLOOKUP(C13,공급물량!$B:$M,12,0)*0.8,"재주문",IF(H13&lt;=VLOOKUP(C13,공급물량!$B:$M,12,0)*1.2,"적정","과잉"))))</f>
        <v>과잉</v>
      </c>
      <c r="O13" s="391" t="str">
        <f t="shared" si="1"/>
        <v>주의</v>
      </c>
      <c r="P13" s="395" t="str">
        <f t="shared" si="2"/>
        <v>판촉/할인검토</v>
      </c>
      <c r="Q13" s="394">
        <f>_xlfn.XLOOKUP(재고분석!$C13,재고!C:C,재고!H:H)</f>
        <v>4954</v>
      </c>
      <c r="R13" s="397">
        <f t="shared" si="3"/>
        <v>13871200</v>
      </c>
      <c r="T13" s="178"/>
    </row>
    <row r="14" spans="2:23">
      <c r="B14" s="400" t="str">
        <f>_xlfn.XLOOKUP(C14,'ABC-XYZ분석 (2)'!C:C,'ABC-XYZ분석 (2)'!B:B)</f>
        <v>신재품</v>
      </c>
      <c r="C14" s="434" t="s">
        <v>593</v>
      </c>
      <c r="D14" s="383"/>
      <c r="E14" s="383"/>
      <c r="F14" s="384" t="str">
        <f>_xlfn.XLOOKUP(표3[[#This Row],[SKU코드]],'ABC-XYZ분석 (2)'!C:C,'ABC-XYZ분석 (2)'!AC:AC)</f>
        <v>A</v>
      </c>
      <c r="G14" s="385" t="str">
        <f>_xlfn.XLOOKUP(C14,'ABC-XYZ분석 (2)'!C:C,'ABC-XYZ분석 (2)'!AG:AG)</f>
        <v>Z</v>
      </c>
      <c r="H14" s="386">
        <f>SUMIF(재고!C:C,재고분석!C14,재고!I:I)</f>
        <v>1</v>
      </c>
      <c r="I14" s="385">
        <f>SUMIF(안전재고!A:A,재고분석!$C14,안전재고!I:I)</f>
        <v>742</v>
      </c>
      <c r="J14" s="387">
        <f>SUMIF('ABC-XYZ분석 (2)'!C:C,재고분석!$C14,'ABC-XYZ분석 (2)'!X:X)</f>
        <v>78.333333333333329</v>
      </c>
      <c r="K14" s="432">
        <f>IFERROR(재고분석!$J14/재고분석!$H14,"")</f>
        <v>78.333333333333329</v>
      </c>
      <c r="L14" s="432">
        <f>IFERROR(재고분석!$K14*12,"")</f>
        <v>940</v>
      </c>
      <c r="M14" s="387">
        <f t="shared" si="0"/>
        <v>0.38297872340425532</v>
      </c>
      <c r="N14" s="385" t="str">
        <f>IF(H14=0,"재고없음",IF(H14&lt;I14,"부족",IF(H14&lt;VLOOKUP(C14,공급물량!$B:$M,12,0)*0.8,"재주문",IF(H14&lt;=VLOOKUP(C14,공급물량!$B:$M,12,0)*1.2,"적정","과잉"))))</f>
        <v>부족</v>
      </c>
      <c r="O14" s="385" t="str">
        <f t="shared" si="1"/>
        <v>우수</v>
      </c>
      <c r="P14" s="389" t="str">
        <f t="shared" si="2"/>
        <v>긴급발주</v>
      </c>
      <c r="Q14" s="388">
        <f>_xlfn.XLOOKUP(재고분석!$C14,재고!C:C,재고!H:H)</f>
        <v>32100</v>
      </c>
      <c r="R14" s="396">
        <f t="shared" si="3"/>
        <v>32100</v>
      </c>
    </row>
    <row r="15" spans="2:23">
      <c r="B15" s="401" t="str">
        <f>_xlfn.XLOOKUP(C15,'ABC-XYZ분석 (2)'!C:C,'ABC-XYZ분석 (2)'!B:B)</f>
        <v>신재품</v>
      </c>
      <c r="C15" s="434" t="s">
        <v>594</v>
      </c>
      <c r="D15" s="390"/>
      <c r="E15" s="390"/>
      <c r="F15" s="384" t="str">
        <f>_xlfn.XLOOKUP(표3[[#This Row],[SKU코드]],'ABC-XYZ분석 (2)'!C:C,'ABC-XYZ분석 (2)'!AC:AC)</f>
        <v>A</v>
      </c>
      <c r="G15" s="391" t="str">
        <f>_xlfn.XLOOKUP(C15,'ABC-XYZ분석 (2)'!C:C,'ABC-XYZ분석 (2)'!AG:AG)</f>
        <v>Y</v>
      </c>
      <c r="H15" s="392">
        <f>SUMIF(재고!C:C,재고분석!C15,재고!I:I)</f>
        <v>2</v>
      </c>
      <c r="I15" s="391">
        <f>SUMIF(안전재고!A:A,재고분석!$C15,안전재고!I:I)</f>
        <v>47</v>
      </c>
      <c r="J15" s="393">
        <f>SUMIF('ABC-XYZ분석 (2)'!C:C,재고분석!$C15,'ABC-XYZ분석 (2)'!X:X)</f>
        <v>557.66666666666663</v>
      </c>
      <c r="K15" s="432">
        <f>IFERROR(재고분석!$J15/재고분석!$H15,"")</f>
        <v>278.83333333333331</v>
      </c>
      <c r="L15" s="432">
        <f>IFERROR(재고분석!$K15*12,"")</f>
        <v>3346</v>
      </c>
      <c r="M15" s="393">
        <f t="shared" si="0"/>
        <v>0.10759115361625822</v>
      </c>
      <c r="N15" s="391" t="str">
        <f>IF(H15=0,"재고없음",IF(H15&lt;I15,"부족",IF(H15&lt;VLOOKUP(C15,공급물량!$B:$M,12,0)*0.8,"재주문",IF(H15&lt;=VLOOKUP(C15,공급물량!$B:$M,12,0)*1.2,"적정","과잉"))))</f>
        <v>부족</v>
      </c>
      <c r="O15" s="391" t="str">
        <f t="shared" si="1"/>
        <v>우수</v>
      </c>
      <c r="P15" s="395" t="str">
        <f t="shared" si="2"/>
        <v>긴급발주</v>
      </c>
      <c r="Q15" s="394">
        <f>_xlfn.XLOOKUP(재고분석!$C15,재고!C:C,재고!H:H)</f>
        <v>32100</v>
      </c>
      <c r="R15" s="397">
        <f t="shared" si="3"/>
        <v>64200</v>
      </c>
    </row>
    <row r="16" spans="2:23">
      <c r="B16" s="400" t="str">
        <f>_xlfn.XLOOKUP(C16,'ABC-XYZ분석 (2)'!C:C,'ABC-XYZ분석 (2)'!B:B)</f>
        <v>신재품</v>
      </c>
      <c r="C16" s="434" t="s">
        <v>595</v>
      </c>
      <c r="D16" s="383"/>
      <c r="E16" s="383"/>
      <c r="F16" s="384" t="str">
        <f>_xlfn.XLOOKUP(표3[[#This Row],[SKU코드]],'ABC-XYZ분석 (2)'!C:C,'ABC-XYZ분석 (2)'!AC:AC)</f>
        <v>A</v>
      </c>
      <c r="G16" s="385" t="str">
        <f>_xlfn.XLOOKUP(C16,'ABC-XYZ분석 (2)'!C:C,'ABC-XYZ분석 (2)'!AG:AG)</f>
        <v>Z</v>
      </c>
      <c r="H16" s="386">
        <f>SUMIF(재고!C:C,재고분석!C16,재고!I:I)</f>
        <v>0</v>
      </c>
      <c r="I16" s="385">
        <f>SUMIF(안전재고!A:A,재고분석!$C16,안전재고!I:I)</f>
        <v>79</v>
      </c>
      <c r="J16" s="387">
        <f>SUMIF('ABC-XYZ분석 (2)'!C:C,재고분석!$C16,'ABC-XYZ분석 (2)'!X:X)</f>
        <v>3.6666666666666665</v>
      </c>
      <c r="K16" s="432" t="str">
        <f>IFERROR(재고분석!$J16/재고분석!$H16,"")</f>
        <v/>
      </c>
      <c r="L16" s="432" t="str">
        <f>IFERROR(재고분석!$K16*12,"")</f>
        <v/>
      </c>
      <c r="M16" s="387">
        <f t="shared" si="0"/>
        <v>0</v>
      </c>
      <c r="N16" s="385" t="str">
        <f>IF(H16=0,"재고없음",IF(H16&lt;I16,"부족",IF(H16&lt;VLOOKUP(C16,공급물량!$B:$M,12,0)*0.8,"재주문",IF(H16&lt;=VLOOKUP(C16,공급물량!$B:$M,12,0)*1.2,"적정","과잉"))))</f>
        <v>재고없음</v>
      </c>
      <c r="O16" s="385" t="str">
        <f t="shared" si="1"/>
        <v>-</v>
      </c>
      <c r="P16" s="389" t="str">
        <f t="shared" si="2"/>
        <v>긴급발주</v>
      </c>
      <c r="Q16" s="388">
        <f>_xlfn.XLOOKUP(재고분석!$C16,재고!C:C,재고!H:H)</f>
        <v>32100</v>
      </c>
      <c r="R16" s="396">
        <f t="shared" si="3"/>
        <v>0</v>
      </c>
    </row>
    <row r="17" spans="2:18">
      <c r="B17" s="401" t="str">
        <f>_xlfn.XLOOKUP(C17,'ABC-XYZ분석 (2)'!C:C,'ABC-XYZ분석 (2)'!B:B)</f>
        <v>신재품</v>
      </c>
      <c r="C17" s="434" t="s">
        <v>596</v>
      </c>
      <c r="D17" s="390"/>
      <c r="E17" s="390"/>
      <c r="F17" s="384" t="str">
        <f>_xlfn.XLOOKUP(표3[[#This Row],[SKU코드]],'ABC-XYZ분석 (2)'!C:C,'ABC-XYZ분석 (2)'!AC:AC)</f>
        <v>A</v>
      </c>
      <c r="G17" s="391" t="str">
        <f>_xlfn.XLOOKUP(C17,'ABC-XYZ분석 (2)'!C:C,'ABC-XYZ분석 (2)'!AG:AG)</f>
        <v>Y</v>
      </c>
      <c r="H17" s="392">
        <f>SUMIF(재고!C:C,재고분석!C17,재고!I:I)</f>
        <v>24</v>
      </c>
      <c r="I17" s="391">
        <f>SUMIF(안전재고!A:A,재고분석!$C17,안전재고!I:I)</f>
        <v>45</v>
      </c>
      <c r="J17" s="393">
        <f>SUMIF('ABC-XYZ분석 (2)'!C:C,재고분석!$C17,'ABC-XYZ분석 (2)'!X:X)</f>
        <v>281.33333333333331</v>
      </c>
      <c r="K17" s="432">
        <f>IFERROR(재고분석!$J17/재고분석!$H17,"")</f>
        <v>11.722222222222221</v>
      </c>
      <c r="L17" s="432">
        <f>IFERROR(재고분석!$K17*12,"")</f>
        <v>140.66666666666666</v>
      </c>
      <c r="M17" s="393">
        <f t="shared" si="0"/>
        <v>2.5592417061611377</v>
      </c>
      <c r="N17" s="391" t="str">
        <f>IF(H17=0,"재고없음",IF(H17&lt;I17,"부족",IF(H17&lt;VLOOKUP(C17,공급물량!$B:$M,12,0)*0.8,"재주문",IF(H17&lt;=VLOOKUP(C17,공급물량!$B:$M,12,0)*1.2,"적정","과잉"))))</f>
        <v>부족</v>
      </c>
      <c r="O17" s="391" t="str">
        <f t="shared" si="1"/>
        <v>우수</v>
      </c>
      <c r="P17" s="395" t="str">
        <f t="shared" si="2"/>
        <v>긴급발주</v>
      </c>
      <c r="Q17" s="394">
        <f>_xlfn.XLOOKUP(재고분석!$C17,재고!C:C,재고!H:H)</f>
        <v>42700</v>
      </c>
      <c r="R17" s="397">
        <f t="shared" si="3"/>
        <v>1024800</v>
      </c>
    </row>
    <row r="18" spans="2:18">
      <c r="B18" s="400" t="str">
        <f>_xlfn.XLOOKUP(C18,'ABC-XYZ분석 (2)'!C:C,'ABC-XYZ분석 (2)'!B:B)</f>
        <v>신재품</v>
      </c>
      <c r="C18" s="434" t="s">
        <v>597</v>
      </c>
      <c r="D18" s="383"/>
      <c r="E18" s="383"/>
      <c r="F18" s="384" t="str">
        <f>_xlfn.XLOOKUP(표3[[#This Row],[SKU코드]],'ABC-XYZ분석 (2)'!C:C,'ABC-XYZ분석 (2)'!AC:AC)</f>
        <v>A</v>
      </c>
      <c r="G18" s="385" t="str">
        <f>_xlfn.XLOOKUP(C18,'ABC-XYZ분석 (2)'!C:C,'ABC-XYZ분석 (2)'!AG:AG)</f>
        <v>Y</v>
      </c>
      <c r="H18" s="386">
        <f>SUMIF(재고!C:C,재고분석!C18,재고!I:I)</f>
        <v>10</v>
      </c>
      <c r="I18" s="385">
        <f>SUMIF(안전재고!A:A,재고분석!$C18,안전재고!I:I)</f>
        <v>20</v>
      </c>
      <c r="J18" s="387">
        <f>SUMIF('ABC-XYZ분석 (2)'!C:C,재고분석!$C18,'ABC-XYZ분석 (2)'!X:X)</f>
        <v>43.333333333333336</v>
      </c>
      <c r="K18" s="432">
        <f>IFERROR(재고분석!$J18/재고분석!$H18,"")</f>
        <v>4.3333333333333339</v>
      </c>
      <c r="L18" s="432">
        <f>IFERROR(재고분석!$K18*12,"")</f>
        <v>52.000000000000007</v>
      </c>
      <c r="M18" s="387">
        <f t="shared" si="0"/>
        <v>6.9230769230769234</v>
      </c>
      <c r="N18" s="385" t="str">
        <f>IF(H18=0,"재고없음",IF(H18&lt;I18,"부족",IF(H18&lt;VLOOKUP(C18,공급물량!$B:$M,12,0)*0.8,"재주문",IF(H18&lt;=VLOOKUP(C18,공급물량!$B:$M,12,0)*1.2,"적정","과잉"))))</f>
        <v>부족</v>
      </c>
      <c r="O18" s="385" t="str">
        <f t="shared" si="1"/>
        <v>우수</v>
      </c>
      <c r="P18" s="389" t="str">
        <f t="shared" si="2"/>
        <v>긴급발주</v>
      </c>
      <c r="Q18" s="388">
        <f>_xlfn.XLOOKUP(재고분석!$C18,재고!C:C,재고!H:H)</f>
        <v>42700</v>
      </c>
      <c r="R18" s="396">
        <f t="shared" si="3"/>
        <v>427000</v>
      </c>
    </row>
    <row r="19" spans="2:18">
      <c r="B19" s="401" t="str">
        <f>_xlfn.XLOOKUP(C19,'ABC-XYZ분석 (2)'!C:C,'ABC-XYZ분석 (2)'!B:B)</f>
        <v>신재품</v>
      </c>
      <c r="C19" s="434" t="s">
        <v>598</v>
      </c>
      <c r="D19" s="390"/>
      <c r="E19" s="390"/>
      <c r="F19" s="384" t="str">
        <f>_xlfn.XLOOKUP(표3[[#This Row],[SKU코드]],'ABC-XYZ분석 (2)'!C:C,'ABC-XYZ분석 (2)'!AC:AC)</f>
        <v>A</v>
      </c>
      <c r="G19" s="391" t="str">
        <f>_xlfn.XLOOKUP(C19,'ABC-XYZ분석 (2)'!C:C,'ABC-XYZ분석 (2)'!AG:AG)</f>
        <v>Y</v>
      </c>
      <c r="H19" s="392">
        <f>SUMIF(재고!C:C,재고분석!C19,재고!I:I)</f>
        <v>47</v>
      </c>
      <c r="I19" s="391">
        <f>SUMIF(안전재고!A:A,재고분석!$C19,안전재고!I:I)</f>
        <v>69</v>
      </c>
      <c r="J19" s="393">
        <f>SUMIF('ABC-XYZ분석 (2)'!C:C,재고분석!$C19,'ABC-XYZ분석 (2)'!X:X)</f>
        <v>692</v>
      </c>
      <c r="K19" s="432">
        <f>IFERROR(재고분석!$J19/재고분석!$H19,"")</f>
        <v>14.723404255319149</v>
      </c>
      <c r="L19" s="432">
        <f>IFERROR(재고분석!$K19*12,"")</f>
        <v>176.68085106382978</v>
      </c>
      <c r="M19" s="393">
        <f t="shared" si="0"/>
        <v>2.0375722543352603</v>
      </c>
      <c r="N19" s="391" t="str">
        <f>IF(H19=0,"재고없음",IF(H19&lt;I19,"부족",IF(H19&lt;VLOOKUP(C19,공급물량!$B:$M,12,0)*0.8,"재주문",IF(H19&lt;=VLOOKUP(C19,공급물량!$B:$M,12,0)*1.2,"적정","과잉"))))</f>
        <v>부족</v>
      </c>
      <c r="O19" s="391" t="str">
        <f t="shared" si="1"/>
        <v>우수</v>
      </c>
      <c r="P19" s="395" t="str">
        <f t="shared" si="2"/>
        <v>긴급발주</v>
      </c>
      <c r="Q19" s="394">
        <f>_xlfn.XLOOKUP(재고분석!$C19,재고!C:C,재고!H:H)</f>
        <v>42700</v>
      </c>
      <c r="R19" s="397">
        <f t="shared" si="3"/>
        <v>2006900</v>
      </c>
    </row>
    <row r="20" spans="2:18">
      <c r="B20" s="400" t="str">
        <f>_xlfn.XLOOKUP(C20,'ABC-XYZ분석 (2)'!C:C,'ABC-XYZ분석 (2)'!B:B)</f>
        <v>신재품</v>
      </c>
      <c r="C20" s="434" t="s">
        <v>599</v>
      </c>
      <c r="D20" s="383"/>
      <c r="E20" s="383"/>
      <c r="F20" s="384" t="str">
        <f>_xlfn.XLOOKUP(표3[[#This Row],[SKU코드]],'ABC-XYZ분석 (2)'!C:C,'ABC-XYZ분석 (2)'!AC:AC)</f>
        <v>A</v>
      </c>
      <c r="G20" s="385" t="str">
        <f>_xlfn.XLOOKUP(C20,'ABC-XYZ분석 (2)'!C:C,'ABC-XYZ분석 (2)'!AG:AG)</f>
        <v>X</v>
      </c>
      <c r="H20" s="386">
        <f>SUMIF(재고!C:C,재고분석!C20,재고!I:I)</f>
        <v>15</v>
      </c>
      <c r="I20" s="385">
        <f>SUMIF(안전재고!A:A,재고분석!$C20,안전재고!I:I)</f>
        <v>24</v>
      </c>
      <c r="J20" s="387">
        <f>SUMIF('ABC-XYZ분석 (2)'!C:C,재고분석!$C20,'ABC-XYZ분석 (2)'!X:X)</f>
        <v>224.33333333333334</v>
      </c>
      <c r="K20" s="432">
        <f>IFERROR(재고분석!$J20/재고분석!$H20,"")</f>
        <v>14.955555555555556</v>
      </c>
      <c r="L20" s="432">
        <f>IFERROR(재고분석!$K20*12,"")</f>
        <v>179.46666666666667</v>
      </c>
      <c r="M20" s="387">
        <f t="shared" si="0"/>
        <v>2.0059435364041605</v>
      </c>
      <c r="N20" s="385" t="str">
        <f>IF(H20=0,"재고없음",IF(H20&lt;I20,"부족",IF(H20&lt;VLOOKUP(C20,공급물량!$B:$M,12,0)*0.8,"재주문",IF(H20&lt;=VLOOKUP(C20,공급물량!$B:$M,12,0)*1.2,"적정","과잉"))))</f>
        <v>부족</v>
      </c>
      <c r="O20" s="385" t="str">
        <f t="shared" si="1"/>
        <v>우수</v>
      </c>
      <c r="P20" s="389" t="str">
        <f t="shared" si="2"/>
        <v>긴급발주</v>
      </c>
      <c r="Q20" s="388">
        <f>_xlfn.XLOOKUP(재고분석!$C20,재고!C:C,재고!H:H)</f>
        <v>39000</v>
      </c>
      <c r="R20" s="396">
        <f t="shared" si="3"/>
        <v>585000</v>
      </c>
    </row>
    <row r="21" spans="2:18">
      <c r="B21" s="401" t="str">
        <f>_xlfn.XLOOKUP(C21,'ABC-XYZ분석 (2)'!C:C,'ABC-XYZ분석 (2)'!B:B)</f>
        <v>신재품</v>
      </c>
      <c r="C21" s="434" t="s">
        <v>600</v>
      </c>
      <c r="D21" s="390"/>
      <c r="E21" s="390"/>
      <c r="F21" s="384" t="str">
        <f>_xlfn.XLOOKUP(표3[[#This Row],[SKU코드]],'ABC-XYZ분석 (2)'!C:C,'ABC-XYZ분석 (2)'!AC:AC)</f>
        <v>A</v>
      </c>
      <c r="G21" s="391" t="str">
        <f>_xlfn.XLOOKUP(C21,'ABC-XYZ분석 (2)'!C:C,'ABC-XYZ분석 (2)'!AG:AG)</f>
        <v>Y</v>
      </c>
      <c r="H21" s="392">
        <f>SUMIF(재고!C:C,재고분석!C21,재고!I:I)</f>
        <v>3</v>
      </c>
      <c r="I21" s="391">
        <f>SUMIF(안전재고!A:A,재고분석!$C21,안전재고!I:I)</f>
        <v>48</v>
      </c>
      <c r="J21" s="393">
        <f>SUMIF('ABC-XYZ분석 (2)'!C:C,재고분석!$C21,'ABC-XYZ분석 (2)'!X:X)</f>
        <v>279.33333333333331</v>
      </c>
      <c r="K21" s="432">
        <f>IFERROR(재고분석!$J21/재고분석!$H21,"")</f>
        <v>93.1111111111111</v>
      </c>
      <c r="L21" s="432">
        <f>IFERROR(재고분석!$K21*12,"")</f>
        <v>1117.3333333333333</v>
      </c>
      <c r="M21" s="393">
        <f t="shared" si="0"/>
        <v>0.32219570405727926</v>
      </c>
      <c r="N21" s="391" t="str">
        <f>IF(H21=0,"재고없음",IF(H21&lt;I21,"부족",IF(H21&lt;VLOOKUP(C21,공급물량!$B:$M,12,0)*0.8,"재주문",IF(H21&lt;=VLOOKUP(C21,공급물량!$B:$M,12,0)*1.2,"적정","과잉"))))</f>
        <v>부족</v>
      </c>
      <c r="O21" s="391" t="str">
        <f t="shared" si="1"/>
        <v>우수</v>
      </c>
      <c r="P21" s="395" t="str">
        <f t="shared" si="2"/>
        <v>긴급발주</v>
      </c>
      <c r="Q21" s="394">
        <f>_xlfn.XLOOKUP(재고분석!$C21,재고!C:C,재고!H:H)</f>
        <v>39000</v>
      </c>
      <c r="R21" s="397">
        <f t="shared" si="3"/>
        <v>117000</v>
      </c>
    </row>
    <row r="22" spans="2:18">
      <c r="B22" s="400" t="str">
        <f>_xlfn.XLOOKUP(C22,'ABC-XYZ분석 (2)'!C:C,'ABC-XYZ분석 (2)'!B:B)</f>
        <v>신재품</v>
      </c>
      <c r="C22" s="434" t="s">
        <v>601</v>
      </c>
      <c r="D22" s="383"/>
      <c r="E22" s="383"/>
      <c r="F22" s="384" t="str">
        <f>_xlfn.XLOOKUP(표3[[#This Row],[SKU코드]],'ABC-XYZ분석 (2)'!C:C,'ABC-XYZ분석 (2)'!AC:AC)</f>
        <v>A</v>
      </c>
      <c r="G22" s="385" t="str">
        <f>_xlfn.XLOOKUP(C22,'ABC-XYZ분석 (2)'!C:C,'ABC-XYZ분석 (2)'!AG:AG)</f>
        <v>Y</v>
      </c>
      <c r="H22" s="386">
        <f>SUMIF(재고!C:C,재고분석!C22,재고!I:I)</f>
        <v>6</v>
      </c>
      <c r="I22" s="385">
        <f>SUMIF(안전재고!A:A,재고분석!$C22,안전재고!I:I)</f>
        <v>47</v>
      </c>
      <c r="J22" s="387">
        <f>SUMIF('ABC-XYZ분석 (2)'!C:C,재고분석!$C22,'ABC-XYZ분석 (2)'!X:X)</f>
        <v>215.33333333333334</v>
      </c>
      <c r="K22" s="432">
        <f>IFERROR(재고분석!$J22/재고분석!$H22,"")</f>
        <v>35.888888888888893</v>
      </c>
      <c r="L22" s="432">
        <f>IFERROR(재고분석!$K22*12,"")</f>
        <v>430.66666666666674</v>
      </c>
      <c r="M22" s="387">
        <f t="shared" si="0"/>
        <v>0.83591331269349844</v>
      </c>
      <c r="N22" s="385" t="str">
        <f>IF(H22=0,"재고없음",IF(H22&lt;I22,"부족",IF(H22&lt;VLOOKUP(C22,공급물량!$B:$M,12,0)*0.8,"재주문",IF(H22&lt;=VLOOKUP(C22,공급물량!$B:$M,12,0)*1.2,"적정","과잉"))))</f>
        <v>부족</v>
      </c>
      <c r="O22" s="385" t="str">
        <f t="shared" si="1"/>
        <v>우수</v>
      </c>
      <c r="P22" s="389" t="str">
        <f t="shared" si="2"/>
        <v>긴급발주</v>
      </c>
      <c r="Q22" s="388">
        <f>_xlfn.XLOOKUP(재고분석!$C22,재고!C:C,재고!H:H)</f>
        <v>39000</v>
      </c>
      <c r="R22" s="396">
        <f t="shared" si="3"/>
        <v>234000</v>
      </c>
    </row>
    <row r="23" spans="2:18">
      <c r="B23" s="401" t="str">
        <f>_xlfn.XLOOKUP(C23,'ABC-XYZ분석 (2)'!C:C,'ABC-XYZ분석 (2)'!B:B)</f>
        <v>신재품</v>
      </c>
      <c r="C23" s="434" t="s">
        <v>602</v>
      </c>
      <c r="D23" s="390"/>
      <c r="E23" s="390"/>
      <c r="F23" s="384" t="str">
        <f>_xlfn.XLOOKUP(표3[[#This Row],[SKU코드]],'ABC-XYZ분석 (2)'!C:C,'ABC-XYZ분석 (2)'!AC:AC)</f>
        <v>A</v>
      </c>
      <c r="G23" s="391" t="str">
        <f>_xlfn.XLOOKUP(C23,'ABC-XYZ분석 (2)'!C:C,'ABC-XYZ분석 (2)'!AG:AG)</f>
        <v>Z</v>
      </c>
      <c r="H23" s="392">
        <f>SUMIF(재고!C:C,재고분석!C23,재고!I:I)</f>
        <v>12</v>
      </c>
      <c r="I23" s="391">
        <f>SUMIF(안전재고!A:A,재고분석!$C23,안전재고!I:I)</f>
        <v>350</v>
      </c>
      <c r="J23" s="393">
        <f>SUMIF('ABC-XYZ분석 (2)'!C:C,재고분석!$C23,'ABC-XYZ분석 (2)'!X:X)</f>
        <v>50.666666666666664</v>
      </c>
      <c r="K23" s="432">
        <f>IFERROR(재고분석!$J23/재고분석!$H23,"")</f>
        <v>4.2222222222222223</v>
      </c>
      <c r="L23" s="432">
        <f>IFERROR(재고분석!$K23*12,"")</f>
        <v>50.666666666666671</v>
      </c>
      <c r="M23" s="393">
        <f t="shared" si="0"/>
        <v>7.1052631578947372</v>
      </c>
      <c r="N23" s="391" t="str">
        <f>IF(H23=0,"재고없음",IF(H23&lt;I23,"부족",IF(H23&lt;VLOOKUP(C23,공급물량!$B:$M,12,0)*0.8,"재주문",IF(H23&lt;=VLOOKUP(C23,공급물량!$B:$M,12,0)*1.2,"적정","과잉"))))</f>
        <v>부족</v>
      </c>
      <c r="O23" s="391" t="str">
        <f t="shared" si="1"/>
        <v>우수</v>
      </c>
      <c r="P23" s="395" t="str">
        <f t="shared" si="2"/>
        <v>긴급발주</v>
      </c>
      <c r="Q23" s="394">
        <f>_xlfn.XLOOKUP(재고분석!$C23,재고!C:C,재고!H:H)</f>
        <v>19800</v>
      </c>
      <c r="R23" s="397">
        <f t="shared" si="3"/>
        <v>237600</v>
      </c>
    </row>
    <row r="24" spans="2:18">
      <c r="B24" s="400" t="str">
        <f>_xlfn.XLOOKUP(C24,'ABC-XYZ분석 (2)'!C:C,'ABC-XYZ분석 (2)'!B:B)</f>
        <v>신재품</v>
      </c>
      <c r="C24" s="434" t="s">
        <v>603</v>
      </c>
      <c r="D24" s="383"/>
      <c r="E24" s="383"/>
      <c r="F24" s="384" t="str">
        <f>_xlfn.XLOOKUP(표3[[#This Row],[SKU코드]],'ABC-XYZ분석 (2)'!C:C,'ABC-XYZ분석 (2)'!AC:AC)</f>
        <v>A</v>
      </c>
      <c r="G24" s="385" t="str">
        <f>_xlfn.XLOOKUP(C24,'ABC-XYZ분석 (2)'!C:C,'ABC-XYZ분석 (2)'!AG:AG)</f>
        <v>X</v>
      </c>
      <c r="H24" s="386">
        <f>SUMIF(재고!C:C,재고분석!C24,재고!I:I)</f>
        <v>17</v>
      </c>
      <c r="I24" s="385">
        <f>SUMIF(안전재고!A:A,재고분석!$C24,안전재고!I:I)</f>
        <v>26</v>
      </c>
      <c r="J24" s="387">
        <f>SUMIF('ABC-XYZ분석 (2)'!C:C,재고분석!$C24,'ABC-XYZ분석 (2)'!X:X)</f>
        <v>352.66666666666669</v>
      </c>
      <c r="K24" s="432">
        <f>IFERROR(재고분석!$J24/재고분석!$H24,"")</f>
        <v>20.745098039215687</v>
      </c>
      <c r="L24" s="432">
        <f>IFERROR(재고분석!$K24*12,"")</f>
        <v>248.94117647058823</v>
      </c>
      <c r="M24" s="387">
        <f t="shared" si="0"/>
        <v>1.4461247637051038</v>
      </c>
      <c r="N24" s="385" t="str">
        <f>IF(H24=0,"재고없음",IF(H24&lt;I24,"부족",IF(H24&lt;VLOOKUP(C24,공급물량!$B:$M,12,0)*0.8,"재주문",IF(H24&lt;=VLOOKUP(C24,공급물량!$B:$M,12,0)*1.2,"적정","과잉"))))</f>
        <v>부족</v>
      </c>
      <c r="O24" s="385" t="str">
        <f t="shared" si="1"/>
        <v>우수</v>
      </c>
      <c r="P24" s="389" t="str">
        <f t="shared" si="2"/>
        <v>긴급발주</v>
      </c>
      <c r="Q24" s="388">
        <f>_xlfn.XLOOKUP(재고분석!$C24,재고!C:C,재고!H:H)</f>
        <v>19800</v>
      </c>
      <c r="R24" s="396">
        <f t="shared" si="3"/>
        <v>336600</v>
      </c>
    </row>
    <row r="25" spans="2:18">
      <c r="B25" s="401" t="str">
        <f>_xlfn.XLOOKUP(C25,'ABC-XYZ분석 (2)'!C:C,'ABC-XYZ분석 (2)'!B:B)</f>
        <v>신재품</v>
      </c>
      <c r="C25" s="434" t="s">
        <v>604</v>
      </c>
      <c r="D25" s="390"/>
      <c r="E25" s="390"/>
      <c r="F25" s="384" t="str">
        <f>_xlfn.XLOOKUP(표3[[#This Row],[SKU코드]],'ABC-XYZ분석 (2)'!C:C,'ABC-XYZ분석 (2)'!AC:AC)</f>
        <v>A</v>
      </c>
      <c r="G25" s="391" t="str">
        <f>_xlfn.XLOOKUP(C25,'ABC-XYZ분석 (2)'!C:C,'ABC-XYZ분석 (2)'!AG:AG)</f>
        <v>Y</v>
      </c>
      <c r="H25" s="392">
        <f>SUMIF(재고!C:C,재고분석!C25,재고!I:I)</f>
        <v>58</v>
      </c>
      <c r="I25" s="391">
        <f>SUMIF(안전재고!A:A,재고분석!$C25,안전재고!I:I)</f>
        <v>59</v>
      </c>
      <c r="J25" s="393">
        <f>SUMIF('ABC-XYZ분석 (2)'!C:C,재고분석!$C25,'ABC-XYZ분석 (2)'!X:X)</f>
        <v>7.666666666666667</v>
      </c>
      <c r="K25" s="432">
        <f>IFERROR(재고분석!$J25/재고분석!$H25,"")</f>
        <v>0.13218390804597702</v>
      </c>
      <c r="L25" s="432">
        <f>IFERROR(재고분석!$K25*12,"")</f>
        <v>1.5862068965517242</v>
      </c>
      <c r="M25" s="393">
        <f t="shared" si="0"/>
        <v>226.95652173913041</v>
      </c>
      <c r="N25" s="391" t="str">
        <f>IF(H25=0,"재고없음",IF(H25&lt;I25,"부족",IF(H25&lt;VLOOKUP(C25,공급물량!$B:$M,12,0)*0.8,"재주문",IF(H25&lt;=VLOOKUP(C25,공급물량!$B:$M,12,0)*1.2,"적정","과잉"))))</f>
        <v>부족</v>
      </c>
      <c r="O25" s="391" t="str">
        <f t="shared" si="1"/>
        <v>불량</v>
      </c>
      <c r="P25" s="395" t="str">
        <f t="shared" si="2"/>
        <v>긴급발주</v>
      </c>
      <c r="Q25" s="394">
        <f>_xlfn.XLOOKUP(재고분석!$C25,재고!C:C,재고!H:H)</f>
        <v>19800</v>
      </c>
      <c r="R25" s="397">
        <f t="shared" si="3"/>
        <v>1148400</v>
      </c>
    </row>
    <row r="26" spans="2:18">
      <c r="B26" s="400" t="str">
        <f>_xlfn.XLOOKUP(C26,'ABC-XYZ분석 (2)'!C:C,'ABC-XYZ분석 (2)'!B:B)</f>
        <v>신재품</v>
      </c>
      <c r="C26" s="434" t="s">
        <v>605</v>
      </c>
      <c r="D26" s="383"/>
      <c r="E26" s="383"/>
      <c r="F26" s="384" t="str">
        <f>_xlfn.XLOOKUP(표3[[#This Row],[SKU코드]],'ABC-XYZ분석 (2)'!C:C,'ABC-XYZ분석 (2)'!AC:AC)</f>
        <v>A</v>
      </c>
      <c r="G26" s="385" t="str">
        <f>_xlfn.XLOOKUP(C26,'ABC-XYZ분석 (2)'!C:C,'ABC-XYZ분석 (2)'!AG:AG)</f>
        <v>Y</v>
      </c>
      <c r="H26" s="386">
        <f>SUMIF(재고!C:C,재고분석!C26,재고!I:I)</f>
        <v>3</v>
      </c>
      <c r="I26" s="385">
        <f>SUMIF(안전재고!A:A,재고분석!$C26,안전재고!I:I)</f>
        <v>39</v>
      </c>
      <c r="J26" s="387">
        <f>SUMIF('ABC-XYZ분석 (2)'!C:C,재고분석!$C26,'ABC-XYZ분석 (2)'!X:X)</f>
        <v>206.66666666666666</v>
      </c>
      <c r="K26" s="432">
        <f>IFERROR(재고분석!$J26/재고분석!$H26,"")</f>
        <v>68.888888888888886</v>
      </c>
      <c r="L26" s="432">
        <f>IFERROR(재고분석!$K26*12,"")</f>
        <v>826.66666666666663</v>
      </c>
      <c r="M26" s="387">
        <f t="shared" si="0"/>
        <v>0.43548387096774199</v>
      </c>
      <c r="N26" s="385" t="str">
        <f>IF(H26=0,"재고없음",IF(H26&lt;I26,"부족",IF(H26&lt;VLOOKUP(C26,공급물량!$B:$M,12,0)*0.8,"재주문",IF(H26&lt;=VLOOKUP(C26,공급물량!$B:$M,12,0)*1.2,"적정","과잉"))))</f>
        <v>부족</v>
      </c>
      <c r="O26" s="385" t="str">
        <f t="shared" si="1"/>
        <v>우수</v>
      </c>
      <c r="P26" s="389" t="str">
        <f t="shared" si="2"/>
        <v>긴급발주</v>
      </c>
      <c r="Q26" s="388">
        <f>_xlfn.XLOOKUP(재고분석!$C26,재고!C:C,재고!H:H)</f>
        <v>31100</v>
      </c>
      <c r="R26" s="396">
        <f t="shared" si="3"/>
        <v>93300</v>
      </c>
    </row>
    <row r="27" spans="2:18">
      <c r="B27" s="401" t="str">
        <f>_xlfn.XLOOKUP(C27,'ABC-XYZ분석 (2)'!C:C,'ABC-XYZ분석 (2)'!B:B)</f>
        <v>신재품</v>
      </c>
      <c r="C27" s="434" t="s">
        <v>606</v>
      </c>
      <c r="D27" s="390"/>
      <c r="E27" s="390"/>
      <c r="F27" s="384" t="str">
        <f>_xlfn.XLOOKUP(표3[[#This Row],[SKU코드]],'ABC-XYZ분석 (2)'!C:C,'ABC-XYZ분석 (2)'!AC:AC)</f>
        <v>A</v>
      </c>
      <c r="G27" s="391" t="str">
        <f>_xlfn.XLOOKUP(C27,'ABC-XYZ분석 (2)'!C:C,'ABC-XYZ분석 (2)'!AG:AG)</f>
        <v>Y</v>
      </c>
      <c r="H27" s="392">
        <f>SUMIF(재고!C:C,재고분석!C27,재고!I:I)</f>
        <v>4</v>
      </c>
      <c r="I27" s="391">
        <f>SUMIF(안전재고!A:A,재고분석!$C27,안전재고!I:I)</f>
        <v>39</v>
      </c>
      <c r="J27" s="393">
        <f>SUMIF('ABC-XYZ분석 (2)'!C:C,재고분석!$C27,'ABC-XYZ분석 (2)'!X:X)</f>
        <v>269</v>
      </c>
      <c r="K27" s="432">
        <f>IFERROR(재고분석!$J27/재고분석!$H27,"")</f>
        <v>67.25</v>
      </c>
      <c r="L27" s="432">
        <f>IFERROR(재고분석!$K27*12,"")</f>
        <v>807</v>
      </c>
      <c r="M27" s="393">
        <f t="shared" si="0"/>
        <v>0.44609665427509293</v>
      </c>
      <c r="N27" s="391" t="str">
        <f>IF(H27=0,"재고없음",IF(H27&lt;I27,"부족",IF(H27&lt;VLOOKUP(C27,공급물량!$B:$M,12,0)*0.8,"재주문",IF(H27&lt;=VLOOKUP(C27,공급물량!$B:$M,12,0)*1.2,"적정","과잉"))))</f>
        <v>부족</v>
      </c>
      <c r="O27" s="391" t="str">
        <f t="shared" si="1"/>
        <v>우수</v>
      </c>
      <c r="P27" s="395" t="str">
        <f t="shared" si="2"/>
        <v>긴급발주</v>
      </c>
      <c r="Q27" s="394">
        <f>_xlfn.XLOOKUP(재고분석!$C27,재고!C:C,재고!H:H)</f>
        <v>31100</v>
      </c>
      <c r="R27" s="397">
        <f t="shared" si="3"/>
        <v>124400</v>
      </c>
    </row>
    <row r="28" spans="2:18">
      <c r="B28" s="400" t="str">
        <f>_xlfn.XLOOKUP(C28,'ABC-XYZ분석 (2)'!C:C,'ABC-XYZ분석 (2)'!B:B)</f>
        <v>신재품</v>
      </c>
      <c r="C28" s="434" t="s">
        <v>607</v>
      </c>
      <c r="D28" s="383"/>
      <c r="E28" s="383"/>
      <c r="F28" s="384" t="str">
        <f>_xlfn.XLOOKUP(표3[[#This Row],[SKU코드]],'ABC-XYZ분석 (2)'!C:C,'ABC-XYZ분석 (2)'!AC:AC)</f>
        <v>A</v>
      </c>
      <c r="G28" s="385" t="str">
        <f>_xlfn.XLOOKUP(C28,'ABC-XYZ분석 (2)'!C:C,'ABC-XYZ분석 (2)'!AG:AG)</f>
        <v>Z</v>
      </c>
      <c r="H28" s="386">
        <f>SUMIF(재고!C:C,재고분석!C28,재고!I:I)</f>
        <v>5</v>
      </c>
      <c r="I28" s="385">
        <f>SUMIF(안전재고!A:A,재고분석!$C28,안전재고!I:I)</f>
        <v>178</v>
      </c>
      <c r="J28" s="387">
        <f>SUMIF('ABC-XYZ분석 (2)'!C:C,재고분석!$C28,'ABC-XYZ분석 (2)'!X:X)</f>
        <v>3.3333333333333335</v>
      </c>
      <c r="K28" s="432">
        <f>IFERROR(재고분석!$J28/재고분석!$H28,"")</f>
        <v>0.66666666666666674</v>
      </c>
      <c r="L28" s="432">
        <f>IFERROR(재고분석!$K28*12,"")</f>
        <v>8</v>
      </c>
      <c r="M28" s="387">
        <f t="shared" si="0"/>
        <v>45</v>
      </c>
      <c r="N28" s="385" t="str">
        <f>IF(H28=0,"재고없음",IF(H28&lt;I28,"부족",IF(H28&lt;VLOOKUP(C28,공급물량!$B:$M,12,0)*0.8,"재주문",IF(H28&lt;=VLOOKUP(C28,공급물량!$B:$M,12,0)*1.2,"적정","과잉"))))</f>
        <v>부족</v>
      </c>
      <c r="O28" s="385" t="str">
        <f t="shared" si="1"/>
        <v>우수</v>
      </c>
      <c r="P28" s="389" t="str">
        <f t="shared" si="2"/>
        <v>긴급발주</v>
      </c>
      <c r="Q28" s="388">
        <f>_xlfn.XLOOKUP(재고분석!$C28,재고!C:C,재고!H:H)</f>
        <v>31100</v>
      </c>
      <c r="R28" s="396">
        <f t="shared" si="3"/>
        <v>155500</v>
      </c>
    </row>
    <row r="29" spans="2:18">
      <c r="B29" s="401" t="str">
        <f>_xlfn.XLOOKUP(C29,'ABC-XYZ분석 (2)'!C:C,'ABC-XYZ분석 (2)'!B:B)</f>
        <v>단종예정</v>
      </c>
      <c r="C29" s="434" t="s">
        <v>608</v>
      </c>
      <c r="D29" s="390"/>
      <c r="E29" s="390"/>
      <c r="F29" s="384" t="str">
        <f>_xlfn.XLOOKUP(표3[[#This Row],[SKU코드]],'ABC-XYZ분석 (2)'!C:C,'ABC-XYZ분석 (2)'!AC:AC)</f>
        <v>A</v>
      </c>
      <c r="G29" s="391" t="str">
        <f>_xlfn.XLOOKUP(C29,'ABC-XYZ분석 (2)'!C:C,'ABC-XYZ분석 (2)'!AG:AG)</f>
        <v>Y</v>
      </c>
      <c r="H29" s="392">
        <f>SUMIF(재고!C:C,재고분석!C29,재고!I:I)</f>
        <v>15</v>
      </c>
      <c r="I29" s="391">
        <f>SUMIF(안전재고!A:A,재고분석!$C29,안전재고!I:I)</f>
        <v>27</v>
      </c>
      <c r="J29" s="393">
        <f>SUMIF('ABC-XYZ분석 (2)'!C:C,재고분석!$C29,'ABC-XYZ분석 (2)'!X:X)</f>
        <v>196.33333333333334</v>
      </c>
      <c r="K29" s="432">
        <f>IFERROR(재고분석!$J29/재고분석!$H29,"")</f>
        <v>13.08888888888889</v>
      </c>
      <c r="L29" s="432">
        <f>IFERROR(재고분석!$K29*12,"")</f>
        <v>157.06666666666669</v>
      </c>
      <c r="M29" s="393">
        <f t="shared" si="0"/>
        <v>2.2920203735144309</v>
      </c>
      <c r="N29" s="391" t="str">
        <f>IF(H29=0,"재고없음",IF(H29&lt;I29,"부족",IF(H29&lt;VLOOKUP(C29,공급물량!$B:$M,12,0)*0.8,"재주문",IF(H29&lt;=VLOOKUP(C29,공급물량!$B:$M,12,0)*1.2,"적정","과잉"))))</f>
        <v>부족</v>
      </c>
      <c r="O29" s="391" t="str">
        <f t="shared" si="1"/>
        <v>우수</v>
      </c>
      <c r="P29" s="395" t="str">
        <f t="shared" si="2"/>
        <v>긴급발주</v>
      </c>
      <c r="Q29" s="394">
        <f>_xlfn.XLOOKUP(재고분석!$C29,재고!C:C,재고!H:H)</f>
        <v>27800</v>
      </c>
      <c r="R29" s="397">
        <f t="shared" si="3"/>
        <v>417000</v>
      </c>
    </row>
    <row r="30" spans="2:18">
      <c r="B30" s="400" t="str">
        <f>_xlfn.XLOOKUP(C30,'ABC-XYZ분석 (2)'!C:C,'ABC-XYZ분석 (2)'!B:B)</f>
        <v>단종예정</v>
      </c>
      <c r="C30" s="434" t="s">
        <v>609</v>
      </c>
      <c r="D30" s="383"/>
      <c r="E30" s="383"/>
      <c r="F30" s="384" t="str">
        <f>_xlfn.XLOOKUP(표3[[#This Row],[SKU코드]],'ABC-XYZ분석 (2)'!C:C,'ABC-XYZ분석 (2)'!AC:AC)</f>
        <v>A</v>
      </c>
      <c r="G30" s="385" t="str">
        <f>_xlfn.XLOOKUP(C30,'ABC-XYZ분석 (2)'!C:C,'ABC-XYZ분석 (2)'!AG:AG)</f>
        <v>Z</v>
      </c>
      <c r="H30" s="386">
        <f>SUMIF(재고!C:C,재고분석!C30,재고!I:I)</f>
        <v>11</v>
      </c>
      <c r="I30" s="385">
        <f>SUMIF(안전재고!A:A,재고분석!$C30,안전재고!I:I)</f>
        <v>65</v>
      </c>
      <c r="J30" s="387">
        <f>SUMIF('ABC-XYZ분석 (2)'!C:C,재고분석!$C30,'ABC-XYZ분석 (2)'!X:X)</f>
        <v>4</v>
      </c>
      <c r="K30" s="432">
        <f>IFERROR(재고분석!$J30/재고분석!$H30,"")</f>
        <v>0.36363636363636365</v>
      </c>
      <c r="L30" s="432">
        <f>IFERROR(재고분석!$K30*12,"")</f>
        <v>4.3636363636363633</v>
      </c>
      <c r="M30" s="387">
        <f t="shared" si="0"/>
        <v>82.5</v>
      </c>
      <c r="N30" s="385" t="str">
        <f>IF(H30=0,"재고없음",IF(H30&lt;I30,"부족",IF(H30&lt;VLOOKUP(C30,공급물량!$B:$M,12,0)*0.8,"재주문",IF(H30&lt;=VLOOKUP(C30,공급물량!$B:$M,12,0)*1.2,"적정","과잉"))))</f>
        <v>부족</v>
      </c>
      <c r="O30" s="385" t="str">
        <f t="shared" si="1"/>
        <v>적정</v>
      </c>
      <c r="P30" s="389" t="str">
        <f t="shared" si="2"/>
        <v>긴급발주</v>
      </c>
      <c r="Q30" s="388">
        <f>_xlfn.XLOOKUP(재고분석!$C30,재고!C:C,재고!H:H)</f>
        <v>27800</v>
      </c>
      <c r="R30" s="396">
        <f t="shared" si="3"/>
        <v>305800</v>
      </c>
    </row>
    <row r="31" spans="2:18">
      <c r="B31" s="401" t="str">
        <f>_xlfn.XLOOKUP(C31,'ABC-XYZ분석 (2)'!C:C,'ABC-XYZ분석 (2)'!B:B)</f>
        <v>단종예정</v>
      </c>
      <c r="C31" s="434" t="s">
        <v>610</v>
      </c>
      <c r="D31" s="390"/>
      <c r="E31" s="390"/>
      <c r="F31" s="384" t="str">
        <f>_xlfn.XLOOKUP(표3[[#This Row],[SKU코드]],'ABC-XYZ분석 (2)'!C:C,'ABC-XYZ분석 (2)'!AC:AC)</f>
        <v>A</v>
      </c>
      <c r="G31" s="391" t="str">
        <f>_xlfn.XLOOKUP(C31,'ABC-XYZ분석 (2)'!C:C,'ABC-XYZ분석 (2)'!AG:AG)</f>
        <v>X</v>
      </c>
      <c r="H31" s="392">
        <f>SUMIF(재고!C:C,재고분석!C31,재고!I:I)</f>
        <v>17</v>
      </c>
      <c r="I31" s="391">
        <f>SUMIF(안전재고!A:A,재고분석!$C31,안전재고!I:I)</f>
        <v>38</v>
      </c>
      <c r="J31" s="393">
        <f>SUMIF('ABC-XYZ분석 (2)'!C:C,재고분석!$C31,'ABC-XYZ분석 (2)'!X:X)</f>
        <v>409.33333333333331</v>
      </c>
      <c r="K31" s="432">
        <f>IFERROR(재고분석!$J31/재고분석!$H31,"")</f>
        <v>24.078431372549019</v>
      </c>
      <c r="L31" s="432">
        <f>IFERROR(재고분석!$K31*12,"")</f>
        <v>288.94117647058823</v>
      </c>
      <c r="M31" s="393">
        <f t="shared" si="0"/>
        <v>1.2459283387622151</v>
      </c>
      <c r="N31" s="391" t="str">
        <f>IF(H31=0,"재고없음",IF(H31&lt;I31,"부족",IF(H31&lt;VLOOKUP(C31,공급물량!$B:$M,12,0)*0.8,"재주문",IF(H31&lt;=VLOOKUP(C31,공급물량!$B:$M,12,0)*1.2,"적정","과잉"))))</f>
        <v>부족</v>
      </c>
      <c r="O31" s="391" t="str">
        <f t="shared" si="1"/>
        <v>우수</v>
      </c>
      <c r="P31" s="395" t="str">
        <f t="shared" si="2"/>
        <v>긴급발주</v>
      </c>
      <c r="Q31" s="394">
        <f>_xlfn.XLOOKUP(재고분석!$C31,재고!C:C,재고!H:H)</f>
        <v>27800</v>
      </c>
      <c r="R31" s="397">
        <f t="shared" si="3"/>
        <v>472600</v>
      </c>
    </row>
    <row r="32" spans="2:18">
      <c r="B32" s="400" t="str">
        <f>_xlfn.XLOOKUP(C32,'ABC-XYZ분석 (2)'!C:C,'ABC-XYZ분석 (2)'!B:B)</f>
        <v>단종예정</v>
      </c>
      <c r="C32" s="434" t="s">
        <v>611</v>
      </c>
      <c r="D32" s="383"/>
      <c r="E32" s="383"/>
      <c r="F32" s="384" t="str">
        <f>_xlfn.XLOOKUP(표3[[#This Row],[SKU코드]],'ABC-XYZ분석 (2)'!C:C,'ABC-XYZ분석 (2)'!AC:AC)</f>
        <v>A</v>
      </c>
      <c r="G32" s="385" t="str">
        <f>_xlfn.XLOOKUP(C32,'ABC-XYZ분석 (2)'!C:C,'ABC-XYZ분석 (2)'!AG:AG)</f>
        <v>Y</v>
      </c>
      <c r="H32" s="386">
        <f>SUMIF(재고!C:C,재고분석!C32,재고!I:I)</f>
        <v>0</v>
      </c>
      <c r="I32" s="385">
        <f>SUMIF(안전재고!A:A,재고분석!$C32,안전재고!I:I)</f>
        <v>41</v>
      </c>
      <c r="J32" s="387">
        <f>SUMIF('ABC-XYZ분석 (2)'!C:C,재고분석!$C32,'ABC-XYZ분석 (2)'!X:X)</f>
        <v>3.3333333333333335</v>
      </c>
      <c r="K32" s="432" t="str">
        <f>IFERROR(재고분석!$J32/재고분석!$H32,"")</f>
        <v/>
      </c>
      <c r="L32" s="432" t="str">
        <f>IFERROR(재고분석!$K32*12,"")</f>
        <v/>
      </c>
      <c r="M32" s="387">
        <f t="shared" si="0"/>
        <v>0</v>
      </c>
      <c r="N32" s="385" t="str">
        <f>IF(H32=0,"재고없음",IF(H32&lt;I32,"부족",IF(H32&lt;VLOOKUP(C32,공급물량!$B:$M,12,0)*0.8,"재주문",IF(H32&lt;=VLOOKUP(C32,공급물량!$B:$M,12,0)*1.2,"적정","과잉"))))</f>
        <v>재고없음</v>
      </c>
      <c r="O32" s="385" t="str">
        <f t="shared" si="1"/>
        <v>-</v>
      </c>
      <c r="P32" s="389" t="str">
        <f t="shared" si="2"/>
        <v>긴급발주</v>
      </c>
      <c r="Q32" s="388">
        <f>_xlfn.XLOOKUP(재고분석!$C32,재고!C:C,재고!H:H)</f>
        <v>55000</v>
      </c>
      <c r="R32" s="396">
        <f t="shared" si="3"/>
        <v>0</v>
      </c>
    </row>
    <row r="33" spans="2:18">
      <c r="B33" s="401" t="str">
        <f>_xlfn.XLOOKUP(C33,'ABC-XYZ분석 (2)'!C:C,'ABC-XYZ분석 (2)'!B:B)</f>
        <v>단종예정</v>
      </c>
      <c r="C33" s="434" t="s">
        <v>612</v>
      </c>
      <c r="D33" s="390"/>
      <c r="E33" s="390"/>
      <c r="F33" s="384" t="str">
        <f>_xlfn.XLOOKUP(표3[[#This Row],[SKU코드]],'ABC-XYZ분석 (2)'!C:C,'ABC-XYZ분석 (2)'!AC:AC)</f>
        <v>A</v>
      </c>
      <c r="G33" s="391" t="str">
        <f>_xlfn.XLOOKUP(C33,'ABC-XYZ분석 (2)'!C:C,'ABC-XYZ분석 (2)'!AG:AG)</f>
        <v>Z</v>
      </c>
      <c r="H33" s="392">
        <f>SUMIF(재고!C:C,재고분석!C33,재고!I:I)</f>
        <v>0</v>
      </c>
      <c r="I33" s="391">
        <f>SUMIF(안전재고!A:A,재고분석!$C33,안전재고!I:I)</f>
        <v>199</v>
      </c>
      <c r="J33" s="393">
        <f>SUMIF('ABC-XYZ분석 (2)'!C:C,재고분석!$C33,'ABC-XYZ분석 (2)'!X:X)</f>
        <v>3.6666666666666665</v>
      </c>
      <c r="K33" s="432" t="str">
        <f>IFERROR(재고분석!$J33/재고분석!$H33,"")</f>
        <v/>
      </c>
      <c r="L33" s="432" t="str">
        <f>IFERROR(재고분석!$K33*12,"")</f>
        <v/>
      </c>
      <c r="M33" s="393">
        <f t="shared" si="0"/>
        <v>0</v>
      </c>
      <c r="N33" s="391" t="str">
        <f>IF(H33=0,"재고없음",IF(H33&lt;I33,"부족",IF(H33&lt;VLOOKUP(C33,공급물량!$B:$M,12,0)*0.8,"재주문",IF(H33&lt;=VLOOKUP(C33,공급물량!$B:$M,12,0)*1.2,"적정","과잉"))))</f>
        <v>재고없음</v>
      </c>
      <c r="O33" s="391" t="str">
        <f t="shared" si="1"/>
        <v>-</v>
      </c>
      <c r="P33" s="395" t="str">
        <f t="shared" si="2"/>
        <v>긴급발주</v>
      </c>
      <c r="Q33" s="394">
        <f>_xlfn.XLOOKUP(재고분석!$C33,재고!C:C,재고!H:H)</f>
        <v>55000</v>
      </c>
      <c r="R33" s="397">
        <f t="shared" si="3"/>
        <v>0</v>
      </c>
    </row>
    <row r="34" spans="2:18">
      <c r="B34" s="400" t="str">
        <f>_xlfn.XLOOKUP(C34,'ABC-XYZ분석 (2)'!C:C,'ABC-XYZ분석 (2)'!B:B)</f>
        <v>단종예정</v>
      </c>
      <c r="C34" s="434" t="s">
        <v>613</v>
      </c>
      <c r="D34" s="383"/>
      <c r="E34" s="383"/>
      <c r="F34" s="384" t="str">
        <f>_xlfn.XLOOKUP(표3[[#This Row],[SKU코드]],'ABC-XYZ분석 (2)'!C:C,'ABC-XYZ분석 (2)'!AC:AC)</f>
        <v>A</v>
      </c>
      <c r="G34" s="385" t="str">
        <f ca="1">_xlfn.XLOOKUP(C34,'ABC-XYZ분석 (2)'!C:C,'ABC-XYZ분석 (2)'!AG:AG)</f>
        <v>X</v>
      </c>
      <c r="H34" s="386">
        <f>SUMIF(재고!C:C,재고분석!C34,재고!I:I)</f>
        <v>0</v>
      </c>
      <c r="I34" s="385">
        <f ca="1">SUMIF(안전재고!A:A,재고분석!$C34,안전재고!I:I)</f>
        <v>0</v>
      </c>
      <c r="J34" s="387">
        <f>SUMIF('ABC-XYZ분석 (2)'!C:C,재고분석!$C34,'ABC-XYZ분석 (2)'!X:X)</f>
        <v>402.66666666666669</v>
      </c>
      <c r="K34" s="432" t="str">
        <f>IFERROR(재고분석!$J34/재고분석!$H34,"")</f>
        <v/>
      </c>
      <c r="L34" s="432" t="str">
        <f>IFERROR(재고분석!$K34*12,"")</f>
        <v/>
      </c>
      <c r="M34" s="387">
        <f t="shared" ref="M34:M65" si="5">IFERROR(H34/(J34/30),"")</f>
        <v>0</v>
      </c>
      <c r="N34" s="385" t="str">
        <f>IF(H34=0,"재고없음",IF(H34&lt;I34,"부족",IF(H34&lt;VLOOKUP(C34,공급물량!$B:$M,12,0)*0.8,"재주문",IF(H34&lt;=VLOOKUP(C34,공급물량!$B:$M,12,0)*1.2,"적정","과잉"))))</f>
        <v>재고없음</v>
      </c>
      <c r="O34" s="385" t="str">
        <f t="shared" ref="O34:O65" si="6">IF(H34=0,"-",IF(K34&gt;=0.5,"우수",IF(K34&gt;=0.33,"적정",IF(K34&gt;=0.17,"주의","불량"))))</f>
        <v>-</v>
      </c>
      <c r="P34" s="389" t="str">
        <f t="shared" ref="P34:P65" si="7">IF(N34="재고없음","긴급발주",IF(N34="부족","긴급발주",IF(AND(N34="재주문",OR(O34="우수",O34="적정")),"현상유지",IF(N34="재주문","발주검토",IF(AND(N34="적정",O34="불량"),"판촉검토",IF(N34="적정","현상유지",IF(AND(N34="과잉",OR(O34="우수",O34="적정")),"발주축소","판촉/할인검토")))))))</f>
        <v>긴급발주</v>
      </c>
      <c r="Q34" s="388">
        <f>_xlfn.XLOOKUP(재고분석!$C34,재고!C:C,재고!H:H)</f>
        <v>55000</v>
      </c>
      <c r="R34" s="396">
        <f t="shared" si="3"/>
        <v>0</v>
      </c>
    </row>
    <row r="35" spans="2:18">
      <c r="B35" s="401" t="str">
        <f>_xlfn.XLOOKUP(C35,'ABC-XYZ분석 (2)'!C:C,'ABC-XYZ분석 (2)'!B:B)</f>
        <v>단종예정</v>
      </c>
      <c r="C35" s="434" t="s">
        <v>614</v>
      </c>
      <c r="D35" s="390"/>
      <c r="E35" s="390"/>
      <c r="F35" s="384" t="str">
        <f>_xlfn.XLOOKUP(표3[[#This Row],[SKU코드]],'ABC-XYZ분석 (2)'!C:C,'ABC-XYZ분석 (2)'!AC:AC)</f>
        <v>A</v>
      </c>
      <c r="G35" s="391" t="str">
        <f>_xlfn.XLOOKUP(C35,'ABC-XYZ분석 (2)'!C:C,'ABC-XYZ분석 (2)'!AG:AG)</f>
        <v>Y</v>
      </c>
      <c r="H35" s="392">
        <f>SUMIF(재고!C:C,재고분석!C35,재고!I:I)</f>
        <v>0</v>
      </c>
      <c r="I35" s="391">
        <f>SUMIF(안전재고!A:A,재고분석!$C35,안전재고!I:I)</f>
        <v>139</v>
      </c>
      <c r="J35" s="393">
        <f>SUMIF('ABC-XYZ분석 (2)'!C:C,재고분석!$C35,'ABC-XYZ분석 (2)'!X:X)</f>
        <v>68.333333333333329</v>
      </c>
      <c r="K35" s="432" t="str">
        <f>IFERROR(재고분석!$J35/재고분석!$H35,"")</f>
        <v/>
      </c>
      <c r="L35" s="432" t="str">
        <f>IFERROR(재고분석!$K35*12,"")</f>
        <v/>
      </c>
      <c r="M35" s="393">
        <f t="shared" si="5"/>
        <v>0</v>
      </c>
      <c r="N35" s="391" t="str">
        <f>IF(H35=0,"재고없음",IF(H35&lt;I35,"부족",IF(H35&lt;VLOOKUP(C35,공급물량!$B:$M,12,0)*0.8,"재주문",IF(H35&lt;=VLOOKUP(C35,공급물량!$B:$M,12,0)*1.2,"적정","과잉"))))</f>
        <v>재고없음</v>
      </c>
      <c r="O35" s="391" t="str">
        <f t="shared" si="6"/>
        <v>-</v>
      </c>
      <c r="P35" s="395" t="str">
        <f t="shared" si="7"/>
        <v>긴급발주</v>
      </c>
      <c r="Q35" s="394">
        <f>_xlfn.XLOOKUP(재고분석!$C35,재고!C:C,재고!H:H)</f>
        <v>80000</v>
      </c>
      <c r="R35" s="397">
        <f t="shared" si="3"/>
        <v>0</v>
      </c>
    </row>
    <row r="36" spans="2:18">
      <c r="B36" s="400" t="str">
        <f>_xlfn.XLOOKUP(C36,'ABC-XYZ분석 (2)'!C:C,'ABC-XYZ분석 (2)'!B:B)</f>
        <v>단종예정</v>
      </c>
      <c r="C36" s="434" t="s">
        <v>615</v>
      </c>
      <c r="D36" s="383"/>
      <c r="E36" s="383"/>
      <c r="F36" s="384" t="str">
        <f>_xlfn.XLOOKUP(표3[[#This Row],[SKU코드]],'ABC-XYZ분석 (2)'!C:C,'ABC-XYZ분석 (2)'!AC:AC)</f>
        <v>A</v>
      </c>
      <c r="G36" s="385" t="str">
        <f>_xlfn.XLOOKUP(C36,'ABC-XYZ분석 (2)'!C:C,'ABC-XYZ분석 (2)'!AG:AG)</f>
        <v>X</v>
      </c>
      <c r="H36" s="386">
        <f>SUMIF(재고!C:C,재고분석!C36,재고!I:I)</f>
        <v>0</v>
      </c>
      <c r="I36" s="385">
        <f>SUMIF(안전재고!A:A,재고분석!$C36,안전재고!I:I)</f>
        <v>34</v>
      </c>
      <c r="J36" s="387">
        <f>SUMIF('ABC-XYZ분석 (2)'!C:C,재고분석!$C36,'ABC-XYZ분석 (2)'!X:X)</f>
        <v>336.66666666666669</v>
      </c>
      <c r="K36" s="432" t="str">
        <f>IFERROR(재고분석!$J36/재고분석!$H36,"")</f>
        <v/>
      </c>
      <c r="L36" s="432" t="str">
        <f>IFERROR(재고분석!$K36*12,"")</f>
        <v/>
      </c>
      <c r="M36" s="387">
        <f t="shared" si="5"/>
        <v>0</v>
      </c>
      <c r="N36" s="385" t="str">
        <f>IF(H36=0,"재고없음",IF(H36&lt;I36,"부족",IF(H36&lt;VLOOKUP(C36,공급물량!$B:$M,12,0)*0.8,"재주문",IF(H36&lt;=VLOOKUP(C36,공급물량!$B:$M,12,0)*1.2,"적정","과잉"))))</f>
        <v>재고없음</v>
      </c>
      <c r="O36" s="385" t="str">
        <f t="shared" si="6"/>
        <v>-</v>
      </c>
      <c r="P36" s="389" t="str">
        <f t="shared" si="7"/>
        <v>긴급발주</v>
      </c>
      <c r="Q36" s="388">
        <f>_xlfn.XLOOKUP(재고분석!$C36,재고!C:C,재고!H:H)</f>
        <v>80000</v>
      </c>
      <c r="R36" s="396">
        <f t="shared" si="3"/>
        <v>0</v>
      </c>
    </row>
    <row r="37" spans="2:18">
      <c r="B37" s="401" t="str">
        <f>_xlfn.XLOOKUP(C37,'ABC-XYZ분석 (2)'!C:C,'ABC-XYZ분석 (2)'!B:B)</f>
        <v>단종예정</v>
      </c>
      <c r="C37" s="434" t="s">
        <v>616</v>
      </c>
      <c r="D37" s="390"/>
      <c r="E37" s="390"/>
      <c r="F37" s="384" t="str">
        <f>_xlfn.XLOOKUP(표3[[#This Row],[SKU코드]],'ABC-XYZ분석 (2)'!C:C,'ABC-XYZ분석 (2)'!AC:AC)</f>
        <v>A</v>
      </c>
      <c r="G37" s="391" t="str">
        <f>_xlfn.XLOOKUP(C37,'ABC-XYZ분석 (2)'!C:C,'ABC-XYZ분석 (2)'!AG:AG)</f>
        <v>X</v>
      </c>
      <c r="H37" s="392">
        <f>SUMIF(재고!C:C,재고분석!C37,재고!I:I)</f>
        <v>0</v>
      </c>
      <c r="I37" s="391">
        <f>SUMIF(안전재고!A:A,재고분석!$C37,안전재고!I:I)</f>
        <v>8</v>
      </c>
      <c r="J37" s="393">
        <f>SUMIF('ABC-XYZ분석 (2)'!C:C,재고분석!$C37,'ABC-XYZ분석 (2)'!X:X)</f>
        <v>60</v>
      </c>
      <c r="K37" s="432" t="str">
        <f>IFERROR(재고분석!$J37/재고분석!$H37,"")</f>
        <v/>
      </c>
      <c r="L37" s="432" t="str">
        <f>IFERROR(재고분석!$K37*12,"")</f>
        <v/>
      </c>
      <c r="M37" s="393">
        <f t="shared" si="5"/>
        <v>0</v>
      </c>
      <c r="N37" s="391" t="str">
        <f>IF(H37=0,"재고없음",IF(H37&lt;I37,"부족",IF(H37&lt;VLOOKUP(C37,공급물량!$B:$M,12,0)*0.8,"재주문",IF(H37&lt;=VLOOKUP(C37,공급물량!$B:$M,12,0)*1.2,"적정","과잉"))))</f>
        <v>재고없음</v>
      </c>
      <c r="O37" s="391" t="str">
        <f t="shared" si="6"/>
        <v>-</v>
      </c>
      <c r="P37" s="395" t="str">
        <f t="shared" si="7"/>
        <v>긴급발주</v>
      </c>
      <c r="Q37" s="394">
        <f>_xlfn.XLOOKUP(재고분석!$C37,재고!C:C,재고!H:H)</f>
        <v>80000</v>
      </c>
      <c r="R37" s="397">
        <f t="shared" si="3"/>
        <v>0</v>
      </c>
    </row>
    <row r="38" spans="2:18">
      <c r="B38" s="400" t="str">
        <f>_xlfn.XLOOKUP(C38,'ABC-XYZ분석 (2)'!C:C,'ABC-XYZ분석 (2)'!B:B)</f>
        <v>단종예정</v>
      </c>
      <c r="C38" s="434" t="s">
        <v>617</v>
      </c>
      <c r="D38" s="383"/>
      <c r="E38" s="383"/>
      <c r="F38" s="384" t="str">
        <f>_xlfn.XLOOKUP(표3[[#This Row],[SKU코드]],'ABC-XYZ분석 (2)'!C:C,'ABC-XYZ분석 (2)'!AC:AC)</f>
        <v>A</v>
      </c>
      <c r="G38" s="385" t="str">
        <f>_xlfn.XLOOKUP(C38,'ABC-XYZ분석 (2)'!C:C,'ABC-XYZ분석 (2)'!AG:AG)</f>
        <v>Y</v>
      </c>
      <c r="H38" s="386">
        <f>SUMIF(재고!C:C,재고분석!C38,재고!I:I)</f>
        <v>0</v>
      </c>
      <c r="I38" s="385">
        <f>SUMIF(안전재고!A:A,재고분석!$C38,안전재고!I:I)</f>
        <v>36</v>
      </c>
      <c r="J38" s="387">
        <f>SUMIF('ABC-XYZ분석 (2)'!C:C,재고분석!$C38,'ABC-XYZ분석 (2)'!X:X)</f>
        <v>185.33333333333334</v>
      </c>
      <c r="K38" s="432" t="str">
        <f>IFERROR(재고분석!$J38/재고분석!$H38,"")</f>
        <v/>
      </c>
      <c r="L38" s="432" t="str">
        <f>IFERROR(재고분석!$K38*12,"")</f>
        <v/>
      </c>
      <c r="M38" s="387">
        <f t="shared" si="5"/>
        <v>0</v>
      </c>
      <c r="N38" s="385" t="str">
        <f>IF(H38=0,"재고없음",IF(H38&lt;I38,"부족",IF(H38&lt;VLOOKUP(C38,공급물량!$B:$M,12,0)*0.8,"재주문",IF(H38&lt;=VLOOKUP(C38,공급물량!$B:$M,12,0)*1.2,"적정","과잉"))))</f>
        <v>재고없음</v>
      </c>
      <c r="O38" s="385" t="str">
        <f t="shared" si="6"/>
        <v>-</v>
      </c>
      <c r="P38" s="389" t="str">
        <f t="shared" si="7"/>
        <v>긴급발주</v>
      </c>
      <c r="Q38" s="388">
        <f>_xlfn.XLOOKUP(재고분석!$C38,재고!C:C,재고!H:H)</f>
        <v>73000</v>
      </c>
      <c r="R38" s="396">
        <f t="shared" si="3"/>
        <v>0</v>
      </c>
    </row>
    <row r="39" spans="2:18">
      <c r="B39" s="401" t="str">
        <f>_xlfn.XLOOKUP(C39,'ABC-XYZ분석 (2)'!C:C,'ABC-XYZ분석 (2)'!B:B)</f>
        <v>단종예정</v>
      </c>
      <c r="C39" s="434" t="s">
        <v>618</v>
      </c>
      <c r="D39" s="390"/>
      <c r="E39" s="390"/>
      <c r="F39" s="384" t="str">
        <f>_xlfn.XLOOKUP(표3[[#This Row],[SKU코드]],'ABC-XYZ분석 (2)'!C:C,'ABC-XYZ분석 (2)'!AC:AC)</f>
        <v>A</v>
      </c>
      <c r="G39" s="391" t="str">
        <f>_xlfn.XLOOKUP(C39,'ABC-XYZ분석 (2)'!C:C,'ABC-XYZ분석 (2)'!AG:AG)</f>
        <v>Y</v>
      </c>
      <c r="H39" s="392">
        <f>SUMIF(재고!C:C,재고분석!C39,재고!I:I)</f>
        <v>0</v>
      </c>
      <c r="I39" s="391">
        <f>SUMIF(안전재고!A:A,재고분석!$C39,안전재고!I:I)</f>
        <v>34</v>
      </c>
      <c r="J39" s="393">
        <f>SUMIF('ABC-XYZ분석 (2)'!C:C,재고분석!$C39,'ABC-XYZ분석 (2)'!X:X)</f>
        <v>258.33333333333331</v>
      </c>
      <c r="K39" s="432" t="str">
        <f>IFERROR(재고분석!$J39/재고분석!$H39,"")</f>
        <v/>
      </c>
      <c r="L39" s="432" t="str">
        <f>IFERROR(재고분석!$K39*12,"")</f>
        <v/>
      </c>
      <c r="M39" s="393">
        <f t="shared" si="5"/>
        <v>0</v>
      </c>
      <c r="N39" s="391" t="str">
        <f>IF(H39=0,"재고없음",IF(H39&lt;I39,"부족",IF(H39&lt;VLOOKUP(C39,공급물량!$B:$M,12,0)*0.8,"재주문",IF(H39&lt;=VLOOKUP(C39,공급물량!$B:$M,12,0)*1.2,"적정","과잉"))))</f>
        <v>재고없음</v>
      </c>
      <c r="O39" s="391" t="str">
        <f t="shared" si="6"/>
        <v>-</v>
      </c>
      <c r="P39" s="395" t="str">
        <f t="shared" si="7"/>
        <v>긴급발주</v>
      </c>
      <c r="Q39" s="394">
        <f>_xlfn.XLOOKUP(재고분석!$C39,재고!C:C,재고!H:H)</f>
        <v>73000</v>
      </c>
      <c r="R39" s="397">
        <f t="shared" si="3"/>
        <v>0</v>
      </c>
    </row>
    <row r="40" spans="2:18">
      <c r="B40" s="400" t="str">
        <f>_xlfn.XLOOKUP(C40,'ABC-XYZ분석 (2)'!C:C,'ABC-XYZ분석 (2)'!B:B)</f>
        <v>단종예정</v>
      </c>
      <c r="C40" s="434" t="s">
        <v>619</v>
      </c>
      <c r="D40" s="383"/>
      <c r="E40" s="383"/>
      <c r="F40" s="384" t="str">
        <f>_xlfn.XLOOKUP(표3[[#This Row],[SKU코드]],'ABC-XYZ분석 (2)'!C:C,'ABC-XYZ분석 (2)'!AC:AC)</f>
        <v>A</v>
      </c>
      <c r="G40" s="385" t="str">
        <f>_xlfn.XLOOKUP(C40,'ABC-XYZ분석 (2)'!C:C,'ABC-XYZ분석 (2)'!AG:AG)</f>
        <v>Y</v>
      </c>
      <c r="H40" s="386">
        <f>SUMIF(재고!C:C,재고분석!C40,재고!I:I)</f>
        <v>0</v>
      </c>
      <c r="I40" s="385">
        <f>SUMIF(안전재고!A:A,재고분석!$C40,안전재고!I:I)</f>
        <v>48</v>
      </c>
      <c r="J40" s="387">
        <f>SUMIF('ABC-XYZ분석 (2)'!C:C,재고분석!$C40,'ABC-XYZ분석 (2)'!X:X)</f>
        <v>6.666666666666667</v>
      </c>
      <c r="K40" s="432" t="str">
        <f>IFERROR(재고분석!$J40/재고분석!$H40,"")</f>
        <v/>
      </c>
      <c r="L40" s="432" t="str">
        <f>IFERROR(재고분석!$K40*12,"")</f>
        <v/>
      </c>
      <c r="M40" s="387">
        <f t="shared" si="5"/>
        <v>0</v>
      </c>
      <c r="N40" s="385" t="str">
        <f>IF(H40=0,"재고없음",IF(H40&lt;I40,"부족",IF(H40&lt;VLOOKUP(C40,공급물량!$B:$M,12,0)*0.8,"재주문",IF(H40&lt;=VLOOKUP(C40,공급물량!$B:$M,12,0)*1.2,"적정","과잉"))))</f>
        <v>재고없음</v>
      </c>
      <c r="O40" s="385" t="str">
        <f t="shared" si="6"/>
        <v>-</v>
      </c>
      <c r="P40" s="389" t="str">
        <f t="shared" si="7"/>
        <v>긴급발주</v>
      </c>
      <c r="Q40" s="388">
        <f>_xlfn.XLOOKUP(재고분석!$C40,재고!C:C,재고!H:H)</f>
        <v>73000</v>
      </c>
      <c r="R40" s="396">
        <f t="shared" si="3"/>
        <v>0</v>
      </c>
    </row>
    <row r="41" spans="2:18">
      <c r="B41" s="401" t="str">
        <f>_xlfn.XLOOKUP(C41,'ABC-XYZ분석 (2)'!C:C,'ABC-XYZ분석 (2)'!B:B)</f>
        <v>단종예정</v>
      </c>
      <c r="C41" s="434" t="s">
        <v>620</v>
      </c>
      <c r="D41" s="390"/>
      <c r="E41" s="390"/>
      <c r="F41" s="384" t="str">
        <f>_xlfn.XLOOKUP(표3[[#This Row],[SKU코드]],'ABC-XYZ분석 (2)'!C:C,'ABC-XYZ분석 (2)'!AC:AC)</f>
        <v>A</v>
      </c>
      <c r="G41" s="391" t="str">
        <f>_xlfn.XLOOKUP(C41,'ABC-XYZ분석 (2)'!C:C,'ABC-XYZ분석 (2)'!AG:AG)</f>
        <v>Y</v>
      </c>
      <c r="H41" s="392">
        <f>SUMIF(재고!C:C,재고분석!C41,재고!I:I)</f>
        <v>608</v>
      </c>
      <c r="I41" s="391">
        <f>SUMIF(안전재고!A:A,재고분석!$C41,안전재고!I:I)</f>
        <v>43</v>
      </c>
      <c r="J41" s="393">
        <f>SUMIF('ABC-XYZ분석 (2)'!C:C,재고분석!$C41,'ABC-XYZ분석 (2)'!X:X)</f>
        <v>471</v>
      </c>
      <c r="K41" s="432">
        <f>IFERROR(재고분석!$J41/재고분석!$H41,"")</f>
        <v>0.77467105263157898</v>
      </c>
      <c r="L41" s="432">
        <f>IFERROR(재고분석!$K41*12,"")</f>
        <v>9.2960526315789487</v>
      </c>
      <c r="M41" s="393">
        <f t="shared" si="5"/>
        <v>38.726114649681527</v>
      </c>
      <c r="N41" s="391" t="str">
        <f>IF(H41=0,"재고없음",IF(H41&lt;I41,"부족",IF(H41&lt;VLOOKUP(C41,공급물량!$B:$M,12,0)*0.8,"재주문",IF(H41&lt;=VLOOKUP(C41,공급물량!$B:$M,12,0)*1.2,"적정","과잉"))))</f>
        <v>과잉</v>
      </c>
      <c r="O41" s="391" t="str">
        <f t="shared" si="6"/>
        <v>우수</v>
      </c>
      <c r="P41" s="395" t="str">
        <f t="shared" si="7"/>
        <v>발주축소</v>
      </c>
      <c r="Q41" s="394">
        <f>_xlfn.XLOOKUP(재고분석!$C41,재고!C:C,재고!H:H)</f>
        <v>3100</v>
      </c>
      <c r="R41" s="397">
        <f t="shared" si="3"/>
        <v>1884800</v>
      </c>
    </row>
    <row r="42" spans="2:18">
      <c r="B42" s="400" t="str">
        <f>_xlfn.XLOOKUP(C42,'ABC-XYZ분석 (2)'!C:C,'ABC-XYZ분석 (2)'!B:B)</f>
        <v>단종예정</v>
      </c>
      <c r="C42" s="434" t="s">
        <v>621</v>
      </c>
      <c r="D42" s="383"/>
      <c r="E42" s="383"/>
      <c r="F42" s="384" t="str">
        <f>_xlfn.XLOOKUP(표3[[#This Row],[SKU코드]],'ABC-XYZ분석 (2)'!C:C,'ABC-XYZ분석 (2)'!AC:AC)</f>
        <v>B</v>
      </c>
      <c r="G42" s="385" t="str">
        <f>_xlfn.XLOOKUP(C42,'ABC-XYZ분석 (2)'!C:C,'ABC-XYZ분석 (2)'!AG:AG)</f>
        <v>Y</v>
      </c>
      <c r="H42" s="386">
        <f>SUMIF(재고!C:C,재고분석!C42,재고!I:I)</f>
        <v>1180</v>
      </c>
      <c r="I42" s="385">
        <f>SUMIF(안전재고!A:A,재고분석!$C42,안전재고!I:I)</f>
        <v>36</v>
      </c>
      <c r="J42" s="387">
        <f>SUMIF('ABC-XYZ분석 (2)'!C:C,재고분석!$C42,'ABC-XYZ분석 (2)'!X:X)</f>
        <v>236</v>
      </c>
      <c r="K42" s="432">
        <f>IFERROR(재고분석!$J42/재고분석!$H42,"")</f>
        <v>0.2</v>
      </c>
      <c r="L42" s="432">
        <f>IFERROR(재고분석!$K42*12,"")</f>
        <v>2.4000000000000004</v>
      </c>
      <c r="M42" s="387">
        <f t="shared" si="5"/>
        <v>150</v>
      </c>
      <c r="N42" s="385" t="str">
        <f>IF(H42=0,"재고없음",IF(H42&lt;I42,"부족",IF(H42&lt;VLOOKUP(C42,공급물량!$B:$M,12,0)*0.8,"재주문",IF(H42&lt;=VLOOKUP(C42,공급물량!$B:$M,12,0)*1.2,"적정","과잉"))))</f>
        <v>과잉</v>
      </c>
      <c r="O42" s="385" t="str">
        <f t="shared" si="6"/>
        <v>주의</v>
      </c>
      <c r="P42" s="389" t="str">
        <f t="shared" si="7"/>
        <v>판촉/할인검토</v>
      </c>
      <c r="Q42" s="388">
        <f>_xlfn.XLOOKUP(재고분석!$C42,재고!C:C,재고!H:H)</f>
        <v>3100</v>
      </c>
      <c r="R42" s="396">
        <f t="shared" si="3"/>
        <v>3658000</v>
      </c>
    </row>
    <row r="43" spans="2:18">
      <c r="B43" s="401" t="str">
        <f>_xlfn.XLOOKUP(C43,'ABC-XYZ분석 (2)'!C:C,'ABC-XYZ분석 (2)'!B:B)</f>
        <v>단종예정</v>
      </c>
      <c r="C43" s="434" t="s">
        <v>622</v>
      </c>
      <c r="D43" s="390"/>
      <c r="E43" s="390"/>
      <c r="F43" s="384" t="str">
        <f>_xlfn.XLOOKUP(표3[[#This Row],[SKU코드]],'ABC-XYZ분석 (2)'!C:C,'ABC-XYZ분석 (2)'!AC:AC)</f>
        <v>B</v>
      </c>
      <c r="G43" s="391" t="str">
        <f>_xlfn.XLOOKUP(C43,'ABC-XYZ분석 (2)'!C:C,'ABC-XYZ분석 (2)'!AG:AG)</f>
        <v>Z</v>
      </c>
      <c r="H43" s="392">
        <f>SUMIF(재고!C:C,재고분석!C43,재고!I:I)</f>
        <v>1643</v>
      </c>
      <c r="I43" s="391">
        <f>SUMIF(안전재고!A:A,재고분석!$C43,안전재고!I:I)</f>
        <v>174</v>
      </c>
      <c r="J43" s="393">
        <f>SUMIF('ABC-XYZ분석 (2)'!C:C,재고분석!$C43,'ABC-XYZ분석 (2)'!X:X)</f>
        <v>6.666666666666667</v>
      </c>
      <c r="K43" s="432">
        <f>IFERROR(재고분석!$J43/재고분석!$H43,"")</f>
        <v>4.0576181781294381E-3</v>
      </c>
      <c r="L43" s="432">
        <f>IFERROR(재고분석!$K43*12,"")</f>
        <v>4.8691418137553261E-2</v>
      </c>
      <c r="M43" s="393">
        <f t="shared" si="5"/>
        <v>7393.4999999999991</v>
      </c>
      <c r="N43" s="391" t="str">
        <f>IF(H43=0,"재고없음",IF(H43&lt;I43,"부족",IF(H43&lt;VLOOKUP(C43,공급물량!$B:$M,12,0)*0.8,"재주문",IF(H43&lt;=VLOOKUP(C43,공급물량!$B:$M,12,0)*1.2,"적정","과잉"))))</f>
        <v>과잉</v>
      </c>
      <c r="O43" s="391" t="str">
        <f t="shared" si="6"/>
        <v>불량</v>
      </c>
      <c r="P43" s="395" t="str">
        <f t="shared" si="7"/>
        <v>판촉/할인검토</v>
      </c>
      <c r="Q43" s="394">
        <f>_xlfn.XLOOKUP(재고분석!$C43,재고!C:C,재고!H:H)</f>
        <v>3100</v>
      </c>
      <c r="R43" s="397">
        <f t="shared" si="3"/>
        <v>5093300</v>
      </c>
    </row>
    <row r="44" spans="2:18">
      <c r="B44" s="400" t="str">
        <f>_xlfn.XLOOKUP(C44,'ABC-XYZ분석 (2)'!C:C,'ABC-XYZ분석 (2)'!B:B)</f>
        <v>단종예정</v>
      </c>
      <c r="C44" s="434" t="s">
        <v>623</v>
      </c>
      <c r="D44" s="383"/>
      <c r="E44" s="383"/>
      <c r="F44" s="384" t="str">
        <f>_xlfn.XLOOKUP(표3[[#This Row],[SKU코드]],'ABC-XYZ분석 (2)'!C:C,'ABC-XYZ분석 (2)'!AC:AC)</f>
        <v>B</v>
      </c>
      <c r="G44" s="385" t="str">
        <f>_xlfn.XLOOKUP(C44,'ABC-XYZ분석 (2)'!C:C,'ABC-XYZ분석 (2)'!AG:AG)</f>
        <v>Y</v>
      </c>
      <c r="H44" s="386">
        <f>SUMIF(재고!C:C,재고분석!C44,재고!I:I)</f>
        <v>0</v>
      </c>
      <c r="I44" s="385">
        <f>SUMIF(안전재고!A:A,재고분석!$C44,안전재고!I:I)</f>
        <v>28</v>
      </c>
      <c r="J44" s="387">
        <f>SUMIF('ABC-XYZ분석 (2)'!C:C,재고분석!$C44,'ABC-XYZ분석 (2)'!X:X)</f>
        <v>167.66666666666666</v>
      </c>
      <c r="K44" s="432" t="str">
        <f>IFERROR(재고분석!$J44/재고분석!$H44,"")</f>
        <v/>
      </c>
      <c r="L44" s="432" t="str">
        <f>IFERROR(재고분석!$K44*12,"")</f>
        <v/>
      </c>
      <c r="M44" s="387">
        <f t="shared" si="5"/>
        <v>0</v>
      </c>
      <c r="N44" s="385" t="str">
        <f>IF(H44=0,"재고없음",IF(H44&lt;I44,"부족",IF(H44&lt;VLOOKUP(C44,공급물량!$B:$M,12,0)*0.8,"재주문",IF(H44&lt;=VLOOKUP(C44,공급물량!$B:$M,12,0)*1.2,"적정","과잉"))))</f>
        <v>재고없음</v>
      </c>
      <c r="O44" s="385" t="str">
        <f t="shared" si="6"/>
        <v>-</v>
      </c>
      <c r="P44" s="389" t="str">
        <f t="shared" si="7"/>
        <v>긴급발주</v>
      </c>
      <c r="Q44" s="388">
        <f>_xlfn.XLOOKUP(재고분석!$C44,재고!C:C,재고!H:H)</f>
        <v>32200</v>
      </c>
      <c r="R44" s="396">
        <f t="shared" si="3"/>
        <v>0</v>
      </c>
    </row>
    <row r="45" spans="2:18">
      <c r="B45" s="401" t="str">
        <f>_xlfn.XLOOKUP(C45,'ABC-XYZ분석 (2)'!C:C,'ABC-XYZ분석 (2)'!B:B)</f>
        <v>단종예정</v>
      </c>
      <c r="C45" s="434" t="s">
        <v>624</v>
      </c>
      <c r="D45" s="390"/>
      <c r="E45" s="390"/>
      <c r="F45" s="384" t="str">
        <f>_xlfn.XLOOKUP(표3[[#This Row],[SKU코드]],'ABC-XYZ분석 (2)'!C:C,'ABC-XYZ분석 (2)'!AC:AC)</f>
        <v>B</v>
      </c>
      <c r="G45" s="391" t="str">
        <f>_xlfn.XLOOKUP(C45,'ABC-XYZ분석 (2)'!C:C,'ABC-XYZ분석 (2)'!AG:AG)</f>
        <v>Y</v>
      </c>
      <c r="H45" s="392">
        <f>SUMIF(재고!C:C,재고분석!C45,재고!I:I)</f>
        <v>0</v>
      </c>
      <c r="I45" s="391">
        <f>SUMIF(안전재고!A:A,재고분석!$C45,안전재고!I:I)</f>
        <v>136</v>
      </c>
      <c r="J45" s="393">
        <f>SUMIF('ABC-XYZ분석 (2)'!C:C,재고분석!$C45,'ABC-XYZ분석 (2)'!X:X)</f>
        <v>1497.3333333333333</v>
      </c>
      <c r="K45" s="432" t="str">
        <f>IFERROR(재고분석!$J45/재고분석!$H45,"")</f>
        <v/>
      </c>
      <c r="L45" s="432" t="str">
        <f>IFERROR(재고분석!$K45*12,"")</f>
        <v/>
      </c>
      <c r="M45" s="393">
        <f t="shared" si="5"/>
        <v>0</v>
      </c>
      <c r="N45" s="391" t="str">
        <f>IF(H45=0,"재고없음",IF(H45&lt;I45,"부족",IF(H45&lt;VLOOKUP(C45,공급물량!$B:$M,12,0)*0.8,"재주문",IF(H45&lt;=VLOOKUP(C45,공급물량!$B:$M,12,0)*1.2,"적정","과잉"))))</f>
        <v>재고없음</v>
      </c>
      <c r="O45" s="391" t="str">
        <f t="shared" si="6"/>
        <v>-</v>
      </c>
      <c r="P45" s="395" t="str">
        <f t="shared" si="7"/>
        <v>긴급발주</v>
      </c>
      <c r="Q45" s="394">
        <f>_xlfn.XLOOKUP(재고분석!$C45,재고!C:C,재고!H:H)</f>
        <v>32200</v>
      </c>
      <c r="R45" s="397">
        <f t="shared" si="3"/>
        <v>0</v>
      </c>
    </row>
    <row r="46" spans="2:18">
      <c r="B46" s="400" t="str">
        <f>_xlfn.XLOOKUP(C46,'ABC-XYZ분석 (2)'!C:C,'ABC-XYZ분석 (2)'!B:B)</f>
        <v>단종예정</v>
      </c>
      <c r="C46" s="434" t="s">
        <v>625</v>
      </c>
      <c r="D46" s="383"/>
      <c r="E46" s="383"/>
      <c r="F46" s="384" t="str">
        <f>_xlfn.XLOOKUP(표3[[#This Row],[SKU코드]],'ABC-XYZ분석 (2)'!C:C,'ABC-XYZ분석 (2)'!AC:AC)</f>
        <v>B</v>
      </c>
      <c r="G46" s="385" t="str">
        <f>_xlfn.XLOOKUP(C46,'ABC-XYZ분석 (2)'!C:C,'ABC-XYZ분석 (2)'!AG:AG)</f>
        <v>X</v>
      </c>
      <c r="H46" s="386">
        <f>SUMIF(재고!C:C,재고분석!C46,재고!I:I)</f>
        <v>0</v>
      </c>
      <c r="I46" s="385">
        <f>SUMIF(안전재고!A:A,재고분석!$C46,안전재고!I:I)</f>
        <v>12</v>
      </c>
      <c r="J46" s="387">
        <f>SUMIF('ABC-XYZ분석 (2)'!C:C,재고분석!$C46,'ABC-XYZ분석 (2)'!X:X)</f>
        <v>114.33333333333333</v>
      </c>
      <c r="K46" s="432" t="str">
        <f>IFERROR(재고분석!$J46/재고분석!$H46,"")</f>
        <v/>
      </c>
      <c r="L46" s="432" t="str">
        <f>IFERROR(재고분석!$K46*12,"")</f>
        <v/>
      </c>
      <c r="M46" s="387">
        <f t="shared" si="5"/>
        <v>0</v>
      </c>
      <c r="N46" s="385" t="str">
        <f>IF(H46=0,"재고없음",IF(H46&lt;I46,"부족",IF(H46&lt;VLOOKUP(C46,공급물량!$B:$M,12,0)*0.8,"재주문",IF(H46&lt;=VLOOKUP(C46,공급물량!$B:$M,12,0)*1.2,"적정","과잉"))))</f>
        <v>재고없음</v>
      </c>
      <c r="O46" s="385" t="str">
        <f t="shared" si="6"/>
        <v>-</v>
      </c>
      <c r="P46" s="389" t="str">
        <f t="shared" si="7"/>
        <v>긴급발주</v>
      </c>
      <c r="Q46" s="388">
        <f>_xlfn.XLOOKUP(재고분석!$C46,재고!C:C,재고!H:H)</f>
        <v>32200</v>
      </c>
      <c r="R46" s="396">
        <f t="shared" si="3"/>
        <v>0</v>
      </c>
    </row>
    <row r="47" spans="2:18">
      <c r="B47" s="401" t="str">
        <f>_xlfn.XLOOKUP(C47,'ABC-XYZ분석 (2)'!C:C,'ABC-XYZ분석 (2)'!B:B)</f>
        <v>단종예정</v>
      </c>
      <c r="C47" s="434" t="s">
        <v>626</v>
      </c>
      <c r="D47" s="390"/>
      <c r="E47" s="390"/>
      <c r="F47" s="384" t="str">
        <f>_xlfn.XLOOKUP(표3[[#This Row],[SKU코드]],'ABC-XYZ분석 (2)'!C:C,'ABC-XYZ분석 (2)'!AC:AC)</f>
        <v>B</v>
      </c>
      <c r="G47" s="391" t="str">
        <f>_xlfn.XLOOKUP(C47,'ABC-XYZ분석 (2)'!C:C,'ABC-XYZ분석 (2)'!AG:AG)</f>
        <v>Z</v>
      </c>
      <c r="H47" s="392">
        <f>SUMIF(재고!C:C,재고분석!C47,재고!I:I)</f>
        <v>0</v>
      </c>
      <c r="I47" s="391">
        <f>SUMIF(안전재고!A:A,재고분석!$C47,안전재고!I:I)</f>
        <v>32</v>
      </c>
      <c r="J47" s="393">
        <f>SUMIF('ABC-XYZ분석 (2)'!C:C,재고분석!$C47,'ABC-XYZ분석 (2)'!X:X)</f>
        <v>108.33333333333333</v>
      </c>
      <c r="K47" s="432" t="str">
        <f>IFERROR(재고분석!$J47/재고분석!$H47,"")</f>
        <v/>
      </c>
      <c r="L47" s="432" t="str">
        <f>IFERROR(재고분석!$K47*12,"")</f>
        <v/>
      </c>
      <c r="M47" s="393">
        <f t="shared" si="5"/>
        <v>0</v>
      </c>
      <c r="N47" s="391" t="str">
        <f>IF(H47=0,"재고없음",IF(H47&lt;I47,"부족",IF(H47&lt;VLOOKUP(C47,공급물량!$B:$M,12,0)*0.8,"재주문",IF(H47&lt;=VLOOKUP(C47,공급물량!$B:$M,12,0)*1.2,"적정","과잉"))))</f>
        <v>재고없음</v>
      </c>
      <c r="O47" s="391" t="str">
        <f t="shared" si="6"/>
        <v>-</v>
      </c>
      <c r="P47" s="395" t="str">
        <f t="shared" si="7"/>
        <v>긴급발주</v>
      </c>
      <c r="Q47" s="394">
        <f>_xlfn.XLOOKUP(재고분석!$C47,재고!C:C,재고!H:H)</f>
        <v>44900</v>
      </c>
      <c r="R47" s="397">
        <f t="shared" si="3"/>
        <v>0</v>
      </c>
    </row>
    <row r="48" spans="2:18" ht="22.5" customHeight="1">
      <c r="B48" s="400" t="str">
        <f>_xlfn.XLOOKUP(C48,'ABC-XYZ분석 (2)'!C:C,'ABC-XYZ분석 (2)'!B:B)</f>
        <v>단종예정</v>
      </c>
      <c r="C48" s="434" t="s">
        <v>627</v>
      </c>
      <c r="D48" s="383"/>
      <c r="E48" s="383"/>
      <c r="F48" s="384" t="str">
        <f>_xlfn.XLOOKUP(표3[[#This Row],[SKU코드]],'ABC-XYZ분석 (2)'!C:C,'ABC-XYZ분석 (2)'!AC:AC)</f>
        <v>B</v>
      </c>
      <c r="G48" s="385" t="str">
        <f>_xlfn.XLOOKUP(C48,'ABC-XYZ분석 (2)'!C:C,'ABC-XYZ분석 (2)'!AG:AG)</f>
        <v>X</v>
      </c>
      <c r="H48" s="386">
        <f>SUMIF(재고!C:C,재고분석!C48,재고!I:I)</f>
        <v>0</v>
      </c>
      <c r="I48" s="385">
        <f>SUMIF(안전재고!A:A,재고분석!$C48,안전재고!I:I)</f>
        <v>7</v>
      </c>
      <c r="J48" s="387">
        <f>SUMIF('ABC-XYZ분석 (2)'!C:C,재고분석!$C48,'ABC-XYZ분석 (2)'!X:X)</f>
        <v>70.333333333333329</v>
      </c>
      <c r="K48" s="432" t="str">
        <f>IFERROR(재고분석!$J48/재고분석!$H48,"")</f>
        <v/>
      </c>
      <c r="L48" s="432" t="str">
        <f>IFERROR(재고분석!$K48*12,"")</f>
        <v/>
      </c>
      <c r="M48" s="387">
        <f t="shared" si="5"/>
        <v>0</v>
      </c>
      <c r="N48" s="385" t="str">
        <f>IF(H48=0,"재고없음",IF(H48&lt;I48,"부족",IF(H48&lt;VLOOKUP(C48,공급물량!$B:$M,12,0)*0.8,"재주문",IF(H48&lt;=VLOOKUP(C48,공급물량!$B:$M,12,0)*1.2,"적정","과잉"))))</f>
        <v>재고없음</v>
      </c>
      <c r="O48" s="385" t="str">
        <f t="shared" si="6"/>
        <v>-</v>
      </c>
      <c r="P48" s="389" t="str">
        <f t="shared" si="7"/>
        <v>긴급발주</v>
      </c>
      <c r="Q48" s="388">
        <f>_xlfn.XLOOKUP(재고분석!$C48,재고!C:C,재고!H:H)</f>
        <v>44900</v>
      </c>
      <c r="R48" s="396">
        <f t="shared" si="3"/>
        <v>0</v>
      </c>
    </row>
    <row r="49" spans="2:18">
      <c r="B49" s="401" t="str">
        <f>_xlfn.XLOOKUP(C49,'ABC-XYZ분석 (2)'!C:C,'ABC-XYZ분석 (2)'!B:B)</f>
        <v>단종예정</v>
      </c>
      <c r="C49" s="434" t="s">
        <v>628</v>
      </c>
      <c r="D49" s="390"/>
      <c r="E49" s="390"/>
      <c r="F49" s="384" t="str">
        <f>_xlfn.XLOOKUP(표3[[#This Row],[SKU코드]],'ABC-XYZ분석 (2)'!C:C,'ABC-XYZ분석 (2)'!AC:AC)</f>
        <v>B</v>
      </c>
      <c r="G49" s="391" t="str">
        <f>_xlfn.XLOOKUP(C49,'ABC-XYZ분석 (2)'!C:C,'ABC-XYZ분석 (2)'!AG:AG)</f>
        <v>X</v>
      </c>
      <c r="H49" s="392">
        <f>SUMIF(재고!C:C,재고분석!C49,재고!I:I)</f>
        <v>6</v>
      </c>
      <c r="I49" s="391">
        <f>SUMIF(안전재고!A:A,재고분석!$C49,안전재고!I:I)</f>
        <v>13</v>
      </c>
      <c r="J49" s="393">
        <f>SUMIF('ABC-XYZ분석 (2)'!C:C,재고분석!$C49,'ABC-XYZ분석 (2)'!X:X)</f>
        <v>206.66666666666666</v>
      </c>
      <c r="K49" s="432">
        <f>IFERROR(재고분석!$J49/재고분석!$H49,"")</f>
        <v>34.444444444444443</v>
      </c>
      <c r="L49" s="432">
        <f>IFERROR(재고분석!$K49*12,"")</f>
        <v>413.33333333333331</v>
      </c>
      <c r="M49" s="393">
        <f t="shared" si="5"/>
        <v>0.87096774193548399</v>
      </c>
      <c r="N49" s="391" t="str">
        <f>IF(H49=0,"재고없음",IF(H49&lt;I49,"부족",IF(H49&lt;VLOOKUP(C49,공급물량!$B:$M,12,0)*0.8,"재주문",IF(H49&lt;=VLOOKUP(C49,공급물량!$B:$M,12,0)*1.2,"적정","과잉"))))</f>
        <v>부족</v>
      </c>
      <c r="O49" s="391" t="str">
        <f t="shared" si="6"/>
        <v>우수</v>
      </c>
      <c r="P49" s="395" t="str">
        <f t="shared" si="7"/>
        <v>긴급발주</v>
      </c>
      <c r="Q49" s="394">
        <f>_xlfn.XLOOKUP(재고분석!$C49,재고!C:C,재고!H:H)</f>
        <v>44900</v>
      </c>
      <c r="R49" s="397">
        <f t="shared" si="3"/>
        <v>269400</v>
      </c>
    </row>
    <row r="50" spans="2:18">
      <c r="B50" s="400" t="str">
        <f>_xlfn.XLOOKUP(C50,'ABC-XYZ분석 (2)'!C:C,'ABC-XYZ분석 (2)'!B:B)</f>
        <v>기존제품</v>
      </c>
      <c r="C50" s="434" t="s">
        <v>629</v>
      </c>
      <c r="D50" s="383"/>
      <c r="E50" s="383"/>
      <c r="F50" s="384" t="str">
        <f>_xlfn.XLOOKUP(표3[[#This Row],[SKU코드]],'ABC-XYZ분석 (2)'!C:C,'ABC-XYZ분석 (2)'!AC:AC)</f>
        <v>B</v>
      </c>
      <c r="G50" s="385" t="str">
        <f>_xlfn.XLOOKUP(C50,'ABC-XYZ분석 (2)'!C:C,'ABC-XYZ분석 (2)'!AG:AG)</f>
        <v>Y</v>
      </c>
      <c r="H50" s="386">
        <f>SUMIF(재고!C:C,재고분석!C50,재고!I:I)</f>
        <v>0</v>
      </c>
      <c r="I50" s="385">
        <f>SUMIF(안전재고!A:A,재고분석!$C50,안전재고!I:I)</f>
        <v>153</v>
      </c>
      <c r="J50" s="387">
        <f>SUMIF('ABC-XYZ분석 (2)'!C:C,재고분석!$C50,'ABC-XYZ분석 (2)'!X:X)</f>
        <v>1437.6666666666667</v>
      </c>
      <c r="K50" s="432" t="str">
        <f>IFERROR(재고분석!$J50/재고분석!$H50,"")</f>
        <v/>
      </c>
      <c r="L50" s="432" t="str">
        <f>IFERROR(재고분석!$K50*12,"")</f>
        <v/>
      </c>
      <c r="M50" s="387">
        <f t="shared" si="5"/>
        <v>0</v>
      </c>
      <c r="N50" s="385" t="str">
        <f>IF(H50=0,"재고없음",IF(H50&lt;I50,"부족",IF(H50&lt;VLOOKUP(C50,공급물량!$B:$M,12,0)*0.8,"재주문",IF(H50&lt;=VLOOKUP(C50,공급물량!$B:$M,12,0)*1.2,"적정","과잉"))))</f>
        <v>재고없음</v>
      </c>
      <c r="O50" s="385" t="str">
        <f t="shared" si="6"/>
        <v>-</v>
      </c>
      <c r="P50" s="389" t="str">
        <f t="shared" si="7"/>
        <v>긴급발주</v>
      </c>
      <c r="Q50" s="388">
        <f>_xlfn.XLOOKUP(재고분석!$C50,재고!C:C,재고!H:H)</f>
        <v>40000</v>
      </c>
      <c r="R50" s="396">
        <f t="shared" si="3"/>
        <v>0</v>
      </c>
    </row>
    <row r="51" spans="2:18">
      <c r="B51" s="401" t="str">
        <f>_xlfn.XLOOKUP(C51,'ABC-XYZ분석 (2)'!C:C,'ABC-XYZ분석 (2)'!B:B)</f>
        <v>기존제품</v>
      </c>
      <c r="C51" s="434" t="s">
        <v>630</v>
      </c>
      <c r="D51" s="390"/>
      <c r="E51" s="390"/>
      <c r="F51" s="384" t="str">
        <f>_xlfn.XLOOKUP(표3[[#This Row],[SKU코드]],'ABC-XYZ분석 (2)'!C:C,'ABC-XYZ분석 (2)'!AC:AC)</f>
        <v>B</v>
      </c>
      <c r="G51" s="391" t="str">
        <f>_xlfn.XLOOKUP(C51,'ABC-XYZ분석 (2)'!C:C,'ABC-XYZ분석 (2)'!AG:AG)</f>
        <v>Y</v>
      </c>
      <c r="H51" s="392">
        <f>SUMIF(재고!C:C,재고분석!C51,재고!I:I)</f>
        <v>0</v>
      </c>
      <c r="I51" s="391">
        <f>SUMIF(안전재고!A:A,재고분석!$C51,안전재고!I:I)</f>
        <v>29</v>
      </c>
      <c r="J51" s="393">
        <f>SUMIF('ABC-XYZ분석 (2)'!C:C,재고분석!$C51,'ABC-XYZ분석 (2)'!X:X)</f>
        <v>179.33333333333334</v>
      </c>
      <c r="K51" s="432" t="str">
        <f>IFERROR(재고분석!$J51/재고분석!$H51,"")</f>
        <v/>
      </c>
      <c r="L51" s="432" t="str">
        <f>IFERROR(재고분석!$K51*12,"")</f>
        <v/>
      </c>
      <c r="M51" s="393">
        <f t="shared" si="5"/>
        <v>0</v>
      </c>
      <c r="N51" s="391" t="str">
        <f>IF(H51=0,"재고없음",IF(H51&lt;I51,"부족",IF(H51&lt;VLOOKUP(C51,공급물량!$B:$M,12,0)*0.8,"재주문",IF(H51&lt;=VLOOKUP(C51,공급물량!$B:$M,12,0)*1.2,"적정","과잉"))))</f>
        <v>재고없음</v>
      </c>
      <c r="O51" s="391" t="str">
        <f t="shared" si="6"/>
        <v>-</v>
      </c>
      <c r="P51" s="395" t="str">
        <f t="shared" si="7"/>
        <v>긴급발주</v>
      </c>
      <c r="Q51" s="394">
        <f>_xlfn.XLOOKUP(재고분석!$C51,재고!C:C,재고!H:H)</f>
        <v>40000</v>
      </c>
      <c r="R51" s="397">
        <f t="shared" si="3"/>
        <v>0</v>
      </c>
    </row>
    <row r="52" spans="2:18">
      <c r="B52" s="400" t="str">
        <f>_xlfn.XLOOKUP(C52,'ABC-XYZ분석 (2)'!C:C,'ABC-XYZ분석 (2)'!B:B)</f>
        <v>기존제품</v>
      </c>
      <c r="C52" s="434" t="s">
        <v>631</v>
      </c>
      <c r="D52" s="383"/>
      <c r="E52" s="383"/>
      <c r="F52" s="384" t="str">
        <f>_xlfn.XLOOKUP(표3[[#This Row],[SKU코드]],'ABC-XYZ분석 (2)'!C:C,'ABC-XYZ분석 (2)'!AC:AC)</f>
        <v>B</v>
      </c>
      <c r="G52" s="385" t="str">
        <f>_xlfn.XLOOKUP(C52,'ABC-XYZ분석 (2)'!C:C,'ABC-XYZ분석 (2)'!AG:AG)</f>
        <v>Y</v>
      </c>
      <c r="H52" s="386">
        <f>SUMIF(재고!C:C,재고분석!C52,재고!I:I)</f>
        <v>0</v>
      </c>
      <c r="I52" s="385">
        <f>SUMIF(안전재고!A:A,재고분석!$C52,안전재고!I:I)</f>
        <v>18</v>
      </c>
      <c r="J52" s="387">
        <f>SUMIF('ABC-XYZ분석 (2)'!C:C,재고분석!$C52,'ABC-XYZ분석 (2)'!X:X)</f>
        <v>111</v>
      </c>
      <c r="K52" s="432" t="str">
        <f>IFERROR(재고분석!$J52/재고분석!$H52,"")</f>
        <v/>
      </c>
      <c r="L52" s="432" t="str">
        <f>IFERROR(재고분석!$K52*12,"")</f>
        <v/>
      </c>
      <c r="M52" s="387">
        <f t="shared" si="5"/>
        <v>0</v>
      </c>
      <c r="N52" s="385" t="str">
        <f>IF(H52=0,"재고없음",IF(H52&lt;I52,"부족",IF(H52&lt;VLOOKUP(C52,공급물량!$B:$M,12,0)*0.8,"재주문",IF(H52&lt;=VLOOKUP(C52,공급물량!$B:$M,12,0)*1.2,"적정","과잉"))))</f>
        <v>재고없음</v>
      </c>
      <c r="O52" s="385" t="str">
        <f t="shared" si="6"/>
        <v>-</v>
      </c>
      <c r="P52" s="389" t="str">
        <f t="shared" si="7"/>
        <v>긴급발주</v>
      </c>
      <c r="Q52" s="388">
        <f>_xlfn.XLOOKUP(재고분석!$C52,재고!C:C,재고!H:H)</f>
        <v>40000</v>
      </c>
      <c r="R52" s="396">
        <f t="shared" si="3"/>
        <v>0</v>
      </c>
    </row>
    <row r="53" spans="2:18">
      <c r="B53" s="401" t="str">
        <f>_xlfn.XLOOKUP(C53,'ABC-XYZ분석 (2)'!C:C,'ABC-XYZ분석 (2)'!B:B)</f>
        <v>기존제품</v>
      </c>
      <c r="C53" s="434" t="s">
        <v>632</v>
      </c>
      <c r="D53" s="390"/>
      <c r="E53" s="390"/>
      <c r="F53" s="384" t="str">
        <f>_xlfn.XLOOKUP(표3[[#This Row],[SKU코드]],'ABC-XYZ분석 (2)'!C:C,'ABC-XYZ분석 (2)'!AC:AC)</f>
        <v>B</v>
      </c>
      <c r="G53" s="391" t="str">
        <f>_xlfn.XLOOKUP(C53,'ABC-XYZ분석 (2)'!C:C,'ABC-XYZ분석 (2)'!AG:AG)</f>
        <v>Z</v>
      </c>
      <c r="H53" s="392">
        <f>SUMIF(재고!C:C,재고분석!C53,재고!I:I)</f>
        <v>199</v>
      </c>
      <c r="I53" s="391">
        <f>SUMIF(안전재고!A:A,재고분석!$C53,안전재고!I:I)</f>
        <v>150</v>
      </c>
      <c r="J53" s="393">
        <f>SUMIF('ABC-XYZ분석 (2)'!C:C,재고분석!$C53,'ABC-XYZ분석 (2)'!X:X)</f>
        <v>6</v>
      </c>
      <c r="K53" s="432">
        <f>IFERROR(재고분석!$J53/재고분석!$H53,"")</f>
        <v>3.015075376884422E-2</v>
      </c>
      <c r="L53" s="432">
        <f>IFERROR(재고분석!$K53*12,"")</f>
        <v>0.36180904522613067</v>
      </c>
      <c r="M53" s="393">
        <f t="shared" si="5"/>
        <v>995</v>
      </c>
      <c r="N53" s="391" t="str">
        <f>IF(H53=0,"재고없음",IF(H53&lt;I53,"부족",IF(H53&lt;VLOOKUP(C53,공급물량!$B:$M,12,0)*0.8,"재주문",IF(H53&lt;=VLOOKUP(C53,공급물량!$B:$M,12,0)*1.2,"적정","과잉"))))</f>
        <v>과잉</v>
      </c>
      <c r="O53" s="391" t="str">
        <f t="shared" si="6"/>
        <v>불량</v>
      </c>
      <c r="P53" s="395" t="str">
        <f t="shared" si="7"/>
        <v>판촉/할인검토</v>
      </c>
      <c r="Q53" s="394">
        <f>_xlfn.XLOOKUP(재고분석!$C53,재고!C:C,재고!H:H)</f>
        <v>22200</v>
      </c>
      <c r="R53" s="397">
        <f t="shared" si="3"/>
        <v>4417800</v>
      </c>
    </row>
    <row r="54" spans="2:18">
      <c r="B54" s="400" t="str">
        <f>_xlfn.XLOOKUP(C54,'ABC-XYZ분석 (2)'!C:C,'ABC-XYZ분석 (2)'!B:B)</f>
        <v>기존제품</v>
      </c>
      <c r="C54" s="434" t="s">
        <v>633</v>
      </c>
      <c r="D54" s="383"/>
      <c r="E54" s="383"/>
      <c r="F54" s="384" t="str">
        <f>_xlfn.XLOOKUP(표3[[#This Row],[SKU코드]],'ABC-XYZ분석 (2)'!C:C,'ABC-XYZ분석 (2)'!AC:AC)</f>
        <v>B</v>
      </c>
      <c r="G54" s="385" t="str">
        <f>_xlfn.XLOOKUP(C54,'ABC-XYZ분석 (2)'!C:C,'ABC-XYZ분석 (2)'!AG:AG)</f>
        <v>Y</v>
      </c>
      <c r="H54" s="386">
        <f>SUMIF(재고!C:C,재고분석!C54,재고!I:I)</f>
        <v>200</v>
      </c>
      <c r="I54" s="385">
        <f>SUMIF(안전재고!A:A,재고분석!$C54,안전재고!I:I)</f>
        <v>23</v>
      </c>
      <c r="J54" s="387">
        <f>SUMIF('ABC-XYZ분석 (2)'!C:C,재고분석!$C54,'ABC-XYZ분석 (2)'!X:X)</f>
        <v>113.66666666666667</v>
      </c>
      <c r="K54" s="432">
        <f>IFERROR(재고분석!$J54/재고분석!$H54,"")</f>
        <v>0.56833333333333336</v>
      </c>
      <c r="L54" s="432">
        <f>IFERROR(재고분석!$K54*12,"")</f>
        <v>6.82</v>
      </c>
      <c r="M54" s="387">
        <f t="shared" si="5"/>
        <v>52.785923753665685</v>
      </c>
      <c r="N54" s="385" t="str">
        <f>IF(H54=0,"재고없음",IF(H54&lt;I54,"부족",IF(H54&lt;VLOOKUP(C54,공급물량!$B:$M,12,0)*0.8,"재주문",IF(H54&lt;=VLOOKUP(C54,공급물량!$B:$M,12,0)*1.2,"적정","과잉"))))</f>
        <v>과잉</v>
      </c>
      <c r="O54" s="385" t="str">
        <f t="shared" si="6"/>
        <v>우수</v>
      </c>
      <c r="P54" s="389" t="str">
        <f t="shared" si="7"/>
        <v>발주축소</v>
      </c>
      <c r="Q54" s="388">
        <f>_xlfn.XLOOKUP(재고분석!$C54,재고!C:C,재고!H:H)</f>
        <v>22200</v>
      </c>
      <c r="R54" s="396">
        <f t="shared" si="3"/>
        <v>4440000</v>
      </c>
    </row>
    <row r="55" spans="2:18">
      <c r="B55" s="401" t="str">
        <f>_xlfn.XLOOKUP(C55,'ABC-XYZ분석 (2)'!C:C,'ABC-XYZ분석 (2)'!B:B)</f>
        <v>기존제품</v>
      </c>
      <c r="C55" s="434" t="s">
        <v>634</v>
      </c>
      <c r="D55" s="390"/>
      <c r="E55" s="390"/>
      <c r="F55" s="384" t="str">
        <f>_xlfn.XLOOKUP(표3[[#This Row],[SKU코드]],'ABC-XYZ분석 (2)'!C:C,'ABC-XYZ분석 (2)'!AC:AC)</f>
        <v>B</v>
      </c>
      <c r="G55" s="391" t="str">
        <f>_xlfn.XLOOKUP(C55,'ABC-XYZ분석 (2)'!C:C,'ABC-XYZ분석 (2)'!AG:AG)</f>
        <v>Y</v>
      </c>
      <c r="H55" s="392">
        <f>SUMIF(재고!C:C,재고분석!C55,재고!I:I)</f>
        <v>158</v>
      </c>
      <c r="I55" s="391">
        <f>SUMIF(안전재고!A:A,재고분석!$C55,안전재고!I:I)</f>
        <v>224</v>
      </c>
      <c r="J55" s="393">
        <f>SUMIF('ABC-XYZ분석 (2)'!C:C,재고분석!$C55,'ABC-XYZ분석 (2)'!X:X)</f>
        <v>29</v>
      </c>
      <c r="K55" s="432">
        <f>IFERROR(재고분석!$J55/재고분석!$H55,"")</f>
        <v>0.18354430379746836</v>
      </c>
      <c r="L55" s="432">
        <f>IFERROR(재고분석!$K55*12,"")</f>
        <v>2.2025316455696204</v>
      </c>
      <c r="M55" s="393">
        <f t="shared" si="5"/>
        <v>163.44827586206895</v>
      </c>
      <c r="N55" s="391" t="str">
        <f>IF(H55=0,"재고없음",IF(H55&lt;I55,"부족",IF(H55&lt;VLOOKUP(C55,공급물량!$B:$M,12,0)*0.8,"재주문",IF(H55&lt;=VLOOKUP(C55,공급물량!$B:$M,12,0)*1.2,"적정","과잉"))))</f>
        <v>부족</v>
      </c>
      <c r="O55" s="391" t="str">
        <f t="shared" si="6"/>
        <v>주의</v>
      </c>
      <c r="P55" s="395" t="str">
        <f t="shared" si="7"/>
        <v>긴급발주</v>
      </c>
      <c r="Q55" s="394">
        <f>_xlfn.XLOOKUP(재고분석!$C55,재고!C:C,재고!H:H)</f>
        <v>22200</v>
      </c>
      <c r="R55" s="397">
        <f t="shared" si="3"/>
        <v>3507600</v>
      </c>
    </row>
    <row r="56" spans="2:18">
      <c r="B56" s="400" t="str">
        <f>_xlfn.XLOOKUP(C56,'ABC-XYZ분석 (2)'!C:C,'ABC-XYZ분석 (2)'!B:B)</f>
        <v>기존제품</v>
      </c>
      <c r="C56" s="434" t="s">
        <v>635</v>
      </c>
      <c r="D56" s="383"/>
      <c r="E56" s="383"/>
      <c r="F56" s="384" t="str">
        <f>_xlfn.XLOOKUP(표3[[#This Row],[SKU코드]],'ABC-XYZ분석 (2)'!C:C,'ABC-XYZ분석 (2)'!AC:AC)</f>
        <v>B</v>
      </c>
      <c r="G56" s="385" t="str">
        <f>_xlfn.XLOOKUP(C56,'ABC-XYZ분석 (2)'!C:C,'ABC-XYZ분석 (2)'!AG:AG)</f>
        <v>X</v>
      </c>
      <c r="H56" s="386">
        <f>SUMIF(재고!C:C,재고분석!C56,재고!I:I)</f>
        <v>3</v>
      </c>
      <c r="I56" s="385">
        <f>SUMIF(안전재고!A:A,재고분석!$C56,안전재고!I:I)</f>
        <v>6</v>
      </c>
      <c r="J56" s="387">
        <f>SUMIF('ABC-XYZ분석 (2)'!C:C,재고분석!$C56,'ABC-XYZ분석 (2)'!X:X)</f>
        <v>89.333333333333329</v>
      </c>
      <c r="K56" s="432">
        <f>IFERROR(재고분석!$J56/재고분석!$H56,"")</f>
        <v>29.777777777777775</v>
      </c>
      <c r="L56" s="432">
        <f>IFERROR(재고분석!$K56*12,"")</f>
        <v>357.33333333333331</v>
      </c>
      <c r="M56" s="387">
        <f t="shared" si="5"/>
        <v>1.0074626865671643</v>
      </c>
      <c r="N56" s="385" t="str">
        <f>IF(H56=0,"재고없음",IF(H56&lt;I56,"부족",IF(H56&lt;VLOOKUP(C56,공급물량!$B:$M,12,0)*0.8,"재주문",IF(H56&lt;=VLOOKUP(C56,공급물량!$B:$M,12,0)*1.2,"적정","과잉"))))</f>
        <v>부족</v>
      </c>
      <c r="O56" s="385" t="str">
        <f t="shared" si="6"/>
        <v>우수</v>
      </c>
      <c r="P56" s="389" t="str">
        <f t="shared" si="7"/>
        <v>긴급발주</v>
      </c>
      <c r="Q56" s="388">
        <f>_xlfn.XLOOKUP(재고분석!$C56,재고!C:C,재고!H:H)</f>
        <v>33500</v>
      </c>
      <c r="R56" s="396">
        <f t="shared" si="3"/>
        <v>100500</v>
      </c>
    </row>
    <row r="57" spans="2:18">
      <c r="B57" s="401" t="str">
        <f>_xlfn.XLOOKUP(C57,'ABC-XYZ분석 (2)'!C:C,'ABC-XYZ분석 (2)'!B:B)</f>
        <v>기존제품</v>
      </c>
      <c r="C57" s="434" t="s">
        <v>636</v>
      </c>
      <c r="D57" s="390"/>
      <c r="E57" s="390"/>
      <c r="F57" s="384" t="str">
        <f>_xlfn.XLOOKUP(표3[[#This Row],[SKU코드]],'ABC-XYZ분석 (2)'!C:C,'ABC-XYZ분석 (2)'!AC:AC)</f>
        <v>B</v>
      </c>
      <c r="G57" s="391" t="str">
        <f>_xlfn.XLOOKUP(C57,'ABC-XYZ분석 (2)'!C:C,'ABC-XYZ분석 (2)'!AG:AG)</f>
        <v>X</v>
      </c>
      <c r="H57" s="392">
        <f>SUMIF(재고!C:C,재고분석!C57,재고!I:I)</f>
        <v>7</v>
      </c>
      <c r="I57" s="391">
        <f>SUMIF(안전재고!A:A,재고분석!$C57,안전재고!I:I)</f>
        <v>4</v>
      </c>
      <c r="J57" s="393">
        <f>SUMIF('ABC-XYZ분석 (2)'!C:C,재고분석!$C57,'ABC-XYZ분석 (2)'!X:X)</f>
        <v>39.666666666666664</v>
      </c>
      <c r="K57" s="432">
        <f>IFERROR(재고분석!$J57/재고분석!$H57,"")</f>
        <v>5.6666666666666661</v>
      </c>
      <c r="L57" s="432">
        <f>IFERROR(재고분석!$K57*12,"")</f>
        <v>68</v>
      </c>
      <c r="M57" s="393">
        <f t="shared" si="5"/>
        <v>5.2941176470588234</v>
      </c>
      <c r="N57" s="391" t="str">
        <f>IF(H57=0,"재고없음",IF(H57&lt;I57,"부족",IF(H57&lt;VLOOKUP(C57,공급물량!$B:$M,12,0)*0.8,"재주문",IF(H57&lt;=VLOOKUP(C57,공급물량!$B:$M,12,0)*1.2,"적정","과잉"))))</f>
        <v>재주문</v>
      </c>
      <c r="O57" s="391" t="str">
        <f t="shared" si="6"/>
        <v>우수</v>
      </c>
      <c r="P57" s="395" t="str">
        <f t="shared" si="7"/>
        <v>현상유지</v>
      </c>
      <c r="Q57" s="394">
        <f>_xlfn.XLOOKUP(재고분석!$C57,재고!C:C,재고!H:H)</f>
        <v>33500</v>
      </c>
      <c r="R57" s="397">
        <f t="shared" si="3"/>
        <v>234500</v>
      </c>
    </row>
    <row r="58" spans="2:18">
      <c r="B58" s="400" t="str">
        <f>_xlfn.XLOOKUP(C58,'ABC-XYZ분석 (2)'!C:C,'ABC-XYZ분석 (2)'!B:B)</f>
        <v>기존제품</v>
      </c>
      <c r="C58" s="434" t="s">
        <v>637</v>
      </c>
      <c r="D58" s="383"/>
      <c r="E58" s="383"/>
      <c r="F58" s="384" t="str">
        <f>_xlfn.XLOOKUP(표3[[#This Row],[SKU코드]],'ABC-XYZ분석 (2)'!C:C,'ABC-XYZ분석 (2)'!AC:AC)</f>
        <v>B</v>
      </c>
      <c r="G58" s="385" t="str">
        <f>_xlfn.XLOOKUP(C58,'ABC-XYZ분석 (2)'!C:C,'ABC-XYZ분석 (2)'!AG:AG)</f>
        <v>Y</v>
      </c>
      <c r="H58" s="386">
        <f>SUMIF(재고!C:C,재고분석!C58,재고!I:I)</f>
        <v>40</v>
      </c>
      <c r="I58" s="385">
        <f>SUMIF(안전재고!A:A,재고분석!$C58,안전재고!I:I)</f>
        <v>13</v>
      </c>
      <c r="J58" s="387">
        <f>SUMIF('ABC-XYZ분석 (2)'!C:C,재고분석!$C58,'ABC-XYZ분석 (2)'!X:X)</f>
        <v>78.333333333333329</v>
      </c>
      <c r="K58" s="432">
        <f>IFERROR(재고분석!$J58/재고분석!$H58,"")</f>
        <v>1.9583333333333333</v>
      </c>
      <c r="L58" s="432">
        <f>IFERROR(재고분석!$K58*12,"")</f>
        <v>23.5</v>
      </c>
      <c r="M58" s="387">
        <f t="shared" si="5"/>
        <v>15.319148936170212</v>
      </c>
      <c r="N58" s="385" t="str">
        <f>IF(H58=0,"재고없음",IF(H58&lt;I58,"부족",IF(H58&lt;VLOOKUP(C58,공급물량!$B:$M,12,0)*0.8,"재주문",IF(H58&lt;=VLOOKUP(C58,공급물량!$B:$M,12,0)*1.2,"적정","과잉"))))</f>
        <v>재주문</v>
      </c>
      <c r="O58" s="385" t="str">
        <f t="shared" si="6"/>
        <v>우수</v>
      </c>
      <c r="P58" s="389" t="str">
        <f t="shared" si="7"/>
        <v>현상유지</v>
      </c>
      <c r="Q58" s="388">
        <f>_xlfn.XLOOKUP(재고분석!$C58,재고!C:C,재고!H:H)</f>
        <v>33500</v>
      </c>
      <c r="R58" s="396">
        <f t="shared" si="3"/>
        <v>1340000</v>
      </c>
    </row>
    <row r="59" spans="2:18">
      <c r="B59" s="401" t="str">
        <f>_xlfn.XLOOKUP(C59,'ABC-XYZ분석 (2)'!C:C,'ABC-XYZ분석 (2)'!B:B)</f>
        <v>기존제품</v>
      </c>
      <c r="C59" s="434" t="s">
        <v>638</v>
      </c>
      <c r="D59" s="390"/>
      <c r="E59" s="390"/>
      <c r="F59" s="384" t="str">
        <f>_xlfn.XLOOKUP(표3[[#This Row],[SKU코드]],'ABC-XYZ분석 (2)'!C:C,'ABC-XYZ분석 (2)'!AC:AC)</f>
        <v>B</v>
      </c>
      <c r="G59" s="391" t="str">
        <f>_xlfn.XLOOKUP(C59,'ABC-XYZ분석 (2)'!C:C,'ABC-XYZ분석 (2)'!AG:AG)</f>
        <v>Y</v>
      </c>
      <c r="H59" s="392">
        <f>SUMIF(재고!C:C,재고분석!C59,재고!I:I)</f>
        <v>129</v>
      </c>
      <c r="I59" s="391">
        <f>SUMIF(안전재고!A:A,재고분석!$C59,안전재고!I:I)</f>
        <v>13</v>
      </c>
      <c r="J59" s="393">
        <f>SUMIF('ABC-XYZ분석 (2)'!C:C,재고분석!$C59,'ABC-XYZ분석 (2)'!X:X)</f>
        <v>62.333333333333336</v>
      </c>
      <c r="K59" s="432">
        <f>IFERROR(재고분석!$J59/재고분석!$H59,"")</f>
        <v>0.48320413436692511</v>
      </c>
      <c r="L59" s="432">
        <f>IFERROR(재고분석!$K59*12,"")</f>
        <v>5.7984496124031013</v>
      </c>
      <c r="M59" s="393">
        <f t="shared" si="5"/>
        <v>62.085561497326196</v>
      </c>
      <c r="N59" s="391" t="str">
        <f>IF(H59=0,"재고없음",IF(H59&lt;I59,"부족",IF(H59&lt;VLOOKUP(C59,공급물량!$B:$M,12,0)*0.8,"재주문",IF(H59&lt;=VLOOKUP(C59,공급물량!$B:$M,12,0)*1.2,"적정","과잉"))))</f>
        <v>과잉</v>
      </c>
      <c r="O59" s="391" t="str">
        <f t="shared" si="6"/>
        <v>적정</v>
      </c>
      <c r="P59" s="395" t="str">
        <f t="shared" si="7"/>
        <v>발주축소</v>
      </c>
      <c r="Q59" s="394">
        <f>_xlfn.XLOOKUP(재고분석!$C59,재고!C:C,재고!H:H)</f>
        <v>29600</v>
      </c>
      <c r="R59" s="397">
        <f t="shared" si="3"/>
        <v>3818400</v>
      </c>
    </row>
    <row r="60" spans="2:18">
      <c r="B60" s="400" t="str">
        <f>_xlfn.XLOOKUP(C60,'ABC-XYZ분석 (2)'!C:C,'ABC-XYZ분석 (2)'!B:B)</f>
        <v>기존제품</v>
      </c>
      <c r="C60" s="434" t="s">
        <v>639</v>
      </c>
      <c r="D60" s="383"/>
      <c r="E60" s="383"/>
      <c r="F60" s="384" t="str">
        <f>_xlfn.XLOOKUP(표3[[#This Row],[SKU코드]],'ABC-XYZ분석 (2)'!C:C,'ABC-XYZ분석 (2)'!AC:AC)</f>
        <v>B</v>
      </c>
      <c r="G60" s="385" t="str">
        <f>_xlfn.XLOOKUP(C60,'ABC-XYZ분석 (2)'!C:C,'ABC-XYZ분석 (2)'!AG:AG)</f>
        <v>Y</v>
      </c>
      <c r="H60" s="386">
        <f>SUMIF(재고!C:C,재고분석!C60,재고!I:I)</f>
        <v>60</v>
      </c>
      <c r="I60" s="385">
        <f>SUMIF(안전재고!A:A,재고분석!$C60,안전재고!I:I)</f>
        <v>12</v>
      </c>
      <c r="J60" s="387">
        <f>SUMIF('ABC-XYZ분석 (2)'!C:C,재고분석!$C60,'ABC-XYZ분석 (2)'!X:X)</f>
        <v>109</v>
      </c>
      <c r="K60" s="432">
        <f>IFERROR(재고분석!$J60/재고분석!$H60,"")</f>
        <v>1.8166666666666667</v>
      </c>
      <c r="L60" s="432">
        <f>IFERROR(재고분석!$K60*12,"")</f>
        <v>21.8</v>
      </c>
      <c r="M60" s="387">
        <f t="shared" si="5"/>
        <v>16.513761467889907</v>
      </c>
      <c r="N60" s="385" t="str">
        <f>IF(H60=0,"재고없음",IF(H60&lt;I60,"부족",IF(H60&lt;VLOOKUP(C60,공급물량!$B:$M,12,0)*0.8,"재주문",IF(H60&lt;=VLOOKUP(C60,공급물량!$B:$M,12,0)*1.2,"적정","과잉"))))</f>
        <v>재주문</v>
      </c>
      <c r="O60" s="385" t="str">
        <f t="shared" si="6"/>
        <v>우수</v>
      </c>
      <c r="P60" s="389" t="str">
        <f t="shared" si="7"/>
        <v>현상유지</v>
      </c>
      <c r="Q60" s="388">
        <f>_xlfn.XLOOKUP(재고분석!$C60,재고!C:C,재고!H:H)</f>
        <v>29600</v>
      </c>
      <c r="R60" s="396">
        <f t="shared" si="3"/>
        <v>1776000</v>
      </c>
    </row>
    <row r="61" spans="2:18">
      <c r="B61" s="401" t="str">
        <f>_xlfn.XLOOKUP(C61,'ABC-XYZ분석 (2)'!C:C,'ABC-XYZ분석 (2)'!B:B)</f>
        <v>기존제품</v>
      </c>
      <c r="C61" s="434" t="s">
        <v>640</v>
      </c>
      <c r="D61" s="390"/>
      <c r="E61" s="390"/>
      <c r="F61" s="384" t="str">
        <f>_xlfn.XLOOKUP(표3[[#This Row],[SKU코드]],'ABC-XYZ분석 (2)'!C:C,'ABC-XYZ분석 (2)'!AC:AC)</f>
        <v>B</v>
      </c>
      <c r="G61" s="391" t="str">
        <f>_xlfn.XLOOKUP(C61,'ABC-XYZ분석 (2)'!C:C,'ABC-XYZ분석 (2)'!AG:AG)</f>
        <v>Z</v>
      </c>
      <c r="H61" s="392">
        <f>SUMIF(재고!C:C,재고분석!C61,재고!I:I)</f>
        <v>115</v>
      </c>
      <c r="I61" s="391">
        <f>SUMIF(안전재고!A:A,재고분석!$C61,안전재고!I:I)</f>
        <v>59</v>
      </c>
      <c r="J61" s="393">
        <f>SUMIF('ABC-XYZ분석 (2)'!C:C,재고분석!$C61,'ABC-XYZ분석 (2)'!X:X)</f>
        <v>238</v>
      </c>
      <c r="K61" s="432">
        <f>IFERROR(재고분석!$J61/재고분석!$H61,"")</f>
        <v>2.0695652173913044</v>
      </c>
      <c r="L61" s="432">
        <f>IFERROR(재고분석!$K61*12,"")</f>
        <v>24.834782608695654</v>
      </c>
      <c r="M61" s="393">
        <f t="shared" si="5"/>
        <v>14.495798319327731</v>
      </c>
      <c r="N61" s="391" t="str">
        <f>IF(H61=0,"재고없음",IF(H61&lt;I61,"부족",IF(H61&lt;VLOOKUP(C61,공급물량!$B:$M,12,0)*0.8,"재주문",IF(H61&lt;=VLOOKUP(C61,공급물량!$B:$M,12,0)*1.2,"적정","과잉"))))</f>
        <v>재주문</v>
      </c>
      <c r="O61" s="391" t="str">
        <f t="shared" si="6"/>
        <v>우수</v>
      </c>
      <c r="P61" s="395" t="str">
        <f t="shared" si="7"/>
        <v>현상유지</v>
      </c>
      <c r="Q61" s="394">
        <f>_xlfn.XLOOKUP(재고분석!$C61,재고!C:C,재고!H:H)</f>
        <v>29600</v>
      </c>
      <c r="R61" s="397">
        <f t="shared" si="3"/>
        <v>3404000</v>
      </c>
    </row>
    <row r="62" spans="2:18">
      <c r="B62" s="400" t="str">
        <f>_xlfn.XLOOKUP(C62,'ABC-XYZ분석 (2)'!C:C,'ABC-XYZ분석 (2)'!B:B)</f>
        <v>기존제품</v>
      </c>
      <c r="C62" s="434" t="s">
        <v>641</v>
      </c>
      <c r="D62" s="383"/>
      <c r="E62" s="383"/>
      <c r="F62" s="384" t="str">
        <f>_xlfn.XLOOKUP(표3[[#This Row],[SKU코드]],'ABC-XYZ분석 (2)'!C:C,'ABC-XYZ분석 (2)'!AC:AC)</f>
        <v>B</v>
      </c>
      <c r="G62" s="385" t="str">
        <f>_xlfn.XLOOKUP(C62,'ABC-XYZ분석 (2)'!C:C,'ABC-XYZ분석 (2)'!AG:AG)</f>
        <v>Z</v>
      </c>
      <c r="H62" s="386">
        <f>SUMIF(재고!C:C,재고분석!C62,재고!I:I)</f>
        <v>0</v>
      </c>
      <c r="I62" s="385">
        <f>SUMIF(안전재고!A:A,재고분석!$C62,안전재고!I:I)</f>
        <v>140</v>
      </c>
      <c r="J62" s="387">
        <f>SUMIF('ABC-XYZ분석 (2)'!C:C,재고분석!$C62,'ABC-XYZ분석 (2)'!X:X)</f>
        <v>11.666666666666666</v>
      </c>
      <c r="K62" s="432" t="str">
        <f>IFERROR(재고분석!$J62/재고분석!$H62,"")</f>
        <v/>
      </c>
      <c r="L62" s="432" t="str">
        <f>IFERROR(재고분석!$K62*12,"")</f>
        <v/>
      </c>
      <c r="M62" s="387">
        <f t="shared" si="5"/>
        <v>0</v>
      </c>
      <c r="N62" s="385" t="str">
        <f>IF(H62=0,"재고없음",IF(H62&lt;I62,"부족",IF(H62&lt;VLOOKUP(C62,공급물량!$B:$M,12,0)*0.8,"재주문",IF(H62&lt;=VLOOKUP(C62,공급물량!$B:$M,12,0)*1.2,"적정","과잉"))))</f>
        <v>재고없음</v>
      </c>
      <c r="O62" s="385" t="str">
        <f t="shared" si="6"/>
        <v>-</v>
      </c>
      <c r="P62" s="389" t="str">
        <f t="shared" si="7"/>
        <v>긴급발주</v>
      </c>
      <c r="Q62" s="388">
        <f>_xlfn.XLOOKUP(재고분석!$C62,재고!C:C,재고!H:H)</f>
        <v>57500</v>
      </c>
      <c r="R62" s="396">
        <f t="shared" si="3"/>
        <v>0</v>
      </c>
    </row>
    <row r="63" spans="2:18">
      <c r="B63" s="401" t="str">
        <f>_xlfn.XLOOKUP(C63,'ABC-XYZ분석 (2)'!C:C,'ABC-XYZ분석 (2)'!B:B)</f>
        <v>기존제품</v>
      </c>
      <c r="C63" s="434" t="s">
        <v>642</v>
      </c>
      <c r="D63" s="390"/>
      <c r="E63" s="390"/>
      <c r="F63" s="384" t="str">
        <f>_xlfn.XLOOKUP(표3[[#This Row],[SKU코드]],'ABC-XYZ분석 (2)'!C:C,'ABC-XYZ분석 (2)'!AC:AC)</f>
        <v>B</v>
      </c>
      <c r="G63" s="391" t="str">
        <f>_xlfn.XLOOKUP(C63,'ABC-XYZ분석 (2)'!C:C,'ABC-XYZ분석 (2)'!AG:AG)</f>
        <v>Y</v>
      </c>
      <c r="H63" s="392">
        <f>SUMIF(재고!C:C,재고분석!C63,재고!I:I)</f>
        <v>0</v>
      </c>
      <c r="I63" s="391">
        <f>SUMIF(안전재고!A:A,재고분석!$C63,안전재고!I:I)</f>
        <v>13</v>
      </c>
      <c r="J63" s="393">
        <f>SUMIF('ABC-XYZ분석 (2)'!C:C,재고분석!$C63,'ABC-XYZ분석 (2)'!X:X)</f>
        <v>2.3333333333333335</v>
      </c>
      <c r="K63" s="432" t="str">
        <f>IFERROR(재고분석!$J63/재고분석!$H63,"")</f>
        <v/>
      </c>
      <c r="L63" s="432" t="str">
        <f>IFERROR(재고분석!$K63*12,"")</f>
        <v/>
      </c>
      <c r="M63" s="393">
        <f t="shared" si="5"/>
        <v>0</v>
      </c>
      <c r="N63" s="391" t="str">
        <f>IF(H63=0,"재고없음",IF(H63&lt;I63,"부족",IF(H63&lt;VLOOKUP(C63,공급물량!$B:$M,12,0)*0.8,"재주문",IF(H63&lt;=VLOOKUP(C63,공급물량!$B:$M,12,0)*1.2,"적정","과잉"))))</f>
        <v>재고없음</v>
      </c>
      <c r="O63" s="391" t="str">
        <f t="shared" si="6"/>
        <v>-</v>
      </c>
      <c r="P63" s="395" t="str">
        <f t="shared" si="7"/>
        <v>긴급발주</v>
      </c>
      <c r="Q63" s="394">
        <f>_xlfn.XLOOKUP(재고분석!$C63,재고!C:C,재고!H:H)</f>
        <v>57500</v>
      </c>
      <c r="R63" s="397">
        <f t="shared" si="3"/>
        <v>0</v>
      </c>
    </row>
    <row r="64" spans="2:18">
      <c r="B64" s="400" t="str">
        <f>_xlfn.XLOOKUP(C64,'ABC-XYZ분석 (2)'!C:C,'ABC-XYZ분석 (2)'!B:B)</f>
        <v>기존제품</v>
      </c>
      <c r="C64" s="434" t="s">
        <v>643</v>
      </c>
      <c r="D64" s="383"/>
      <c r="E64" s="383"/>
      <c r="F64" s="384" t="str">
        <f>_xlfn.XLOOKUP(표3[[#This Row],[SKU코드]],'ABC-XYZ분석 (2)'!C:C,'ABC-XYZ분석 (2)'!AC:AC)</f>
        <v>B</v>
      </c>
      <c r="G64" s="385" t="str">
        <f>_xlfn.XLOOKUP(C64,'ABC-XYZ분석 (2)'!C:C,'ABC-XYZ분석 (2)'!AG:AG)</f>
        <v>Y</v>
      </c>
      <c r="H64" s="386">
        <f>SUMIF(재고!C:C,재고분석!C64,재고!I:I)</f>
        <v>0</v>
      </c>
      <c r="I64" s="385">
        <f>SUMIF(안전재고!A:A,재고분석!$C64,안전재고!I:I)</f>
        <v>32</v>
      </c>
      <c r="J64" s="387">
        <f>SUMIF('ABC-XYZ분석 (2)'!C:C,재고분석!$C64,'ABC-XYZ분석 (2)'!X:X)</f>
        <v>219</v>
      </c>
      <c r="K64" s="432" t="str">
        <f>IFERROR(재고분석!$J64/재고분석!$H64,"")</f>
        <v/>
      </c>
      <c r="L64" s="432" t="str">
        <f>IFERROR(재고분석!$K64*12,"")</f>
        <v/>
      </c>
      <c r="M64" s="387">
        <f t="shared" si="5"/>
        <v>0</v>
      </c>
      <c r="N64" s="385" t="str">
        <f>IF(H64=0,"재고없음",IF(H64&lt;I64,"부족",IF(H64&lt;VLOOKUP(C64,공급물량!$B:$M,12,0)*0.8,"재주문",IF(H64&lt;=VLOOKUP(C64,공급물량!$B:$M,12,0)*1.2,"적정","과잉"))))</f>
        <v>재고없음</v>
      </c>
      <c r="O64" s="385" t="str">
        <f t="shared" si="6"/>
        <v>-</v>
      </c>
      <c r="P64" s="389" t="str">
        <f t="shared" si="7"/>
        <v>긴급발주</v>
      </c>
      <c r="Q64" s="388">
        <f>_xlfn.XLOOKUP(재고분석!$C64,재고!C:C,재고!H:H)</f>
        <v>57500</v>
      </c>
      <c r="R64" s="396">
        <f t="shared" si="3"/>
        <v>0</v>
      </c>
    </row>
    <row r="65" spans="2:20">
      <c r="B65" s="401" t="str">
        <f>_xlfn.XLOOKUP(C65,'ABC-XYZ분석 (2)'!C:C,'ABC-XYZ분석 (2)'!B:B)</f>
        <v>기존제품</v>
      </c>
      <c r="C65" s="434" t="s">
        <v>644</v>
      </c>
      <c r="D65" s="390"/>
      <c r="E65" s="390"/>
      <c r="F65" s="384" t="str">
        <f>_xlfn.XLOOKUP(표3[[#This Row],[SKU코드]],'ABC-XYZ분석 (2)'!C:C,'ABC-XYZ분석 (2)'!AC:AC)</f>
        <v>B</v>
      </c>
      <c r="G65" s="391" t="str">
        <f>_xlfn.XLOOKUP(C65,'ABC-XYZ분석 (2)'!C:C,'ABC-XYZ분석 (2)'!AG:AG)</f>
        <v>Z</v>
      </c>
      <c r="H65" s="392">
        <f>SUMIF(재고!C:C,재고분석!C65,재고!I:I)</f>
        <v>0</v>
      </c>
      <c r="I65" s="391">
        <f>SUMIF(안전재고!A:A,재고분석!$C65,안전재고!I:I)</f>
        <v>24</v>
      </c>
      <c r="J65" s="393">
        <f>SUMIF('ABC-XYZ분석 (2)'!C:C,재고분석!$C65,'ABC-XYZ분석 (2)'!X:X)</f>
        <v>112</v>
      </c>
      <c r="K65" s="432" t="str">
        <f>IFERROR(재고분석!$J65/재고분석!$H65,"")</f>
        <v/>
      </c>
      <c r="L65" s="432" t="str">
        <f>IFERROR(재고분석!$K65*12,"")</f>
        <v/>
      </c>
      <c r="M65" s="393">
        <f t="shared" si="5"/>
        <v>0</v>
      </c>
      <c r="N65" s="391" t="str">
        <f>IF(H65=0,"재고없음",IF(H65&lt;I65,"부족",IF(H65&lt;VLOOKUP(C65,공급물량!$B:$M,12,0)*0.8,"재주문",IF(H65&lt;=VLOOKUP(C65,공급물량!$B:$M,12,0)*1.2,"적정","과잉"))))</f>
        <v>재고없음</v>
      </c>
      <c r="O65" s="391" t="str">
        <f t="shared" si="6"/>
        <v>-</v>
      </c>
      <c r="P65" s="395" t="str">
        <f t="shared" si="7"/>
        <v>긴급발주</v>
      </c>
      <c r="Q65" s="394">
        <f>_xlfn.XLOOKUP(재고분석!$C65,재고!C:C,재고!H:H)</f>
        <v>84600</v>
      </c>
      <c r="R65" s="397">
        <f t="shared" si="3"/>
        <v>0</v>
      </c>
    </row>
    <row r="66" spans="2:20">
      <c r="B66" s="400" t="str">
        <f>_xlfn.XLOOKUP(C66,'ABC-XYZ분석 (2)'!C:C,'ABC-XYZ분석 (2)'!B:B)</f>
        <v>기존제품</v>
      </c>
      <c r="C66" s="434" t="s">
        <v>645</v>
      </c>
      <c r="D66" s="383"/>
      <c r="E66" s="383"/>
      <c r="F66" s="384" t="str">
        <f>_xlfn.XLOOKUP(표3[[#This Row],[SKU코드]],'ABC-XYZ분석 (2)'!C:C,'ABC-XYZ분석 (2)'!AC:AC)</f>
        <v>B</v>
      </c>
      <c r="G66" s="385" t="str">
        <f>_xlfn.XLOOKUP(C66,'ABC-XYZ분석 (2)'!C:C,'ABC-XYZ분석 (2)'!AG:AG)</f>
        <v>X</v>
      </c>
      <c r="H66" s="386">
        <f>SUMIF(재고!C:C,재고분석!C66,재고!I:I)</f>
        <v>0</v>
      </c>
      <c r="I66" s="385">
        <f>SUMIF(안전재고!A:A,재고분석!$C66,안전재고!I:I)</f>
        <v>6</v>
      </c>
      <c r="J66" s="387">
        <f>SUMIF('ABC-XYZ분석 (2)'!C:C,재고분석!$C66,'ABC-XYZ분석 (2)'!X:X)</f>
        <v>123</v>
      </c>
      <c r="K66" s="432" t="str">
        <f>IFERROR(재고분석!$J66/재고분석!$H66,"")</f>
        <v/>
      </c>
      <c r="L66" s="432" t="str">
        <f>IFERROR(재고분석!$K66*12,"")</f>
        <v/>
      </c>
      <c r="M66" s="387">
        <f t="shared" ref="M66:M100" si="8">IFERROR(H66/(J66/30),"")</f>
        <v>0</v>
      </c>
      <c r="N66" s="385" t="str">
        <f>IF(H66=0,"재고없음",IF(H66&lt;I66,"부족",IF(H66&lt;VLOOKUP(C66,공급물량!$B:$M,12,0)*0.8,"재주문",IF(H66&lt;=VLOOKUP(C66,공급물량!$B:$M,12,0)*1.2,"적정","과잉"))))</f>
        <v>재고없음</v>
      </c>
      <c r="O66" s="385" t="str">
        <f t="shared" ref="O66:O100" si="9">IF(H66=0,"-",IF(K66&gt;=0.5,"우수",IF(K66&gt;=0.33,"적정",IF(K66&gt;=0.17,"주의","불량"))))</f>
        <v>-</v>
      </c>
      <c r="P66" s="389" t="str">
        <f t="shared" ref="P66:P97" si="10">IF(N66="재고없음","긴급발주",IF(N66="부족","긴급발주",IF(AND(N66="재주문",OR(O66="우수",O66="적정")),"현상유지",IF(N66="재주문","발주검토",IF(AND(N66="적정",O66="불량"),"판촉검토",IF(N66="적정","현상유지",IF(AND(N66="과잉",OR(O66="우수",O66="적정")),"발주축소","판촉/할인검토")))))))</f>
        <v>긴급발주</v>
      </c>
      <c r="Q66" s="388">
        <f>_xlfn.XLOOKUP(재고분석!$C66,재고!C:C,재고!H:H)</f>
        <v>84600</v>
      </c>
      <c r="R66" s="396">
        <f t="shared" ref="R66:R100" si="11">Q66*H66</f>
        <v>0</v>
      </c>
    </row>
    <row r="67" spans="2:20">
      <c r="B67" s="401" t="str">
        <f>_xlfn.XLOOKUP(C67,'ABC-XYZ분석 (2)'!C:C,'ABC-XYZ분석 (2)'!B:B)</f>
        <v>기존제품</v>
      </c>
      <c r="C67" s="434" t="s">
        <v>646</v>
      </c>
      <c r="D67" s="390"/>
      <c r="E67" s="390"/>
      <c r="F67" s="384" t="str">
        <f>_xlfn.XLOOKUP(표3[[#This Row],[SKU코드]],'ABC-XYZ분석 (2)'!C:C,'ABC-XYZ분석 (2)'!AC:AC)</f>
        <v>B</v>
      </c>
      <c r="G67" s="391" t="str">
        <f>_xlfn.XLOOKUP(C67,'ABC-XYZ분석 (2)'!C:C,'ABC-XYZ분석 (2)'!AG:AG)</f>
        <v>Z</v>
      </c>
      <c r="H67" s="392">
        <f>SUMIF(재고!C:C,재고분석!C67,재고!I:I)</f>
        <v>0</v>
      </c>
      <c r="I67" s="391">
        <f>SUMIF(안전재고!A:A,재고분석!$C67,안전재고!I:I)</f>
        <v>105</v>
      </c>
      <c r="J67" s="393">
        <f>SUMIF('ABC-XYZ분석 (2)'!C:C,재고분석!$C67,'ABC-XYZ분석 (2)'!X:X)</f>
        <v>999.66666666666663</v>
      </c>
      <c r="K67" s="432" t="str">
        <f>IFERROR(재고분석!$J67/재고분석!$H67,"")</f>
        <v/>
      </c>
      <c r="L67" s="432" t="str">
        <f>IFERROR(재고분석!$K67*12,"")</f>
        <v/>
      </c>
      <c r="M67" s="393">
        <f t="shared" si="8"/>
        <v>0</v>
      </c>
      <c r="N67" s="391" t="str">
        <f>IF(H67=0,"재고없음",IF(H67&lt;I67,"부족",IF(H67&lt;VLOOKUP(C67,공급물량!$B:$M,12,0)*0.8,"재주문",IF(H67&lt;=VLOOKUP(C67,공급물량!$B:$M,12,0)*1.2,"적정","과잉"))))</f>
        <v>재고없음</v>
      </c>
      <c r="O67" s="391" t="str">
        <f t="shared" si="9"/>
        <v>-</v>
      </c>
      <c r="P67" s="395" t="str">
        <f t="shared" si="10"/>
        <v>긴급발주</v>
      </c>
      <c r="Q67" s="394">
        <f>_xlfn.XLOOKUP(재고분석!$C67,재고!C:C,재고!H:H)</f>
        <v>84600</v>
      </c>
      <c r="R67" s="397">
        <f t="shared" si="11"/>
        <v>0</v>
      </c>
    </row>
    <row r="68" spans="2:20">
      <c r="B68" s="400" t="str">
        <f>_xlfn.XLOOKUP(C68,'ABC-XYZ분석 (2)'!C:C,'ABC-XYZ분석 (2)'!B:B)</f>
        <v>기존제품</v>
      </c>
      <c r="C68" s="434" t="s">
        <v>647</v>
      </c>
      <c r="D68" s="383"/>
      <c r="E68" s="383"/>
      <c r="F68" s="384" t="str">
        <f>_xlfn.XLOOKUP(표3[[#This Row],[SKU코드]],'ABC-XYZ분석 (2)'!C:C,'ABC-XYZ분석 (2)'!AC:AC)</f>
        <v>B</v>
      </c>
      <c r="G68" s="385" t="str">
        <f>_xlfn.XLOOKUP(C68,'ABC-XYZ분석 (2)'!C:C,'ABC-XYZ분석 (2)'!AG:AG)</f>
        <v>Z</v>
      </c>
      <c r="H68" s="386">
        <f>SUMIF(재고!C:C,재고분석!C68,재고!I:I)</f>
        <v>0</v>
      </c>
      <c r="I68" s="385">
        <f>SUMIF(안전재고!A:A,재고분석!$C68,안전재고!I:I)</f>
        <v>239</v>
      </c>
      <c r="J68" s="387">
        <f>SUMIF('ABC-XYZ분석 (2)'!C:C,재고분석!$C68,'ABC-XYZ분석 (2)'!X:X)</f>
        <v>32</v>
      </c>
      <c r="K68" s="432" t="str">
        <f>IFERROR(재고분석!$J68/재고분석!$H68,"")</f>
        <v/>
      </c>
      <c r="L68" s="432" t="str">
        <f>IFERROR(재고분석!$K68*12,"")</f>
        <v/>
      </c>
      <c r="M68" s="387">
        <f t="shared" si="8"/>
        <v>0</v>
      </c>
      <c r="N68" s="385" t="str">
        <f>IF(H68=0,"재고없음",IF(H68&lt;I68,"부족",IF(H68&lt;VLOOKUP(C68,공급물량!$B:$M,12,0)*0.8,"재주문",IF(H68&lt;=VLOOKUP(C68,공급물량!$B:$M,12,0)*1.2,"적정","과잉"))))</f>
        <v>재고없음</v>
      </c>
      <c r="O68" s="385" t="str">
        <f t="shared" si="9"/>
        <v>-</v>
      </c>
      <c r="P68" s="389" t="str">
        <f t="shared" si="10"/>
        <v>긴급발주</v>
      </c>
      <c r="Q68" s="388">
        <f>_xlfn.XLOOKUP(재고분석!$C68,재고!C:C,재고!H:H)</f>
        <v>75800</v>
      </c>
      <c r="R68" s="396">
        <f t="shared" si="11"/>
        <v>0</v>
      </c>
      <c r="T68" s="144"/>
    </row>
    <row r="69" spans="2:20">
      <c r="B69" s="401" t="str">
        <f>_xlfn.XLOOKUP(C69,'ABC-XYZ분석 (2)'!C:C,'ABC-XYZ분석 (2)'!B:B)</f>
        <v>기존제품</v>
      </c>
      <c r="C69" s="434" t="s">
        <v>648</v>
      </c>
      <c r="D69" s="390"/>
      <c r="E69" s="390"/>
      <c r="F69" s="384" t="str">
        <f>_xlfn.XLOOKUP(표3[[#This Row],[SKU코드]],'ABC-XYZ분석 (2)'!C:C,'ABC-XYZ분석 (2)'!AC:AC)</f>
        <v>B</v>
      </c>
      <c r="G69" s="391" t="str">
        <f>_xlfn.XLOOKUP(C69,'ABC-XYZ분석 (2)'!C:C,'ABC-XYZ분석 (2)'!AG:AG)</f>
        <v>Y</v>
      </c>
      <c r="H69" s="392">
        <f>SUMIF(재고!C:C,재고분석!C69,재고!I:I)</f>
        <v>0</v>
      </c>
      <c r="I69" s="391">
        <f>SUMIF(안전재고!A:A,재고분석!$C69,안전재고!I:I)</f>
        <v>30</v>
      </c>
      <c r="J69" s="393">
        <f>SUMIF('ABC-XYZ분석 (2)'!C:C,재고분석!$C69,'ABC-XYZ분석 (2)'!X:X)</f>
        <v>242.33333333333334</v>
      </c>
      <c r="K69" s="432" t="str">
        <f>IFERROR(재고분석!$J69/재고분석!$H69,"")</f>
        <v/>
      </c>
      <c r="L69" s="432" t="str">
        <f>IFERROR(재고분석!$K69*12,"")</f>
        <v/>
      </c>
      <c r="M69" s="393">
        <f t="shared" si="8"/>
        <v>0</v>
      </c>
      <c r="N69" s="391" t="str">
        <f>IF(H69=0,"재고없음",IF(H69&lt;I69,"부족",IF(H69&lt;VLOOKUP(C69,공급물량!$B:$M,12,0)*0.8,"재주문",IF(H69&lt;=VLOOKUP(C69,공급물량!$B:$M,12,0)*1.2,"적정","과잉"))))</f>
        <v>재고없음</v>
      </c>
      <c r="O69" s="391" t="str">
        <f t="shared" si="9"/>
        <v>-</v>
      </c>
      <c r="P69" s="395" t="str">
        <f t="shared" si="10"/>
        <v>긴급발주</v>
      </c>
      <c r="Q69" s="394">
        <f>_xlfn.XLOOKUP(재고분석!$C69,재고!C:C,재고!H:H)</f>
        <v>75800</v>
      </c>
      <c r="R69" s="397">
        <f t="shared" si="11"/>
        <v>0</v>
      </c>
    </row>
    <row r="70" spans="2:20">
      <c r="B70" s="400" t="str">
        <f>_xlfn.XLOOKUP(C70,'ABC-XYZ분석 (2)'!C:C,'ABC-XYZ분석 (2)'!B:B)</f>
        <v>기존제품</v>
      </c>
      <c r="C70" s="434" t="s">
        <v>649</v>
      </c>
      <c r="D70" s="383"/>
      <c r="E70" s="383"/>
      <c r="F70" s="384" t="str">
        <f>_xlfn.XLOOKUP(표3[[#This Row],[SKU코드]],'ABC-XYZ분석 (2)'!C:C,'ABC-XYZ분석 (2)'!AC:AC)</f>
        <v>B</v>
      </c>
      <c r="G70" s="385" t="str">
        <f>_xlfn.XLOOKUP(C70,'ABC-XYZ분석 (2)'!C:C,'ABC-XYZ분석 (2)'!AG:AG)</f>
        <v>Y</v>
      </c>
      <c r="H70" s="386">
        <f>SUMIF(재고!C:C,재고분석!C70,재고!I:I)</f>
        <v>0</v>
      </c>
      <c r="I70" s="385">
        <f>SUMIF(안전재고!A:A,재고분석!$C70,안전재고!I:I)</f>
        <v>28</v>
      </c>
      <c r="J70" s="387">
        <f>SUMIF('ABC-XYZ분석 (2)'!C:C,재고분석!$C70,'ABC-XYZ분석 (2)'!X:X)</f>
        <v>143.66666666666666</v>
      </c>
      <c r="K70" s="432" t="str">
        <f>IFERROR(재고분석!$J70/재고분석!$H70,"")</f>
        <v/>
      </c>
      <c r="L70" s="432" t="str">
        <f>IFERROR(재고분석!$K70*12,"")</f>
        <v/>
      </c>
      <c r="M70" s="387">
        <f t="shared" si="8"/>
        <v>0</v>
      </c>
      <c r="N70" s="385" t="str">
        <f>IF(H70=0,"재고없음",IF(H70&lt;I70,"부족",IF(H70&lt;VLOOKUP(C70,공급물량!$B:$M,12,0)*0.8,"재주문",IF(H70&lt;=VLOOKUP(C70,공급물량!$B:$M,12,0)*1.2,"적정","과잉"))))</f>
        <v>재고없음</v>
      </c>
      <c r="O70" s="385" t="str">
        <f t="shared" si="9"/>
        <v>-</v>
      </c>
      <c r="P70" s="389" t="str">
        <f t="shared" si="10"/>
        <v>긴급발주</v>
      </c>
      <c r="Q70" s="388">
        <f>_xlfn.XLOOKUP(재고분석!$C70,재고!C:C,재고!H:H)</f>
        <v>75800</v>
      </c>
      <c r="R70" s="396">
        <f t="shared" si="11"/>
        <v>0</v>
      </c>
    </row>
    <row r="71" spans="2:20">
      <c r="B71" s="401" t="str">
        <f>_xlfn.XLOOKUP(C71,'ABC-XYZ분석 (2)'!C:C,'ABC-XYZ분석 (2)'!B:B)</f>
        <v>기존제품</v>
      </c>
      <c r="C71" s="434" t="s">
        <v>650</v>
      </c>
      <c r="D71" s="390"/>
      <c r="E71" s="390"/>
      <c r="F71" s="384" t="str">
        <f>_xlfn.XLOOKUP(표3[[#This Row],[SKU코드]],'ABC-XYZ분석 (2)'!C:C,'ABC-XYZ분석 (2)'!AC:AC)</f>
        <v>B</v>
      </c>
      <c r="G71" s="391" t="str">
        <f>_xlfn.XLOOKUP(C71,'ABC-XYZ분석 (2)'!C:C,'ABC-XYZ분석 (2)'!AG:AG)</f>
        <v>Z</v>
      </c>
      <c r="H71" s="392">
        <f>SUMIF(재고!C:C,재고분석!C71,재고!I:I)</f>
        <v>7</v>
      </c>
      <c r="I71" s="391">
        <f>SUMIF(안전재고!A:A,재고분석!$C71,안전재고!I:I)</f>
        <v>36</v>
      </c>
      <c r="J71" s="393">
        <f>SUMIF('ABC-XYZ분석 (2)'!C:C,재고분석!$C71,'ABC-XYZ분석 (2)'!X:X)</f>
        <v>149.33333333333334</v>
      </c>
      <c r="K71" s="432">
        <f>IFERROR(재고분석!$J71/재고분석!$H71,"")</f>
        <v>21.333333333333336</v>
      </c>
      <c r="L71" s="432">
        <f>IFERROR(재고분석!$K71*12,"")</f>
        <v>256</v>
      </c>
      <c r="M71" s="393">
        <f t="shared" si="8"/>
        <v>1.40625</v>
      </c>
      <c r="N71" s="391" t="str">
        <f>IF(H71=0,"재고없음",IF(H71&lt;I71,"부족",IF(H71&lt;VLOOKUP(C71,공급물량!$B:$M,12,0)*0.8,"재주문",IF(H71&lt;=VLOOKUP(C71,공급물량!$B:$M,12,0)*1.2,"적정","과잉"))))</f>
        <v>부족</v>
      </c>
      <c r="O71" s="391" t="str">
        <f t="shared" si="9"/>
        <v>우수</v>
      </c>
      <c r="P71" s="395" t="str">
        <f t="shared" si="10"/>
        <v>긴급발주</v>
      </c>
      <c r="Q71" s="394">
        <f>_xlfn.XLOOKUP(재고분석!$C71,재고!C:C,재고!H:H)</f>
        <v>37246</v>
      </c>
      <c r="R71" s="397">
        <f t="shared" si="11"/>
        <v>260722</v>
      </c>
    </row>
    <row r="72" spans="2:20">
      <c r="B72" s="400" t="str">
        <f>_xlfn.XLOOKUP(C72,'ABC-XYZ분석 (2)'!C:C,'ABC-XYZ분석 (2)'!B:B)</f>
        <v>기존제품</v>
      </c>
      <c r="C72" s="434" t="s">
        <v>651</v>
      </c>
      <c r="D72" s="383"/>
      <c r="E72" s="383"/>
      <c r="F72" s="384" t="str">
        <f>_xlfn.XLOOKUP(표3[[#This Row],[SKU코드]],'ABC-XYZ분석 (2)'!C:C,'ABC-XYZ분석 (2)'!AC:AC)</f>
        <v>B</v>
      </c>
      <c r="G72" s="385" t="str">
        <f>_xlfn.XLOOKUP(C72,'ABC-XYZ분석 (2)'!C:C,'ABC-XYZ분석 (2)'!AG:AG)</f>
        <v>Y</v>
      </c>
      <c r="H72" s="386">
        <f>SUMIF(재고!C:C,재고분석!C72,재고!I:I)</f>
        <v>197</v>
      </c>
      <c r="I72" s="385">
        <f>SUMIF(안전재고!A:A,재고분석!$C72,안전재고!I:I)</f>
        <v>11</v>
      </c>
      <c r="J72" s="387">
        <f>SUMIF('ABC-XYZ분석 (2)'!C:C,재고분석!$C72,'ABC-XYZ분석 (2)'!X:X)</f>
        <v>62.666666666666664</v>
      </c>
      <c r="K72" s="432">
        <f>IFERROR(재고분석!$J72/재고분석!$H72,"")</f>
        <v>0.31810490693739424</v>
      </c>
      <c r="L72" s="432">
        <f>IFERROR(재고분석!$K72*12,"")</f>
        <v>3.8172588832487309</v>
      </c>
      <c r="M72" s="387">
        <f t="shared" si="8"/>
        <v>94.308510638297861</v>
      </c>
      <c r="N72" s="385" t="str">
        <f>IF(H72=0,"재고없음",IF(H72&lt;I72,"부족",IF(H72&lt;VLOOKUP(C72,공급물량!$B:$M,12,0)*0.8,"재주문",IF(H72&lt;=VLOOKUP(C72,공급물량!$B:$M,12,0)*1.2,"적정","과잉"))))</f>
        <v>과잉</v>
      </c>
      <c r="O72" s="385" t="str">
        <f t="shared" si="9"/>
        <v>주의</v>
      </c>
      <c r="P72" s="389" t="str">
        <f t="shared" si="10"/>
        <v>판촉/할인검토</v>
      </c>
      <c r="Q72" s="388">
        <f>_xlfn.XLOOKUP(재고분석!$C72,재고!C:C,재고!H:H)</f>
        <v>48084</v>
      </c>
      <c r="R72" s="396">
        <f t="shared" si="11"/>
        <v>9472548</v>
      </c>
    </row>
    <row r="73" spans="2:20">
      <c r="B73" s="401" t="str">
        <f>_xlfn.XLOOKUP(C73,'ABC-XYZ분석 (2)'!C:C,'ABC-XYZ분석 (2)'!B:B)</f>
        <v>기존제품</v>
      </c>
      <c r="C73" s="434" t="s">
        <v>652</v>
      </c>
      <c r="D73" s="390"/>
      <c r="E73" s="390"/>
      <c r="F73" s="384" t="str">
        <f>_xlfn.XLOOKUP(표3[[#This Row],[SKU코드]],'ABC-XYZ분석 (2)'!C:C,'ABC-XYZ분석 (2)'!AC:AC)</f>
        <v>C</v>
      </c>
      <c r="G73" s="391" t="str">
        <f>_xlfn.XLOOKUP(C73,'ABC-XYZ분석 (2)'!C:C,'ABC-XYZ분석 (2)'!AG:AG)</f>
        <v>Y</v>
      </c>
      <c r="H73" s="392">
        <f>SUMIF(재고!C:C,재고분석!C73,재고!I:I)</f>
        <v>101</v>
      </c>
      <c r="I73" s="391">
        <f>SUMIF(안전재고!A:A,재고분석!$C73,안전재고!I:I)</f>
        <v>57</v>
      </c>
      <c r="J73" s="393">
        <f>SUMIF('ABC-XYZ분석 (2)'!C:C,재고분석!$C73,'ABC-XYZ분석 (2)'!X:X)</f>
        <v>429.33333333333331</v>
      </c>
      <c r="K73" s="432">
        <f>IFERROR(재고분석!$J73/재고분석!$H73,"")</f>
        <v>4.2508250825082508</v>
      </c>
      <c r="L73" s="432">
        <f>IFERROR(재고분석!$K73*12,"")</f>
        <v>51.009900990099013</v>
      </c>
      <c r="M73" s="393">
        <f t="shared" si="8"/>
        <v>7.0574534161490687</v>
      </c>
      <c r="N73" s="391" t="str">
        <f>IF(H73=0,"재고없음",IF(H73&lt;I73,"부족",IF(H73&lt;VLOOKUP(C73,공급물량!$B:$M,12,0)*0.8,"재주문",IF(H73&lt;=VLOOKUP(C73,공급물량!$B:$M,12,0)*1.2,"적정","과잉"))))</f>
        <v>재주문</v>
      </c>
      <c r="O73" s="391" t="str">
        <f t="shared" si="9"/>
        <v>우수</v>
      </c>
      <c r="P73" s="395" t="str">
        <f t="shared" si="10"/>
        <v>현상유지</v>
      </c>
      <c r="Q73" s="394">
        <f>_xlfn.XLOOKUP(재고분석!$C73,재고!C:C,재고!H:H)</f>
        <v>53713</v>
      </c>
      <c r="R73" s="397">
        <f t="shared" si="11"/>
        <v>5425013</v>
      </c>
    </row>
    <row r="74" spans="2:20">
      <c r="B74" s="400" t="str">
        <f>_xlfn.XLOOKUP(C74,'ABC-XYZ분석 (2)'!C:C,'ABC-XYZ분석 (2)'!B:B)</f>
        <v>기존제품</v>
      </c>
      <c r="C74" s="434" t="s">
        <v>653</v>
      </c>
      <c r="D74" s="383"/>
      <c r="E74" s="383"/>
      <c r="F74" s="384" t="str">
        <f>_xlfn.XLOOKUP(표3[[#This Row],[SKU코드]],'ABC-XYZ분석 (2)'!C:C,'ABC-XYZ분석 (2)'!AC:AC)</f>
        <v>C</v>
      </c>
      <c r="G74" s="385" t="str">
        <f>_xlfn.XLOOKUP(C74,'ABC-XYZ분석 (2)'!C:C,'ABC-XYZ분석 (2)'!AG:AG)</f>
        <v>Z</v>
      </c>
      <c r="H74" s="386">
        <f>SUMIF(재고!C:C,재고분석!C74,재고!I:I)</f>
        <v>138</v>
      </c>
      <c r="I74" s="385">
        <f>SUMIF(안전재고!A:A,재고분석!$C74,안전재고!I:I)</f>
        <v>23</v>
      </c>
      <c r="J74" s="387">
        <f>SUMIF('ABC-XYZ분석 (2)'!C:C,재고분석!$C74,'ABC-XYZ분석 (2)'!X:X)</f>
        <v>213</v>
      </c>
      <c r="K74" s="432">
        <f>IFERROR(재고분석!$J74/재고분석!$H74,"")</f>
        <v>1.5434782608695652</v>
      </c>
      <c r="L74" s="432">
        <f>IFERROR(재고분석!$K74*12,"")</f>
        <v>18.521739130434781</v>
      </c>
      <c r="M74" s="387">
        <f t="shared" si="8"/>
        <v>19.43661971830986</v>
      </c>
      <c r="N74" s="385" t="str">
        <f>IF(H74=0,"재고없음",IF(H74&lt;I74,"부족",IF(H74&lt;VLOOKUP(C74,공급물량!$B:$M,12,0)*0.8,"재주문",IF(H74&lt;=VLOOKUP(C74,공급물량!$B:$M,12,0)*1.2,"적정","과잉"))))</f>
        <v>적정</v>
      </c>
      <c r="O74" s="385" t="str">
        <f t="shared" si="9"/>
        <v>우수</v>
      </c>
      <c r="P74" s="389" t="str">
        <f t="shared" si="10"/>
        <v>현상유지</v>
      </c>
      <c r="Q74" s="388">
        <f>_xlfn.XLOOKUP(재고분석!$C74,재고!C:C,재고!H:H)</f>
        <v>37246</v>
      </c>
      <c r="R74" s="396">
        <f t="shared" si="11"/>
        <v>5139948</v>
      </c>
    </row>
    <row r="75" spans="2:20">
      <c r="B75" s="401" t="str">
        <f>_xlfn.XLOOKUP(C75,'ABC-XYZ분석 (2)'!C:C,'ABC-XYZ분석 (2)'!B:B)</f>
        <v>기존제품</v>
      </c>
      <c r="C75" s="434" t="s">
        <v>654</v>
      </c>
      <c r="D75" s="390"/>
      <c r="E75" s="390"/>
      <c r="F75" s="384" t="str">
        <f>_xlfn.XLOOKUP(표3[[#This Row],[SKU코드]],'ABC-XYZ분석 (2)'!C:C,'ABC-XYZ분석 (2)'!AC:AC)</f>
        <v>C</v>
      </c>
      <c r="G75" s="391" t="str">
        <f>_xlfn.XLOOKUP(C75,'ABC-XYZ분석 (2)'!C:C,'ABC-XYZ분석 (2)'!AG:AG)</f>
        <v>Y</v>
      </c>
      <c r="H75" s="392">
        <f>SUMIF(재고!C:C,재고분석!C75,재고!I:I)</f>
        <v>150</v>
      </c>
      <c r="I75" s="391">
        <f>SUMIF(안전재고!A:A,재고분석!$C75,안전재고!I:I)</f>
        <v>8</v>
      </c>
      <c r="J75" s="393">
        <f>SUMIF('ABC-XYZ분석 (2)'!C:C,재고분석!$C75,'ABC-XYZ분석 (2)'!X:X)</f>
        <v>88.666666666666671</v>
      </c>
      <c r="K75" s="432">
        <f>IFERROR(재고분석!$J75/재고분석!$H75,"")</f>
        <v>0.59111111111111114</v>
      </c>
      <c r="L75" s="432">
        <f>IFERROR(재고분석!$K75*12,"")</f>
        <v>7.0933333333333337</v>
      </c>
      <c r="M75" s="393">
        <f t="shared" si="8"/>
        <v>50.751879699248114</v>
      </c>
      <c r="N75" s="391" t="str">
        <f>IF(H75=0,"재고없음",IF(H75&lt;I75,"부족",IF(H75&lt;VLOOKUP(C75,공급물량!$B:$M,12,0)*0.8,"재주문",IF(H75&lt;=VLOOKUP(C75,공급물량!$B:$M,12,0)*1.2,"적정","과잉"))))</f>
        <v>과잉</v>
      </c>
      <c r="O75" s="391" t="str">
        <f t="shared" si="9"/>
        <v>우수</v>
      </c>
      <c r="P75" s="395" t="str">
        <f t="shared" si="10"/>
        <v>발주축소</v>
      </c>
      <c r="Q75" s="394">
        <f>_xlfn.XLOOKUP(재고분석!$C75,재고!C:C,재고!H:H)</f>
        <v>48084</v>
      </c>
      <c r="R75" s="397">
        <f t="shared" si="11"/>
        <v>7212600</v>
      </c>
    </row>
    <row r="76" spans="2:20">
      <c r="B76" s="400" t="str">
        <f>_xlfn.XLOOKUP(C76,'ABC-XYZ분석 (2)'!C:C,'ABC-XYZ분석 (2)'!B:B)</f>
        <v>기존제품</v>
      </c>
      <c r="C76" s="434" t="s">
        <v>655</v>
      </c>
      <c r="D76" s="383"/>
      <c r="E76" s="383"/>
      <c r="F76" s="384" t="str">
        <f>_xlfn.XLOOKUP(표3[[#This Row],[SKU코드]],'ABC-XYZ분석 (2)'!C:C,'ABC-XYZ분석 (2)'!AC:AC)</f>
        <v>C</v>
      </c>
      <c r="G76" s="385" t="str">
        <f>_xlfn.XLOOKUP(C76,'ABC-XYZ분석 (2)'!C:C,'ABC-XYZ분석 (2)'!AG:AG)</f>
        <v>Z</v>
      </c>
      <c r="H76" s="386">
        <f>SUMIF(재고!C:C,재고분석!C76,재고!I:I)</f>
        <v>34</v>
      </c>
      <c r="I76" s="385">
        <f>SUMIF(안전재고!A:A,재고분석!$C76,안전재고!I:I)</f>
        <v>21</v>
      </c>
      <c r="J76" s="387">
        <f>SUMIF('ABC-XYZ분석 (2)'!C:C,재고분석!$C76,'ABC-XYZ분석 (2)'!X:X)</f>
        <v>260.33333333333331</v>
      </c>
      <c r="K76" s="432">
        <f>IFERROR(재고분석!$J76/재고분석!$H76,"")</f>
        <v>7.6568627450980387</v>
      </c>
      <c r="L76" s="432">
        <f>IFERROR(재고분석!$K76*12,"")</f>
        <v>91.882352941176464</v>
      </c>
      <c r="M76" s="387">
        <f t="shared" si="8"/>
        <v>3.9180537772087072</v>
      </c>
      <c r="N76" s="385" t="str">
        <f>IF(H76=0,"재고없음",IF(H76&lt;I76,"부족",IF(H76&lt;VLOOKUP(C76,공급물량!$B:$M,12,0)*0.8,"재주문",IF(H76&lt;=VLOOKUP(C76,공급물량!$B:$M,12,0)*1.2,"적정","과잉"))))</f>
        <v>재주문</v>
      </c>
      <c r="O76" s="385" t="str">
        <f t="shared" si="9"/>
        <v>우수</v>
      </c>
      <c r="P76" s="389" t="str">
        <f t="shared" si="10"/>
        <v>현상유지</v>
      </c>
      <c r="Q76" s="388">
        <f>_xlfn.XLOOKUP(재고분석!$C76,재고!C:C,재고!H:H)</f>
        <v>53713</v>
      </c>
      <c r="R76" s="396">
        <f t="shared" si="11"/>
        <v>1826242</v>
      </c>
    </row>
    <row r="77" spans="2:20">
      <c r="B77" s="401" t="str">
        <f>_xlfn.XLOOKUP(C77,'ABC-XYZ분석 (2)'!C:C,'ABC-XYZ분석 (2)'!B:B)</f>
        <v>기존제품</v>
      </c>
      <c r="C77" s="434" t="s">
        <v>656</v>
      </c>
      <c r="D77" s="390"/>
      <c r="E77" s="390"/>
      <c r="F77" s="384" t="str">
        <f>_xlfn.XLOOKUP(표3[[#This Row],[SKU코드]],'ABC-XYZ분석 (2)'!C:C,'ABC-XYZ분석 (2)'!AC:AC)</f>
        <v>C</v>
      </c>
      <c r="G77" s="391" t="str">
        <f>_xlfn.XLOOKUP(C77,'ABC-XYZ분석 (2)'!C:C,'ABC-XYZ분석 (2)'!AG:AG)</f>
        <v>Y</v>
      </c>
      <c r="H77" s="392">
        <f>SUMIF(재고!C:C,재고분석!C77,재고!I:I)</f>
        <v>45</v>
      </c>
      <c r="I77" s="391">
        <f>SUMIF(안전재고!A:A,재고분석!$C77,안전재고!I:I)</f>
        <v>5</v>
      </c>
      <c r="J77" s="393">
        <f>SUMIF('ABC-XYZ분석 (2)'!C:C,재고분석!$C77,'ABC-XYZ분석 (2)'!X:X)</f>
        <v>21.333333333333332</v>
      </c>
      <c r="K77" s="432">
        <f>IFERROR(재고분석!$J77/재고분석!$H77,"")</f>
        <v>0.47407407407407404</v>
      </c>
      <c r="L77" s="432">
        <f>IFERROR(재고분석!$K77*12,"")</f>
        <v>5.6888888888888882</v>
      </c>
      <c r="M77" s="393">
        <f t="shared" si="8"/>
        <v>63.281250000000007</v>
      </c>
      <c r="N77" s="391" t="str">
        <f>IF(H77=0,"재고없음",IF(H77&lt;I77,"부족",IF(H77&lt;VLOOKUP(C77,공급물량!$B:$M,12,0)*0.8,"재주문",IF(H77&lt;=VLOOKUP(C77,공급물량!$B:$M,12,0)*1.2,"적정","과잉"))))</f>
        <v>과잉</v>
      </c>
      <c r="O77" s="391" t="str">
        <f t="shared" si="9"/>
        <v>적정</v>
      </c>
      <c r="P77" s="395" t="str">
        <f t="shared" si="10"/>
        <v>발주축소</v>
      </c>
      <c r="Q77" s="394">
        <f>_xlfn.XLOOKUP(재고분석!$C77,재고!C:C,재고!H:H)</f>
        <v>37246</v>
      </c>
      <c r="R77" s="397">
        <f t="shared" si="11"/>
        <v>1676070</v>
      </c>
    </row>
    <row r="78" spans="2:20">
      <c r="B78" s="400" t="str">
        <f>_xlfn.XLOOKUP(C78,'ABC-XYZ분석 (2)'!C:C,'ABC-XYZ분석 (2)'!B:B)</f>
        <v>기존제품</v>
      </c>
      <c r="C78" s="434" t="s">
        <v>657</v>
      </c>
      <c r="D78" s="383"/>
      <c r="E78" s="383"/>
      <c r="F78" s="384" t="str">
        <f>_xlfn.XLOOKUP(표3[[#This Row],[SKU코드]],'ABC-XYZ분석 (2)'!C:C,'ABC-XYZ분석 (2)'!AC:AC)</f>
        <v>C</v>
      </c>
      <c r="G78" s="385" t="str">
        <f>_xlfn.XLOOKUP(C78,'ABC-XYZ분석 (2)'!C:C,'ABC-XYZ분석 (2)'!AG:AG)</f>
        <v>X</v>
      </c>
      <c r="H78" s="386">
        <f>SUMIF(재고!C:C,재고분석!C78,재고!I:I)</f>
        <v>190</v>
      </c>
      <c r="I78" s="385">
        <f>SUMIF(안전재고!A:A,재고분석!$C78,안전재고!I:I)</f>
        <v>37</v>
      </c>
      <c r="J78" s="387">
        <f>SUMIF('ABC-XYZ분석 (2)'!C:C,재고분석!$C78,'ABC-XYZ분석 (2)'!X:X)</f>
        <v>466</v>
      </c>
      <c r="K78" s="432">
        <f>IFERROR(재고분석!$J78/재고분석!$H78,"")</f>
        <v>2.4526315789473685</v>
      </c>
      <c r="L78" s="432">
        <f>IFERROR(재고분석!$K78*12,"")</f>
        <v>29.431578947368422</v>
      </c>
      <c r="M78" s="387">
        <f t="shared" si="8"/>
        <v>12.231759656652361</v>
      </c>
      <c r="N78" s="385" t="str">
        <f>IF(H78=0,"재고없음",IF(H78&lt;I78,"부족",IF(H78&lt;VLOOKUP(C78,공급물량!$B:$M,12,0)*0.8,"재주문",IF(H78&lt;=VLOOKUP(C78,공급물량!$B:$M,12,0)*1.2,"적정","과잉"))))</f>
        <v>재주문</v>
      </c>
      <c r="O78" s="385" t="str">
        <f t="shared" si="9"/>
        <v>우수</v>
      </c>
      <c r="P78" s="389" t="str">
        <f t="shared" si="10"/>
        <v>현상유지</v>
      </c>
      <c r="Q78" s="388">
        <f>_xlfn.XLOOKUP(재고분석!$C78,재고!C:C,재고!H:H)</f>
        <v>48084</v>
      </c>
      <c r="R78" s="396">
        <f t="shared" si="11"/>
        <v>9135960</v>
      </c>
    </row>
    <row r="79" spans="2:20">
      <c r="B79" s="401" t="str">
        <f>_xlfn.XLOOKUP(C79,'ABC-XYZ분석 (2)'!C:C,'ABC-XYZ분석 (2)'!B:B)</f>
        <v>기존제품</v>
      </c>
      <c r="C79" s="434" t="s">
        <v>658</v>
      </c>
      <c r="D79" s="390"/>
      <c r="E79" s="390"/>
      <c r="F79" s="384" t="str">
        <f>_xlfn.XLOOKUP(표3[[#This Row],[SKU코드]],'ABC-XYZ분석 (2)'!C:C,'ABC-XYZ분석 (2)'!AC:AC)</f>
        <v>C</v>
      </c>
      <c r="G79" s="391" t="str">
        <f>_xlfn.XLOOKUP(C79,'ABC-XYZ분석 (2)'!C:C,'ABC-XYZ분석 (2)'!AG:AG)</f>
        <v>X</v>
      </c>
      <c r="H79" s="392">
        <f>SUMIF(재고!C:C,재고분석!C79,재고!I:I)</f>
        <v>37</v>
      </c>
      <c r="I79" s="391">
        <f>SUMIF(안전재고!A:A,재고분석!$C79,안전재고!I:I)</f>
        <v>4</v>
      </c>
      <c r="J79" s="393">
        <f>SUMIF('ABC-XYZ분석 (2)'!C:C,재고분석!$C79,'ABC-XYZ분석 (2)'!X:X)</f>
        <v>58.666666666666664</v>
      </c>
      <c r="K79" s="432">
        <f>IFERROR(재고분석!$J79/재고분석!$H79,"")</f>
        <v>1.5855855855855856</v>
      </c>
      <c r="L79" s="432">
        <f>IFERROR(재고분석!$K79*12,"")</f>
        <v>19.027027027027028</v>
      </c>
      <c r="M79" s="393">
        <f t="shared" si="8"/>
        <v>18.920454545454547</v>
      </c>
      <c r="N79" s="391" t="str">
        <f>IF(H79=0,"재고없음",IF(H79&lt;I79,"부족",IF(H79&lt;VLOOKUP(C79,공급물량!$B:$M,12,0)*0.8,"재주문",IF(H79&lt;=VLOOKUP(C79,공급물량!$B:$M,12,0)*1.2,"적정","과잉"))))</f>
        <v>재주문</v>
      </c>
      <c r="O79" s="391" t="str">
        <f t="shared" si="9"/>
        <v>우수</v>
      </c>
      <c r="P79" s="395" t="str">
        <f t="shared" si="10"/>
        <v>현상유지</v>
      </c>
      <c r="Q79" s="394">
        <f>_xlfn.XLOOKUP(재고분석!$C79,재고!C:C,재고!H:H)</f>
        <v>53713</v>
      </c>
      <c r="R79" s="397">
        <f t="shared" si="11"/>
        <v>1987381</v>
      </c>
    </row>
    <row r="80" spans="2:20">
      <c r="B80" s="400" t="str">
        <f>_xlfn.XLOOKUP(C80,'ABC-XYZ분석 (2)'!C:C,'ABC-XYZ분석 (2)'!B:B)</f>
        <v>기존제품</v>
      </c>
      <c r="C80" s="434" t="s">
        <v>659</v>
      </c>
      <c r="D80" s="383"/>
      <c r="E80" s="383"/>
      <c r="F80" s="384" t="str">
        <f>_xlfn.XLOOKUP(표3[[#This Row],[SKU코드]],'ABC-XYZ분석 (2)'!C:C,'ABC-XYZ분석 (2)'!AC:AC)</f>
        <v>C</v>
      </c>
      <c r="G80" s="385" t="str">
        <f>_xlfn.XLOOKUP(C80,'ABC-XYZ분석 (2)'!C:C,'ABC-XYZ분석 (2)'!AG:AG)</f>
        <v>Y</v>
      </c>
      <c r="H80" s="386">
        <f>SUMIF(재고!C:C,재고분석!C80,재고!I:I)</f>
        <v>2</v>
      </c>
      <c r="I80" s="385">
        <f>SUMIF(안전재고!A:A,재고분석!$C80,안전재고!I:I)</f>
        <v>65</v>
      </c>
      <c r="J80" s="387">
        <f>SUMIF('ABC-XYZ분석 (2)'!C:C,재고분석!$C80,'ABC-XYZ분석 (2)'!X:X)</f>
        <v>716.33333333333337</v>
      </c>
      <c r="K80" s="432">
        <f>IFERROR(재고분석!$J80/재고분석!$H80,"")</f>
        <v>358.16666666666669</v>
      </c>
      <c r="L80" s="432">
        <f>IFERROR(재고분석!$K80*12,"")</f>
        <v>4298</v>
      </c>
      <c r="M80" s="387">
        <f t="shared" si="8"/>
        <v>8.3759888320148898E-2</v>
      </c>
      <c r="N80" s="385" t="str">
        <f>IF(H80=0,"재고없음",IF(H80&lt;I80,"부족",IF(H80&lt;VLOOKUP(C80,공급물량!$B:$M,12,0)*0.8,"재주문",IF(H80&lt;=VLOOKUP(C80,공급물량!$B:$M,12,0)*1.2,"적정","과잉"))))</f>
        <v>부족</v>
      </c>
      <c r="O80" s="385" t="str">
        <f t="shared" si="9"/>
        <v>우수</v>
      </c>
      <c r="P80" s="389" t="str">
        <f t="shared" si="10"/>
        <v>긴급발주</v>
      </c>
      <c r="Q80" s="388">
        <f>_xlfn.XLOOKUP(재고분석!$C80,재고!C:C,재고!H:H)</f>
        <v>37246</v>
      </c>
      <c r="R80" s="396">
        <f t="shared" si="11"/>
        <v>74492</v>
      </c>
    </row>
    <row r="81" spans="2:18">
      <c r="B81" s="401" t="str">
        <f>_xlfn.XLOOKUP(C81,'ABC-XYZ분석 (2)'!C:C,'ABC-XYZ분석 (2)'!B:B)</f>
        <v>기존제품</v>
      </c>
      <c r="C81" s="434" t="s">
        <v>660</v>
      </c>
      <c r="D81" s="390"/>
      <c r="E81" s="390"/>
      <c r="F81" s="384" t="str">
        <f>_xlfn.XLOOKUP(표3[[#This Row],[SKU코드]],'ABC-XYZ분석 (2)'!C:C,'ABC-XYZ분석 (2)'!AC:AC)</f>
        <v>C</v>
      </c>
      <c r="G81" s="391" t="str">
        <f>_xlfn.XLOOKUP(C81,'ABC-XYZ분석 (2)'!C:C,'ABC-XYZ분석 (2)'!AG:AG)</f>
        <v>Z</v>
      </c>
      <c r="H81" s="392">
        <f>SUMIF(재고!C:C,재고분석!C81,재고!I:I)</f>
        <v>0</v>
      </c>
      <c r="I81" s="391">
        <f>SUMIF(안전재고!A:A,재고분석!$C81,안전재고!I:I)</f>
        <v>15</v>
      </c>
      <c r="J81" s="393">
        <f>SUMIF('ABC-XYZ분석 (2)'!C:C,재고분석!$C81,'ABC-XYZ분석 (2)'!X:X)</f>
        <v>125.33333333333333</v>
      </c>
      <c r="K81" s="432" t="str">
        <f>IFERROR(재고분석!$J81/재고분석!$H81,"")</f>
        <v/>
      </c>
      <c r="L81" s="432" t="str">
        <f>IFERROR(재고분석!$K81*12,"")</f>
        <v/>
      </c>
      <c r="M81" s="393">
        <f t="shared" si="8"/>
        <v>0</v>
      </c>
      <c r="N81" s="391" t="str">
        <f>IF(H81=0,"재고없음",IF(H81&lt;I81,"부족",IF(H81&lt;VLOOKUP(C81,공급물량!$B:$M,12,0)*0.8,"재주문",IF(H81&lt;=VLOOKUP(C81,공급물량!$B:$M,12,0)*1.2,"적정","과잉"))))</f>
        <v>재고없음</v>
      </c>
      <c r="O81" s="391" t="str">
        <f t="shared" si="9"/>
        <v>-</v>
      </c>
      <c r="P81" s="395" t="str">
        <f t="shared" si="10"/>
        <v>긴급발주</v>
      </c>
      <c r="Q81" s="394">
        <f>_xlfn.XLOOKUP(재고분석!$C81,재고!C:C,재고!H:H)</f>
        <v>48084</v>
      </c>
      <c r="R81" s="397">
        <f t="shared" si="11"/>
        <v>0</v>
      </c>
    </row>
    <row r="82" spans="2:18">
      <c r="B82" s="400" t="str">
        <f>_xlfn.XLOOKUP(C82,'ABC-XYZ분석 (2)'!C:C,'ABC-XYZ분석 (2)'!B:B)</f>
        <v>기존제품</v>
      </c>
      <c r="C82" s="434" t="s">
        <v>661</v>
      </c>
      <c r="D82" s="383"/>
      <c r="E82" s="383"/>
      <c r="F82" s="384" t="str">
        <f>_xlfn.XLOOKUP(표3[[#This Row],[SKU코드]],'ABC-XYZ분석 (2)'!C:C,'ABC-XYZ분석 (2)'!AC:AC)</f>
        <v>C</v>
      </c>
      <c r="G82" s="385" t="str">
        <f>_xlfn.XLOOKUP(C82,'ABC-XYZ분석 (2)'!C:C,'ABC-XYZ분석 (2)'!AG:AG)</f>
        <v>Y</v>
      </c>
      <c r="H82" s="386">
        <f>SUMIF(재고!C:C,재고분석!C82,재고!I:I)</f>
        <v>1</v>
      </c>
      <c r="I82" s="385">
        <f>SUMIF(안전재고!A:A,재고분석!$C82,안전재고!I:I)</f>
        <v>12</v>
      </c>
      <c r="J82" s="387">
        <f>SUMIF('ABC-XYZ분석 (2)'!C:C,재고분석!$C82,'ABC-XYZ분석 (2)'!X:X)</f>
        <v>82.333333333333329</v>
      </c>
      <c r="K82" s="432">
        <f>IFERROR(재고분석!$J82/재고분석!$H82,"")</f>
        <v>82.333333333333329</v>
      </c>
      <c r="L82" s="432">
        <f>IFERROR(재고분석!$K82*12,"")</f>
        <v>988</v>
      </c>
      <c r="M82" s="387">
        <f t="shared" si="8"/>
        <v>0.36437246963562753</v>
      </c>
      <c r="N82" s="385" t="str">
        <f>IF(H82=0,"재고없음",IF(H82&lt;I82,"부족",IF(H82&lt;VLOOKUP(C82,공급물량!$B:$M,12,0)*0.8,"재주문",IF(H82&lt;=VLOOKUP(C82,공급물량!$B:$M,12,0)*1.2,"적정","과잉"))))</f>
        <v>부족</v>
      </c>
      <c r="O82" s="385" t="str">
        <f t="shared" si="9"/>
        <v>우수</v>
      </c>
      <c r="P82" s="389" t="str">
        <f t="shared" si="10"/>
        <v>긴급발주</v>
      </c>
      <c r="Q82" s="388">
        <f>_xlfn.XLOOKUP(재고분석!$C82,재고!C:C,재고!H:H)</f>
        <v>53713</v>
      </c>
      <c r="R82" s="396">
        <f t="shared" si="11"/>
        <v>53713</v>
      </c>
    </row>
    <row r="83" spans="2:18">
      <c r="B83" s="401" t="str">
        <f>_xlfn.XLOOKUP(C83,'ABC-XYZ분석 (2)'!C:C,'ABC-XYZ분석 (2)'!B:B)</f>
        <v>기존제품</v>
      </c>
      <c r="C83" s="434" t="s">
        <v>662</v>
      </c>
      <c r="D83" s="390"/>
      <c r="E83" s="390"/>
      <c r="F83" s="384" t="str">
        <f>_xlfn.XLOOKUP(표3[[#This Row],[SKU코드]],'ABC-XYZ분석 (2)'!C:C,'ABC-XYZ분석 (2)'!AC:AC)</f>
        <v>C</v>
      </c>
      <c r="G83" s="391" t="str">
        <f>_xlfn.XLOOKUP(C83,'ABC-XYZ분석 (2)'!C:C,'ABC-XYZ분석 (2)'!AG:AG)</f>
        <v>Y</v>
      </c>
      <c r="H83" s="392">
        <f>SUMIF(재고!C:C,재고분석!C83,재고!I:I)</f>
        <v>504</v>
      </c>
      <c r="I83" s="391">
        <f>SUMIF(안전재고!A:A,재고분석!$C83,안전재고!I:I)</f>
        <v>81</v>
      </c>
      <c r="J83" s="393">
        <f>SUMIF('ABC-XYZ분석 (2)'!C:C,재고분석!$C83,'ABC-XYZ분석 (2)'!X:X)</f>
        <v>626.66666666666663</v>
      </c>
      <c r="K83" s="432">
        <f>IFERROR(재고분석!$J83/재고분석!$H83,"")</f>
        <v>1.2433862433862433</v>
      </c>
      <c r="L83" s="432">
        <f>IFERROR(재고분석!$K83*12,"")</f>
        <v>14.920634920634919</v>
      </c>
      <c r="M83" s="393">
        <f t="shared" si="8"/>
        <v>24.127659574468083</v>
      </c>
      <c r="N83" s="391" t="str">
        <f>IF(H83=0,"재고없음",IF(H83&lt;I83,"부족",IF(H83&lt;VLOOKUP(C83,공급물량!$B:$M,12,0)*0.8,"재주문",IF(H83&lt;=VLOOKUP(C83,공급물량!$B:$M,12,0)*1.2,"적정","과잉"))))</f>
        <v>적정</v>
      </c>
      <c r="O83" s="391" t="str">
        <f t="shared" si="9"/>
        <v>우수</v>
      </c>
      <c r="P83" s="395" t="str">
        <f t="shared" si="10"/>
        <v>현상유지</v>
      </c>
      <c r="Q83" s="394">
        <f>_xlfn.XLOOKUP(재고분석!$C83,재고!C:C,재고!H:H)</f>
        <v>22887</v>
      </c>
      <c r="R83" s="397">
        <f t="shared" si="11"/>
        <v>11535048</v>
      </c>
    </row>
    <row r="84" spans="2:18">
      <c r="B84" s="400" t="str">
        <f>_xlfn.XLOOKUP(C84,'ABC-XYZ분석 (2)'!C:C,'ABC-XYZ분석 (2)'!B:B)</f>
        <v>기존제품</v>
      </c>
      <c r="C84" s="434" t="s">
        <v>663</v>
      </c>
      <c r="D84" s="383"/>
      <c r="E84" s="383"/>
      <c r="F84" s="384" t="str">
        <f>_xlfn.XLOOKUP(표3[[#This Row],[SKU코드]],'ABC-XYZ분석 (2)'!C:C,'ABC-XYZ분석 (2)'!AC:AC)</f>
        <v>C</v>
      </c>
      <c r="G84" s="385" t="str">
        <f>_xlfn.XLOOKUP(C84,'ABC-XYZ분석 (2)'!C:C,'ABC-XYZ분석 (2)'!AG:AG)</f>
        <v>Z</v>
      </c>
      <c r="H84" s="386">
        <f>SUMIF(재고!C:C,재고분석!C84,재고!I:I)</f>
        <v>231</v>
      </c>
      <c r="I84" s="385">
        <f>SUMIF(안전재고!A:A,재고분석!$C84,안전재고!I:I)</f>
        <v>7</v>
      </c>
      <c r="J84" s="387">
        <f>SUMIF('ABC-XYZ분석 (2)'!C:C,재고분석!$C84,'ABC-XYZ분석 (2)'!X:X)</f>
        <v>67.666666666666671</v>
      </c>
      <c r="K84" s="432">
        <f>IFERROR(재고분석!$J84/재고분석!$H84,"")</f>
        <v>0.29292929292929293</v>
      </c>
      <c r="L84" s="432">
        <f>IFERROR(재고분석!$K84*12,"")</f>
        <v>3.5151515151515151</v>
      </c>
      <c r="M84" s="387">
        <f t="shared" si="8"/>
        <v>102.41379310344827</v>
      </c>
      <c r="N84" s="385" t="str">
        <f>IF(H84=0,"재고없음",IF(H84&lt;I84,"부족",IF(H84&lt;VLOOKUP(C84,공급물량!$B:$M,12,0)*0.8,"재주문",IF(H84&lt;=VLOOKUP(C84,공급물량!$B:$M,12,0)*1.2,"적정","과잉"))))</f>
        <v>과잉</v>
      </c>
      <c r="O84" s="385" t="str">
        <f t="shared" si="9"/>
        <v>주의</v>
      </c>
      <c r="P84" s="389" t="str">
        <f t="shared" si="10"/>
        <v>판촉/할인검토</v>
      </c>
      <c r="Q84" s="388">
        <f>_xlfn.XLOOKUP(재고분석!$C84,재고!C:C,재고!H:H)</f>
        <v>34528</v>
      </c>
      <c r="R84" s="396">
        <f t="shared" si="11"/>
        <v>7975968</v>
      </c>
    </row>
    <row r="85" spans="2:18">
      <c r="B85" s="401" t="str">
        <f>_xlfn.XLOOKUP(C85,'ABC-XYZ분석 (2)'!C:C,'ABC-XYZ분석 (2)'!B:B)</f>
        <v>기존제품</v>
      </c>
      <c r="C85" s="434" t="s">
        <v>664</v>
      </c>
      <c r="D85" s="390"/>
      <c r="E85" s="390"/>
      <c r="F85" s="384" t="str">
        <f>_xlfn.XLOOKUP(표3[[#This Row],[SKU코드]],'ABC-XYZ분석 (2)'!C:C,'ABC-XYZ분석 (2)'!AC:AC)</f>
        <v>C</v>
      </c>
      <c r="G85" s="391" t="str">
        <f>_xlfn.XLOOKUP(C85,'ABC-XYZ분석 (2)'!C:C,'ABC-XYZ분석 (2)'!AG:AG)</f>
        <v>Z</v>
      </c>
      <c r="H85" s="392">
        <f>SUMIF(재고!C:C,재고분석!C85,재고!I:I)</f>
        <v>102</v>
      </c>
      <c r="I85" s="391">
        <f>SUMIF(안전재고!A:A,재고분석!$C85,안전재고!I:I)</f>
        <v>12</v>
      </c>
      <c r="J85" s="393">
        <f>SUMIF('ABC-XYZ분석 (2)'!C:C,재고분석!$C85,'ABC-XYZ분석 (2)'!X:X)</f>
        <v>119.33333333333333</v>
      </c>
      <c r="K85" s="432">
        <f>IFERROR(재고분석!$J85/재고분석!$H85,"")</f>
        <v>1.1699346405228759</v>
      </c>
      <c r="L85" s="432">
        <f>IFERROR(재고분석!$K85*12,"")</f>
        <v>14.03921568627451</v>
      </c>
      <c r="M85" s="393">
        <f t="shared" si="8"/>
        <v>25.642458100558663</v>
      </c>
      <c r="N85" s="391" t="str">
        <f>IF(H85=0,"재고없음",IF(H85&lt;I85,"부족",IF(H85&lt;VLOOKUP(C85,공급물량!$B:$M,12,0)*0.8,"재주문",IF(H85&lt;=VLOOKUP(C85,공급물량!$B:$M,12,0)*1.2,"적정","과잉"))))</f>
        <v>적정</v>
      </c>
      <c r="O85" s="391" t="str">
        <f t="shared" si="9"/>
        <v>우수</v>
      </c>
      <c r="P85" s="395" t="str">
        <f t="shared" si="10"/>
        <v>현상유지</v>
      </c>
      <c r="Q85" s="394">
        <f>_xlfn.XLOOKUP(재고분석!$C85,재고!C:C,재고!H:H)</f>
        <v>38348</v>
      </c>
      <c r="R85" s="397">
        <f t="shared" si="11"/>
        <v>3911496</v>
      </c>
    </row>
    <row r="86" spans="2:18">
      <c r="B86" s="400" t="str">
        <f>_xlfn.XLOOKUP(C86,'ABC-XYZ분석 (2)'!C:C,'ABC-XYZ분석 (2)'!B:B)</f>
        <v>기존제품</v>
      </c>
      <c r="C86" s="434" t="s">
        <v>665</v>
      </c>
      <c r="D86" s="383"/>
      <c r="E86" s="383"/>
      <c r="F86" s="384" t="str">
        <f>_xlfn.XLOOKUP(표3[[#This Row],[SKU코드]],'ABC-XYZ분석 (2)'!C:C,'ABC-XYZ분석 (2)'!AC:AC)</f>
        <v>C</v>
      </c>
      <c r="G86" s="385" t="str">
        <f>_xlfn.XLOOKUP(C86,'ABC-XYZ분석 (2)'!C:C,'ABC-XYZ분석 (2)'!AG:AG)</f>
        <v>Y</v>
      </c>
      <c r="H86" s="386">
        <f>SUMIF(재고!C:C,재고분석!C86,재고!I:I)</f>
        <v>201</v>
      </c>
      <c r="I86" s="385">
        <f>SUMIF(안전재고!A:A,재고분석!$C86,안전재고!I:I)</f>
        <v>7</v>
      </c>
      <c r="J86" s="387">
        <f>SUMIF('ABC-XYZ분석 (2)'!C:C,재고분석!$C86,'ABC-XYZ분석 (2)'!X:X)</f>
        <v>90.666666666666671</v>
      </c>
      <c r="K86" s="432">
        <f>IFERROR(재고분석!$J86/재고분석!$H86,"")</f>
        <v>0.45107794361525705</v>
      </c>
      <c r="L86" s="432">
        <f>IFERROR(재고분석!$K86*12,"")</f>
        <v>5.4129353233830848</v>
      </c>
      <c r="M86" s="387">
        <f t="shared" si="8"/>
        <v>66.507352941176464</v>
      </c>
      <c r="N86" s="385" t="str">
        <f>IF(H86=0,"재고없음",IF(H86&lt;I86,"부족",IF(H86&lt;VLOOKUP(C86,공급물량!$B:$M,12,0)*0.8,"재주문",IF(H86&lt;=VLOOKUP(C86,공급물량!$B:$M,12,0)*1.2,"적정","과잉"))))</f>
        <v>과잉</v>
      </c>
      <c r="O86" s="385" t="str">
        <f t="shared" si="9"/>
        <v>적정</v>
      </c>
      <c r="P86" s="389" t="str">
        <f t="shared" si="10"/>
        <v>발주축소</v>
      </c>
      <c r="Q86" s="388">
        <f>_xlfn.XLOOKUP(재고분석!$C86,재고!C:C,재고!H:H)</f>
        <v>22887</v>
      </c>
      <c r="R86" s="396">
        <f t="shared" si="11"/>
        <v>4600287</v>
      </c>
    </row>
    <row r="87" spans="2:18">
      <c r="B87" s="401" t="str">
        <f>_xlfn.XLOOKUP(C87,'ABC-XYZ분석 (2)'!C:C,'ABC-XYZ분석 (2)'!B:B)</f>
        <v>기존제품</v>
      </c>
      <c r="C87" s="434" t="s">
        <v>666</v>
      </c>
      <c r="D87" s="390"/>
      <c r="E87" s="390"/>
      <c r="F87" s="384" t="str">
        <f>_xlfn.XLOOKUP(표3[[#This Row],[SKU코드]],'ABC-XYZ분석 (2)'!C:C,'ABC-XYZ분석 (2)'!AC:AC)</f>
        <v>C</v>
      </c>
      <c r="G87" s="391" t="str">
        <f>_xlfn.XLOOKUP(C87,'ABC-XYZ분석 (2)'!C:C,'ABC-XYZ분석 (2)'!AG:AG)</f>
        <v>Y</v>
      </c>
      <c r="H87" s="392">
        <f>SUMIF(재고!C:C,재고분석!C87,재고!I:I)</f>
        <v>224</v>
      </c>
      <c r="I87" s="391">
        <f>SUMIF(안전재고!A:A,재고분석!$C87,안전재고!I:I)</f>
        <v>8</v>
      </c>
      <c r="J87" s="393">
        <f>SUMIF('ABC-XYZ분석 (2)'!C:C,재고분석!$C87,'ABC-XYZ분석 (2)'!X:X)</f>
        <v>49.333333333333336</v>
      </c>
      <c r="K87" s="432">
        <f>IFERROR(재고분석!$J87/재고분석!$H87,"")</f>
        <v>0.22023809523809526</v>
      </c>
      <c r="L87" s="432">
        <f>IFERROR(재고분석!$K87*12,"")</f>
        <v>2.6428571428571432</v>
      </c>
      <c r="M87" s="393">
        <f t="shared" si="8"/>
        <v>136.2162162162162</v>
      </c>
      <c r="N87" s="391" t="str">
        <f>IF(H87=0,"재고없음",IF(H87&lt;I87,"부족",IF(H87&lt;VLOOKUP(C87,공급물량!$B:$M,12,0)*0.8,"재주문",IF(H87&lt;=VLOOKUP(C87,공급물량!$B:$M,12,0)*1.2,"적정","과잉"))))</f>
        <v>과잉</v>
      </c>
      <c r="O87" s="391" t="str">
        <f t="shared" si="9"/>
        <v>주의</v>
      </c>
      <c r="P87" s="395" t="str">
        <f t="shared" si="10"/>
        <v>판촉/할인검토</v>
      </c>
      <c r="Q87" s="394">
        <f>_xlfn.XLOOKUP(재고분석!$C87,재고!C:C,재고!H:H)</f>
        <v>34528</v>
      </c>
      <c r="R87" s="397">
        <f t="shared" si="11"/>
        <v>7734272</v>
      </c>
    </row>
    <row r="88" spans="2:18">
      <c r="B88" s="400" t="str">
        <f>_xlfn.XLOOKUP(C88,'ABC-XYZ분석 (2)'!C:C,'ABC-XYZ분석 (2)'!B:B)</f>
        <v>기존제품</v>
      </c>
      <c r="C88" s="434" t="s">
        <v>667</v>
      </c>
      <c r="D88" s="383"/>
      <c r="E88" s="383"/>
      <c r="F88" s="384" t="str">
        <f>_xlfn.XLOOKUP(표3[[#This Row],[SKU코드]],'ABC-XYZ분석 (2)'!C:C,'ABC-XYZ분석 (2)'!AC:AC)</f>
        <v>C</v>
      </c>
      <c r="G88" s="385" t="str">
        <f>_xlfn.XLOOKUP(C88,'ABC-XYZ분석 (2)'!C:C,'ABC-XYZ분석 (2)'!AG:AG)</f>
        <v>Y</v>
      </c>
      <c r="H88" s="386">
        <f>SUMIF(재고!C:C,재고분석!C88,재고!I:I)</f>
        <v>31</v>
      </c>
      <c r="I88" s="385">
        <f>SUMIF(안전재고!A:A,재고분석!$C88,안전재고!I:I)</f>
        <v>75</v>
      </c>
      <c r="J88" s="387">
        <f>SUMIF('ABC-XYZ분석 (2)'!C:C,재고분석!$C88,'ABC-XYZ분석 (2)'!X:X)</f>
        <v>546</v>
      </c>
      <c r="K88" s="432">
        <f>IFERROR(재고분석!$J88/재고분석!$H88,"")</f>
        <v>17.612903225806452</v>
      </c>
      <c r="L88" s="432">
        <f>IFERROR(재고분석!$K88*12,"")</f>
        <v>211.35483870967744</v>
      </c>
      <c r="M88" s="387">
        <f t="shared" si="8"/>
        <v>1.7032967032967035</v>
      </c>
      <c r="N88" s="385" t="str">
        <f>IF(H88=0,"재고없음",IF(H88&lt;I88,"부족",IF(H88&lt;VLOOKUP(C88,공급물량!$B:$M,12,0)*0.8,"재주문",IF(H88&lt;=VLOOKUP(C88,공급물량!$B:$M,12,0)*1.2,"적정","과잉"))))</f>
        <v>부족</v>
      </c>
      <c r="O88" s="385" t="str">
        <f t="shared" si="9"/>
        <v>우수</v>
      </c>
      <c r="P88" s="389" t="str">
        <f t="shared" si="10"/>
        <v>긴급발주</v>
      </c>
      <c r="Q88" s="388">
        <f>_xlfn.XLOOKUP(재고분석!$C88,재고!C:C,재고!H:H)</f>
        <v>38348</v>
      </c>
      <c r="R88" s="396">
        <f t="shared" si="11"/>
        <v>1188788</v>
      </c>
    </row>
    <row r="89" spans="2:18">
      <c r="B89" s="401" t="str">
        <f>_xlfn.XLOOKUP(C89,'ABC-XYZ분석 (2)'!C:C,'ABC-XYZ분석 (2)'!B:B)</f>
        <v>기존제품</v>
      </c>
      <c r="C89" s="434" t="s">
        <v>668</v>
      </c>
      <c r="D89" s="390"/>
      <c r="E89" s="390"/>
      <c r="F89" s="384" t="str">
        <f>_xlfn.XLOOKUP(표3[[#This Row],[SKU코드]],'ABC-XYZ분석 (2)'!C:C,'ABC-XYZ분석 (2)'!AC:AC)</f>
        <v>C</v>
      </c>
      <c r="G89" s="391" t="str">
        <f>_xlfn.XLOOKUP(C89,'ABC-XYZ분석 (2)'!C:C,'ABC-XYZ분석 (2)'!AG:AG)</f>
        <v>X</v>
      </c>
      <c r="H89" s="392">
        <f>SUMIF(재고!C:C,재고분석!C89,재고!I:I)</f>
        <v>157</v>
      </c>
      <c r="I89" s="391">
        <f>SUMIF(안전재고!A:A,재고분석!$C89,안전재고!I:I)</f>
        <v>2</v>
      </c>
      <c r="J89" s="393">
        <f>SUMIF('ABC-XYZ분석 (2)'!C:C,재고분석!$C89,'ABC-XYZ분석 (2)'!X:X)</f>
        <v>22</v>
      </c>
      <c r="K89" s="432">
        <f>IFERROR(재고분석!$J89/재고분석!$H89,"")</f>
        <v>0.14012738853503184</v>
      </c>
      <c r="L89" s="432">
        <f>IFERROR(재고분석!$K89*12,"")</f>
        <v>1.6815286624203822</v>
      </c>
      <c r="M89" s="393">
        <f t="shared" si="8"/>
        <v>214.09090909090909</v>
      </c>
      <c r="N89" s="391" t="str">
        <f>IF(H89=0,"재고없음",IF(H89&lt;I89,"부족",IF(H89&lt;VLOOKUP(C89,공급물량!$B:$M,12,0)*0.8,"재주문",IF(H89&lt;=VLOOKUP(C89,공급물량!$B:$M,12,0)*1.2,"적정","과잉"))))</f>
        <v>과잉</v>
      </c>
      <c r="O89" s="391" t="str">
        <f t="shared" si="9"/>
        <v>불량</v>
      </c>
      <c r="P89" s="395" t="str">
        <f t="shared" si="10"/>
        <v>판촉/할인검토</v>
      </c>
      <c r="Q89" s="394">
        <f>_xlfn.XLOOKUP(재고분석!$C89,재고!C:C,재고!H:H)</f>
        <v>22887</v>
      </c>
      <c r="R89" s="397">
        <f t="shared" si="11"/>
        <v>3593259</v>
      </c>
    </row>
    <row r="90" spans="2:18">
      <c r="B90" s="400" t="str">
        <f>_xlfn.XLOOKUP(C90,'ABC-XYZ분석 (2)'!C:C,'ABC-XYZ분석 (2)'!B:B)</f>
        <v>기존제품</v>
      </c>
      <c r="C90" s="434" t="s">
        <v>669</v>
      </c>
      <c r="D90" s="383"/>
      <c r="E90" s="383"/>
      <c r="F90" s="384" t="str">
        <f>_xlfn.XLOOKUP(표3[[#This Row],[SKU코드]],'ABC-XYZ분석 (2)'!C:C,'ABC-XYZ분석 (2)'!AC:AC)</f>
        <v>C</v>
      </c>
      <c r="G90" s="385" t="str">
        <f>_xlfn.XLOOKUP(C90,'ABC-XYZ분석 (2)'!C:C,'ABC-XYZ분석 (2)'!AG:AG)</f>
        <v>Y</v>
      </c>
      <c r="H90" s="386">
        <f>SUMIF(재고!C:C,재고분석!C90,재고!I:I)</f>
        <v>176</v>
      </c>
      <c r="I90" s="385">
        <f>SUMIF(안전재고!A:A,재고분석!$C90,안전재고!I:I)</f>
        <v>4</v>
      </c>
      <c r="J90" s="387">
        <f>SUMIF('ABC-XYZ분석 (2)'!C:C,재고분석!$C90,'ABC-XYZ분석 (2)'!X:X)</f>
        <v>48.333333333333336</v>
      </c>
      <c r="K90" s="432">
        <f>IFERROR(재고분석!$J90/재고분석!$H90,"")</f>
        <v>0.27462121212121215</v>
      </c>
      <c r="L90" s="432">
        <f>IFERROR(재고분석!$K90*12,"")</f>
        <v>3.2954545454545459</v>
      </c>
      <c r="M90" s="387">
        <f t="shared" si="8"/>
        <v>109.24137931034483</v>
      </c>
      <c r="N90" s="385" t="str">
        <f>IF(H90=0,"재고없음",IF(H90&lt;I90,"부족",IF(H90&lt;VLOOKUP(C90,공급물량!$B:$M,12,0)*0.8,"재주문",IF(H90&lt;=VLOOKUP(C90,공급물량!$B:$M,12,0)*1.2,"적정","과잉"))))</f>
        <v>과잉</v>
      </c>
      <c r="O90" s="385" t="str">
        <f t="shared" si="9"/>
        <v>주의</v>
      </c>
      <c r="P90" s="389" t="str">
        <f t="shared" si="10"/>
        <v>판촉/할인검토</v>
      </c>
      <c r="Q90" s="388">
        <f>_xlfn.XLOOKUP(재고분석!$C90,재고!C:C,재고!H:H)</f>
        <v>34528</v>
      </c>
      <c r="R90" s="396">
        <f t="shared" si="11"/>
        <v>6076928</v>
      </c>
    </row>
    <row r="91" spans="2:18">
      <c r="B91" s="401" t="str">
        <f>_xlfn.XLOOKUP(C91,'ABC-XYZ분석 (2)'!C:C,'ABC-XYZ분석 (2)'!B:B)</f>
        <v>기존제품</v>
      </c>
      <c r="C91" s="434" t="s">
        <v>670</v>
      </c>
      <c r="D91" s="390"/>
      <c r="E91" s="390"/>
      <c r="F91" s="384" t="str">
        <f>_xlfn.XLOOKUP(표3[[#This Row],[SKU코드]],'ABC-XYZ분석 (2)'!C:C,'ABC-XYZ분석 (2)'!AC:AC)</f>
        <v>C</v>
      </c>
      <c r="G91" s="391" t="str">
        <f>_xlfn.XLOOKUP(C91,'ABC-XYZ분석 (2)'!C:C,'ABC-XYZ분석 (2)'!AG:AG)</f>
        <v>Z</v>
      </c>
      <c r="H91" s="392">
        <f>SUMIF(재고!C:C,재고분석!C91,재고!I:I)</f>
        <v>25</v>
      </c>
      <c r="I91" s="391">
        <f>SUMIF(안전재고!A:A,재고분석!$C91,안전재고!I:I)</f>
        <v>32</v>
      </c>
      <c r="J91" s="393">
        <f>SUMIF('ABC-XYZ분석 (2)'!C:C,재고분석!$C91,'ABC-XYZ분석 (2)'!X:X)</f>
        <v>200</v>
      </c>
      <c r="K91" s="432">
        <f>IFERROR(재고분석!$J91/재고분석!$H91,"")</f>
        <v>8</v>
      </c>
      <c r="L91" s="432">
        <f>IFERROR(재고분석!$K91*12,"")</f>
        <v>96</v>
      </c>
      <c r="M91" s="393">
        <f t="shared" si="8"/>
        <v>3.75</v>
      </c>
      <c r="N91" s="391" t="str">
        <f>IF(H91=0,"재고없음",IF(H91&lt;I91,"부족",IF(H91&lt;VLOOKUP(C91,공급물량!$B:$M,12,0)*0.8,"재주문",IF(H91&lt;=VLOOKUP(C91,공급물량!$B:$M,12,0)*1.2,"적정","과잉"))))</f>
        <v>부족</v>
      </c>
      <c r="O91" s="391" t="str">
        <f t="shared" si="9"/>
        <v>우수</v>
      </c>
      <c r="P91" s="395" t="str">
        <f t="shared" si="10"/>
        <v>긴급발주</v>
      </c>
      <c r="Q91" s="394">
        <f>_xlfn.XLOOKUP(재고분석!$C91,재고!C:C,재고!H:H)</f>
        <v>38348</v>
      </c>
      <c r="R91" s="397">
        <f t="shared" si="11"/>
        <v>958700</v>
      </c>
    </row>
    <row r="92" spans="2:18">
      <c r="B92" s="400" t="str">
        <f>_xlfn.XLOOKUP(C92,'ABC-XYZ분석 (2)'!C:C,'ABC-XYZ분석 (2)'!B:B)</f>
        <v>기존제품</v>
      </c>
      <c r="C92" s="434" t="s">
        <v>671</v>
      </c>
      <c r="D92" s="383"/>
      <c r="E92" s="383"/>
      <c r="F92" s="384" t="str">
        <f>_xlfn.XLOOKUP(표3[[#This Row],[SKU코드]],'ABC-XYZ분석 (2)'!C:C,'ABC-XYZ분석 (2)'!AC:AC)</f>
        <v>C</v>
      </c>
      <c r="G92" s="385" t="str">
        <f>_xlfn.XLOOKUP(C92,'ABC-XYZ분석 (2)'!C:C,'ABC-XYZ분석 (2)'!AG:AG)</f>
        <v>Y</v>
      </c>
      <c r="H92" s="386">
        <f>SUMIF(재고!C:C,재고분석!C92,재고!I:I)</f>
        <v>0</v>
      </c>
      <c r="I92" s="385">
        <f>SUMIF(안전재고!A:A,재고분석!$C92,안전재고!I:I)</f>
        <v>7</v>
      </c>
      <c r="J92" s="387">
        <f>SUMIF('ABC-XYZ분석 (2)'!C:C,재고분석!$C92,'ABC-XYZ분석 (2)'!X:X)</f>
        <v>92</v>
      </c>
      <c r="K92" s="432" t="str">
        <f>IFERROR(재고분석!$J92/재고분석!$H92,"")</f>
        <v/>
      </c>
      <c r="L92" s="432" t="str">
        <f>IFERROR(재고분석!$K92*12,"")</f>
        <v/>
      </c>
      <c r="M92" s="387">
        <f t="shared" si="8"/>
        <v>0</v>
      </c>
      <c r="N92" s="385" t="str">
        <f>IF(H92=0,"재고없음",IF(H92&lt;I92,"부족",IF(H92&lt;VLOOKUP(C92,공급물량!$B:$M,12,0)*0.8,"재주문",IF(H92&lt;=VLOOKUP(C92,공급물량!$B:$M,12,0)*1.2,"적정","과잉"))))</f>
        <v>재고없음</v>
      </c>
      <c r="O92" s="385" t="str">
        <f t="shared" si="9"/>
        <v>-</v>
      </c>
      <c r="P92" s="389" t="str">
        <f t="shared" si="10"/>
        <v>긴급발주</v>
      </c>
      <c r="Q92" s="388">
        <f>_xlfn.XLOOKUP(재고분석!$C92,재고!C:C,재고!H:H)</f>
        <v>22887</v>
      </c>
      <c r="R92" s="396">
        <f t="shared" si="11"/>
        <v>0</v>
      </c>
    </row>
    <row r="93" spans="2:18">
      <c r="B93" s="401" t="str">
        <f>_xlfn.XLOOKUP(C93,'ABC-XYZ분석 (2)'!C:C,'ABC-XYZ분석 (2)'!B:B)</f>
        <v>기존제품</v>
      </c>
      <c r="C93" s="434" t="s">
        <v>672</v>
      </c>
      <c r="D93" s="390"/>
      <c r="E93" s="390"/>
      <c r="F93" s="384" t="str">
        <f>_xlfn.XLOOKUP(표3[[#This Row],[SKU코드]],'ABC-XYZ분석 (2)'!C:C,'ABC-XYZ분석 (2)'!AC:AC)</f>
        <v>C</v>
      </c>
      <c r="G93" s="391" t="str">
        <f>_xlfn.XLOOKUP(C93,'ABC-XYZ분석 (2)'!C:C,'ABC-XYZ분석 (2)'!AG:AG)</f>
        <v>Z</v>
      </c>
      <c r="H93" s="392">
        <f>SUMIF(재고!C:C,재고분석!C93,재고!I:I)</f>
        <v>1</v>
      </c>
      <c r="I93" s="391">
        <f>SUMIF(안전재고!A:A,재고분석!$C93,안전재고!I:I)</f>
        <v>11</v>
      </c>
      <c r="J93" s="393">
        <f>SUMIF('ABC-XYZ분석 (2)'!C:C,재고분석!$C93,'ABC-XYZ분석 (2)'!X:X)</f>
        <v>76.666666666666671</v>
      </c>
      <c r="K93" s="432">
        <f>IFERROR(재고분석!$J93/재고분석!$H93,"")</f>
        <v>76.666666666666671</v>
      </c>
      <c r="L93" s="432">
        <f>IFERROR(재고분석!$K93*12,"")</f>
        <v>920</v>
      </c>
      <c r="M93" s="393">
        <f t="shared" si="8"/>
        <v>0.39130434782608692</v>
      </c>
      <c r="N93" s="391" t="str">
        <f>IF(H93=0,"재고없음",IF(H93&lt;I93,"부족",IF(H93&lt;VLOOKUP(C93,공급물량!$B:$M,12,0)*0.8,"재주문",IF(H93&lt;=VLOOKUP(C93,공급물량!$B:$M,12,0)*1.2,"적정","과잉"))))</f>
        <v>부족</v>
      </c>
      <c r="O93" s="391" t="str">
        <f t="shared" si="9"/>
        <v>우수</v>
      </c>
      <c r="P93" s="395" t="str">
        <f t="shared" si="10"/>
        <v>긴급발주</v>
      </c>
      <c r="Q93" s="394">
        <f>_xlfn.XLOOKUP(재고분석!$C93,재고!C:C,재고!H:H)</f>
        <v>34528</v>
      </c>
      <c r="R93" s="397">
        <f t="shared" si="11"/>
        <v>34528</v>
      </c>
    </row>
    <row r="94" spans="2:18">
      <c r="B94" s="400" t="str">
        <f>_xlfn.XLOOKUP(C94,'ABC-XYZ분석 (2)'!C:C,'ABC-XYZ분석 (2)'!B:B)</f>
        <v>기존제품</v>
      </c>
      <c r="C94" s="434" t="s">
        <v>673</v>
      </c>
      <c r="D94" s="383"/>
      <c r="E94" s="383"/>
      <c r="F94" s="384" t="str">
        <f>_xlfn.XLOOKUP(표3[[#This Row],[SKU코드]],'ABC-XYZ분석 (2)'!C:C,'ABC-XYZ분석 (2)'!AC:AC)</f>
        <v>C</v>
      </c>
      <c r="G94" s="385" t="str">
        <f>_xlfn.XLOOKUP(C94,'ABC-XYZ분석 (2)'!C:C,'ABC-XYZ분석 (2)'!AG:AG)</f>
        <v>Z</v>
      </c>
      <c r="H94" s="386">
        <f>SUMIF(재고!C:C,재고분석!C94,재고!I:I)</f>
        <v>1</v>
      </c>
      <c r="I94" s="385">
        <f>SUMIF(안전재고!A:A,재고분석!$C94,안전재고!I:I)</f>
        <v>5</v>
      </c>
      <c r="J94" s="387">
        <f>SUMIF('ABC-XYZ분석 (2)'!C:C,재고분석!$C94,'ABC-XYZ분석 (2)'!X:X)</f>
        <v>53.333333333333336</v>
      </c>
      <c r="K94" s="432">
        <f>IFERROR(재고분석!$J94/재고분석!$H94,"")</f>
        <v>53.333333333333336</v>
      </c>
      <c r="L94" s="432">
        <f>IFERROR(재고분석!$K94*12,"")</f>
        <v>640</v>
      </c>
      <c r="M94" s="387">
        <f t="shared" si="8"/>
        <v>0.5625</v>
      </c>
      <c r="N94" s="385" t="str">
        <f>IF(H94=0,"재고없음",IF(H94&lt;I94,"부족",IF(H94&lt;VLOOKUP(C94,공급물량!$B:$M,12,0)*0.8,"재주문",IF(H94&lt;=VLOOKUP(C94,공급물량!$B:$M,12,0)*1.2,"적정","과잉"))))</f>
        <v>부족</v>
      </c>
      <c r="O94" s="385" t="str">
        <f t="shared" si="9"/>
        <v>우수</v>
      </c>
      <c r="P94" s="389" t="str">
        <f t="shared" si="10"/>
        <v>긴급발주</v>
      </c>
      <c r="Q94" s="388">
        <f>_xlfn.XLOOKUP(재고분석!$C94,재고!C:C,재고!H:H)</f>
        <v>38348</v>
      </c>
      <c r="R94" s="396">
        <f t="shared" si="11"/>
        <v>38348</v>
      </c>
    </row>
    <row r="95" spans="2:18">
      <c r="B95" s="401" t="str">
        <f>_xlfn.XLOOKUP(C95,'ABC-XYZ분석 (2)'!C:C,'ABC-XYZ분석 (2)'!B:B)</f>
        <v>기존제품</v>
      </c>
      <c r="C95" s="434" t="s">
        <v>674</v>
      </c>
      <c r="D95" s="390"/>
      <c r="E95" s="390"/>
      <c r="F95" s="384" t="str">
        <f>_xlfn.XLOOKUP(표3[[#This Row],[SKU코드]],'ABC-XYZ분석 (2)'!C:C,'ABC-XYZ분석 (2)'!AC:AC)</f>
        <v>C</v>
      </c>
      <c r="G95" s="391" t="str">
        <f>_xlfn.XLOOKUP(C95,'ABC-XYZ분석 (2)'!C:C,'ABC-XYZ분석 (2)'!AG:AG)</f>
        <v>Z</v>
      </c>
      <c r="H95" s="392">
        <f>SUMIF(재고!C:C,재고분석!C95,재고!I:I)</f>
        <v>2649</v>
      </c>
      <c r="I95" s="391">
        <f>SUMIF(안전재고!A:A,재고분석!$C95,안전재고!I:I)</f>
        <v>12</v>
      </c>
      <c r="J95" s="393">
        <f>SUMIF('ABC-XYZ분석 (2)'!C:C,재고분석!$C95,'ABC-XYZ분석 (2)'!X:X)</f>
        <v>86.666666666666671</v>
      </c>
      <c r="K95" s="432">
        <f>IFERROR(재고분석!$J95/재고분석!$H95,"")</f>
        <v>3.2716748458537816E-2</v>
      </c>
      <c r="L95" s="432">
        <f>IFERROR(재고분석!$K95*12,"")</f>
        <v>0.39260098150245382</v>
      </c>
      <c r="M95" s="393">
        <f t="shared" si="8"/>
        <v>916.96153846153845</v>
      </c>
      <c r="N95" s="391" t="str">
        <f>IF(H95=0,"재고없음",IF(H95&lt;I95,"부족",IF(H95&lt;VLOOKUP(C95,공급물량!$B:$M,12,0)*0.8,"재주문",IF(H95&lt;=VLOOKUP(C95,공급물량!$B:$M,12,0)*1.2,"적정","과잉"))))</f>
        <v>과잉</v>
      </c>
      <c r="O95" s="391" t="str">
        <f t="shared" si="9"/>
        <v>불량</v>
      </c>
      <c r="P95" s="395" t="str">
        <f t="shared" si="10"/>
        <v>판촉/할인검토</v>
      </c>
      <c r="Q95" s="394">
        <f>_xlfn.XLOOKUP(재고분석!$C95,재고!C:C,재고!H:H)</f>
        <v>3802</v>
      </c>
      <c r="R95" s="397">
        <f t="shared" si="11"/>
        <v>10071498</v>
      </c>
    </row>
    <row r="96" spans="2:18">
      <c r="B96" s="400" t="str">
        <f>_xlfn.XLOOKUP(C96,'ABC-XYZ분석 (2)'!C:C,'ABC-XYZ분석 (2)'!B:B)</f>
        <v>기존제품</v>
      </c>
      <c r="C96" s="434" t="s">
        <v>675</v>
      </c>
      <c r="D96" s="383"/>
      <c r="E96" s="383"/>
      <c r="F96" s="384" t="str">
        <f>_xlfn.XLOOKUP(표3[[#This Row],[SKU코드]],'ABC-XYZ분석 (2)'!C:C,'ABC-XYZ분석 (2)'!AC:AC)</f>
        <v>C</v>
      </c>
      <c r="G96" s="385" t="str">
        <f>_xlfn.XLOOKUP(C96,'ABC-XYZ분석 (2)'!C:C,'ABC-XYZ분석 (2)'!AG:AG)</f>
        <v>Z</v>
      </c>
      <c r="H96" s="386">
        <f>SUMIF(재고!C:C,재고분석!C96,재고!I:I)</f>
        <v>796</v>
      </c>
      <c r="I96" s="385">
        <f>SUMIF(안전재고!A:A,재고분석!$C96,안전재고!I:I)</f>
        <v>5</v>
      </c>
      <c r="J96" s="387">
        <f>SUMIF('ABC-XYZ분석 (2)'!C:C,재고분석!$C96,'ABC-XYZ분석 (2)'!X:X)</f>
        <v>36</v>
      </c>
      <c r="K96" s="432">
        <f>IFERROR(재고분석!$J96/재고분석!$H96,"")</f>
        <v>4.5226130653266333E-2</v>
      </c>
      <c r="L96" s="432">
        <f>IFERROR(재고분석!$K96*12,"")</f>
        <v>0.542713567839196</v>
      </c>
      <c r="M96" s="387">
        <f t="shared" si="8"/>
        <v>663.33333333333337</v>
      </c>
      <c r="N96" s="385" t="str">
        <f>IF(H96=0,"재고없음",IF(H96&lt;I96,"부족",IF(H96&lt;VLOOKUP(C96,공급물량!$B:$M,12,0)*0.8,"재주문",IF(H96&lt;=VLOOKUP(C96,공급물량!$B:$M,12,0)*1.2,"적정","과잉"))))</f>
        <v>과잉</v>
      </c>
      <c r="O96" s="385" t="str">
        <f t="shared" si="9"/>
        <v>불량</v>
      </c>
      <c r="P96" s="389" t="str">
        <f t="shared" si="10"/>
        <v>판촉/할인검토</v>
      </c>
      <c r="Q96" s="388">
        <f>_xlfn.XLOOKUP(재고분석!$C96,재고!C:C,재고!H:H)</f>
        <v>3802</v>
      </c>
      <c r="R96" s="396">
        <f t="shared" si="11"/>
        <v>3026392</v>
      </c>
    </row>
    <row r="97" spans="2:18">
      <c r="B97" s="401" t="str">
        <f>_xlfn.XLOOKUP(C97,'ABC-XYZ분석 (2)'!C:C,'ABC-XYZ분석 (2)'!B:B)</f>
        <v>기존제품</v>
      </c>
      <c r="C97" s="434" t="s">
        <v>676</v>
      </c>
      <c r="D97" s="390"/>
      <c r="E97" s="390"/>
      <c r="F97" s="384" t="str">
        <f>_xlfn.XLOOKUP(표3[[#This Row],[SKU코드]],'ABC-XYZ분석 (2)'!C:C,'ABC-XYZ분석 (2)'!AC:AC)</f>
        <v>C</v>
      </c>
      <c r="G97" s="391" t="str">
        <f>_xlfn.XLOOKUP(C97,'ABC-XYZ분석 (2)'!C:C,'ABC-XYZ분석 (2)'!AG:AG)</f>
        <v>Z</v>
      </c>
      <c r="H97" s="392">
        <f>SUMIF(재고!C:C,재고분석!C97,재고!I:I)</f>
        <v>527</v>
      </c>
      <c r="I97" s="391">
        <f>SUMIF(안전재고!A:A,재고분석!$C97,안전재고!I:I)</f>
        <v>18</v>
      </c>
      <c r="J97" s="393">
        <f>SUMIF('ABC-XYZ분석 (2)'!C:C,재고분석!$C97,'ABC-XYZ분석 (2)'!X:X)</f>
        <v>153.66666666666666</v>
      </c>
      <c r="K97" s="432">
        <f>IFERROR(재고분석!$J97/재고분석!$H97,"")</f>
        <v>0.29158760278304868</v>
      </c>
      <c r="L97" s="432">
        <f>IFERROR(재고분석!$K97*12,"")</f>
        <v>3.4990512333965844</v>
      </c>
      <c r="M97" s="393">
        <f t="shared" si="8"/>
        <v>102.88503253796097</v>
      </c>
      <c r="N97" s="391" t="str">
        <f>IF(H97=0,"재고없음",IF(H97&lt;I97,"부족",IF(H97&lt;VLOOKUP(C97,공급물량!$B:$M,12,0)*0.8,"재주문",IF(H97&lt;=VLOOKUP(C97,공급물량!$B:$M,12,0)*1.2,"적정","과잉"))))</f>
        <v>과잉</v>
      </c>
      <c r="O97" s="391" t="str">
        <f t="shared" si="9"/>
        <v>주의</v>
      </c>
      <c r="P97" s="395" t="str">
        <f t="shared" si="10"/>
        <v>판촉/할인검토</v>
      </c>
      <c r="Q97" s="394">
        <f>_xlfn.XLOOKUP(재고분석!$C97,재고!C:C,재고!H:H)</f>
        <v>3802</v>
      </c>
      <c r="R97" s="397">
        <f t="shared" si="11"/>
        <v>2003654</v>
      </c>
    </row>
    <row r="98" spans="2:18">
      <c r="B98" s="400" t="str">
        <f>_xlfn.XLOOKUP(C98,'ABC-XYZ분석 (2)'!C:C,'ABC-XYZ분석 (2)'!B:B)</f>
        <v>기존제품</v>
      </c>
      <c r="C98" s="434" t="s">
        <v>677</v>
      </c>
      <c r="D98" s="383"/>
      <c r="E98" s="383"/>
      <c r="F98" s="384" t="str">
        <f>_xlfn.XLOOKUP(표3[[#This Row],[SKU코드]],'ABC-XYZ분석 (2)'!C:C,'ABC-XYZ분석 (2)'!AC:AC)</f>
        <v>C</v>
      </c>
      <c r="G98" s="385" t="str">
        <f>_xlfn.XLOOKUP(C98,'ABC-XYZ분석 (2)'!C:C,'ABC-XYZ분석 (2)'!AG:AG)</f>
        <v>Z</v>
      </c>
      <c r="H98" s="386">
        <f>SUMIF(재고!C:C,재고분석!C98,재고!I:I)</f>
        <v>99</v>
      </c>
      <c r="I98" s="385">
        <f>SUMIF(안전재고!A:A,재고분석!$C98,안전재고!I:I)</f>
        <v>8</v>
      </c>
      <c r="J98" s="387">
        <f>SUMIF('ABC-XYZ분석 (2)'!C:C,재고분석!$C98,'ABC-XYZ분석 (2)'!X:X)</f>
        <v>43</v>
      </c>
      <c r="K98" s="432">
        <f>IFERROR(재고분석!$J98/재고분석!$H98,"")</f>
        <v>0.43434343434343436</v>
      </c>
      <c r="L98" s="432">
        <f>IFERROR(재고분석!$K98*12,"")</f>
        <v>5.2121212121212128</v>
      </c>
      <c r="M98" s="387">
        <f t="shared" si="8"/>
        <v>69.069767441860463</v>
      </c>
      <c r="N98" s="385" t="str">
        <f>IF(H98=0,"재고없음",IF(H98&lt;I98,"부족",IF(H98&lt;VLOOKUP(C98,공급물량!$B:$M,12,0)*0.8,"재주문",IF(H98&lt;=VLOOKUP(C98,공급물량!$B:$M,12,0)*1.2,"적정","과잉"))))</f>
        <v>과잉</v>
      </c>
      <c r="O98" s="385" t="str">
        <f t="shared" si="9"/>
        <v>적정</v>
      </c>
      <c r="P98" s="389" t="str">
        <f t="shared" ref="P98:P100" si="12">IF(N98="재고없음","긴급발주",IF(N98="부족","긴급발주",IF(AND(N98="재주문",OR(O98="우수",O98="적정")),"현상유지",IF(N98="재주문","발주검토",IF(AND(N98="적정",O98="불량"),"판촉검토",IF(N98="적정","현상유지",IF(AND(N98="과잉",OR(O98="우수",O98="적정")),"발주축소","판촉/할인검토")))))))</f>
        <v>발주축소</v>
      </c>
      <c r="Q98" s="388">
        <f>_xlfn.XLOOKUP(재고분석!$C98,재고!C:C,재고!H:H)</f>
        <v>3802</v>
      </c>
      <c r="R98" s="396">
        <f t="shared" si="11"/>
        <v>376398</v>
      </c>
    </row>
    <row r="99" spans="2:18">
      <c r="B99" s="401" t="str">
        <f>_xlfn.XLOOKUP(C99,'ABC-XYZ분석 (2)'!C:C,'ABC-XYZ분석 (2)'!B:B)</f>
        <v>기존제품</v>
      </c>
      <c r="C99" s="434" t="s">
        <v>678</v>
      </c>
      <c r="D99" s="390"/>
      <c r="E99" s="390"/>
      <c r="F99" s="384" t="str">
        <f>_xlfn.XLOOKUP(표3[[#This Row],[SKU코드]],'ABC-XYZ분석 (2)'!C:C,'ABC-XYZ분석 (2)'!AC:AC)</f>
        <v>C</v>
      </c>
      <c r="G99" s="391" t="str">
        <f>_xlfn.XLOOKUP(C99,'ABC-XYZ분석 (2)'!C:C,'ABC-XYZ분석 (2)'!AG:AG)</f>
        <v>Z</v>
      </c>
      <c r="H99" s="392">
        <f>SUMIF(재고!C:C,재고분석!C99,재고!I:I)</f>
        <v>300</v>
      </c>
      <c r="I99" s="391">
        <f>SUMIF(안전재고!A:A,재고분석!$C99,안전재고!I:I)</f>
        <v>6</v>
      </c>
      <c r="J99" s="393">
        <f>SUMIF('ABC-XYZ분석 (2)'!C:C,재고분석!$C99,'ABC-XYZ분석 (2)'!X:X)</f>
        <v>60.333333333333336</v>
      </c>
      <c r="K99" s="432">
        <f>IFERROR(재고분석!$J99/재고분석!$H99,"")</f>
        <v>0.20111111111111113</v>
      </c>
      <c r="L99" s="432">
        <f>IFERROR(재고분석!$K99*12,"")</f>
        <v>2.4133333333333336</v>
      </c>
      <c r="M99" s="393">
        <f t="shared" si="8"/>
        <v>149.17127071823205</v>
      </c>
      <c r="N99" s="391" t="str">
        <f>IF(H99=0,"재고없음",IF(H99&lt;I99,"부족",IF(H99&lt;VLOOKUP(C99,공급물량!$B:$M,12,0)*0.8,"재주문",IF(H99&lt;=VLOOKUP(C99,공급물량!$B:$M,12,0)*1.2,"적정","과잉"))))</f>
        <v>과잉</v>
      </c>
      <c r="O99" s="391" t="str">
        <f t="shared" si="9"/>
        <v>주의</v>
      </c>
      <c r="P99" s="395" t="str">
        <f t="shared" si="12"/>
        <v>판촉/할인검토</v>
      </c>
      <c r="Q99" s="394">
        <f>_xlfn.XLOOKUP(재고분석!$C99,재고!C:C,재고!H:H)</f>
        <v>11570</v>
      </c>
      <c r="R99" s="397">
        <f t="shared" si="11"/>
        <v>3471000</v>
      </c>
    </row>
    <row r="100" spans="2:18">
      <c r="B100" s="400" t="str">
        <f>_xlfn.XLOOKUP(C100,'ABC-XYZ분석 (2)'!C:C,'ABC-XYZ분석 (2)'!B:B)</f>
        <v>기존제품</v>
      </c>
      <c r="C100" s="434" t="s">
        <v>679</v>
      </c>
      <c r="D100" s="383"/>
      <c r="E100" s="383"/>
      <c r="F100" s="384" t="str">
        <f>_xlfn.XLOOKUP(표3[[#This Row],[SKU코드]],'ABC-XYZ분석 (2)'!C:C,'ABC-XYZ분석 (2)'!AC:AC)</f>
        <v>C</v>
      </c>
      <c r="G100" s="385" t="str">
        <f>_xlfn.XLOOKUP(C100,'ABC-XYZ분석 (2)'!C:C,'ABC-XYZ분석 (2)'!AG:AG)</f>
        <v>Y</v>
      </c>
      <c r="H100" s="386">
        <f>SUMIF(재고!C:C,재고분석!C100,재고!I:I)</f>
        <v>500</v>
      </c>
      <c r="I100" s="385">
        <f>SUMIF(안전재고!A:A,재고분석!$C100,안전재고!I:I)</f>
        <v>7</v>
      </c>
      <c r="J100" s="387">
        <f>SUMIF('ABC-XYZ분석 (2)'!C:C,재고분석!$C100,'ABC-XYZ분석 (2)'!X:X)</f>
        <v>34</v>
      </c>
      <c r="K100" s="432">
        <f>IFERROR(재고분석!$J100/재고분석!$H100,"")</f>
        <v>6.8000000000000005E-2</v>
      </c>
      <c r="L100" s="432">
        <f>IFERROR(재고분석!$K100*12,"")</f>
        <v>0.81600000000000006</v>
      </c>
      <c r="M100" s="387">
        <f t="shared" si="8"/>
        <v>441.1764705882353</v>
      </c>
      <c r="N100" s="385" t="str">
        <f>IF(H100=0,"재고없음",IF(H100&lt;I100,"부족",IF(H100&lt;VLOOKUP(C100,공급물량!$B:$M,12,0)*0.8,"재주문",IF(H100&lt;=VLOOKUP(C100,공급물량!$B:$M,12,0)*1.2,"적정","과잉"))))</f>
        <v>과잉</v>
      </c>
      <c r="O100" s="385" t="str">
        <f t="shared" si="9"/>
        <v>불량</v>
      </c>
      <c r="P100" s="389" t="str">
        <f t="shared" si="12"/>
        <v>판촉/할인검토</v>
      </c>
      <c r="Q100" s="398">
        <f>_xlfn.XLOOKUP(재고분석!$C100,재고!C:C,재고!H:H)</f>
        <v>30000</v>
      </c>
      <c r="R100" s="399">
        <f t="shared" si="11"/>
        <v>15000000</v>
      </c>
    </row>
  </sheetData>
  <phoneticPr fontId="15" type="noConversion"/>
  <conditionalFormatting sqref="K1:M1048576 H2:H100">
    <cfRule type="cellIs" dxfId="43" priority="3" operator="lessThan">
      <formula>0</formula>
    </cfRule>
  </conditionalFormatting>
  <conditionalFormatting sqref="N2:N100">
    <cfRule type="cellIs" dxfId="42" priority="10" operator="equal">
      <formula>"과잉"</formula>
    </cfRule>
    <cfRule type="cellIs" dxfId="41" priority="11" operator="equal">
      <formula>"부족"</formula>
    </cfRule>
  </conditionalFormatting>
  <pageMargins left="0.75" right="0.75" top="1" bottom="1" header="0.5" footer="0.5"/>
  <pageSetup paperSize="9" orientation="portrait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D91B-BA36-4843-9707-962AA55C4563}">
  <sheetPr>
    <tabColor rgb="FF00B0F0"/>
  </sheetPr>
  <dimension ref="B1:V100"/>
  <sheetViews>
    <sheetView showGridLines="0" zoomScale="130" zoomScaleNormal="13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defaultRowHeight="16.5"/>
  <cols>
    <col min="1" max="1" width="0.875" customWidth="1"/>
    <col min="2" max="2" width="10.875" style="158" customWidth="1"/>
    <col min="3" max="3" width="11.375" bestFit="1" customWidth="1"/>
    <col min="4" max="4" width="9.875" customWidth="1"/>
    <col min="5" max="5" width="6.25" customWidth="1"/>
    <col min="6" max="7" width="5.625" bestFit="1" customWidth="1"/>
    <col min="8" max="8" width="12.875" style="325" bestFit="1" customWidth="1"/>
    <col min="9" max="9" width="7.375" customWidth="1"/>
    <col min="10" max="10" width="7.125" customWidth="1"/>
    <col min="11" max="11" width="9.875" customWidth="1"/>
    <col min="14" max="14" width="8.875" customWidth="1"/>
    <col min="15" max="15" width="7.625" customWidth="1"/>
    <col min="16" max="16" width="9.375" customWidth="1"/>
    <col min="19" max="19" width="5.375" bestFit="1" customWidth="1"/>
    <col min="20" max="20" width="4.875" bestFit="1" customWidth="1"/>
  </cols>
  <sheetData>
    <row r="1" spans="2:22" ht="33">
      <c r="B1" s="326" t="s">
        <v>10</v>
      </c>
      <c r="C1" s="326" t="s">
        <v>11</v>
      </c>
      <c r="D1" s="326" t="s">
        <v>72</v>
      </c>
      <c r="E1" s="326" t="s">
        <v>73</v>
      </c>
      <c r="F1" s="326" t="s">
        <v>292</v>
      </c>
      <c r="G1" s="326" t="s">
        <v>293</v>
      </c>
      <c r="H1" s="324" t="s">
        <v>523</v>
      </c>
      <c r="I1" s="324" t="s">
        <v>527</v>
      </c>
      <c r="J1" s="324" t="s">
        <v>528</v>
      </c>
      <c r="K1" s="324" t="s">
        <v>304</v>
      </c>
      <c r="L1" s="324" t="s">
        <v>521</v>
      </c>
      <c r="M1" s="324" t="s">
        <v>524</v>
      </c>
      <c r="N1" s="324" t="s">
        <v>522</v>
      </c>
      <c r="O1" s="324" t="s">
        <v>525</v>
      </c>
      <c r="P1" s="353" t="s">
        <v>526</v>
      </c>
      <c r="S1" s="312" t="s">
        <v>572</v>
      </c>
      <c r="T1" s="312" t="s">
        <v>573</v>
      </c>
      <c r="U1" s="364" t="s">
        <v>574</v>
      </c>
      <c r="V1" s="364"/>
    </row>
    <row r="2" spans="2:22">
      <c r="B2" s="158" t="s">
        <v>581</v>
      </c>
      <c r="C2" s="327"/>
      <c r="D2" s="327"/>
      <c r="E2" s="328" t="str">
        <f>_xlfn.XLOOKUP(표11[[#This Row],[SKU코드]],'ABC-XYZ분석 (2)'!C:C,'ABC-XYZ분석 (2)'!I:I)</f>
        <v>여름</v>
      </c>
      <c r="F2" s="328" t="str">
        <f>_xlfn.XLOOKUP(표11[[#This Row],[SKU코드]],'ABC-XYZ분석 (2)'!C:C,'ABC-XYZ분석 (2)'!AC:AC)</f>
        <v>A</v>
      </c>
      <c r="G2" s="312" t="str">
        <f>_xlfn.XLOOKUP(표11[[#This Row],[SKU코드]],'ABC-XYZ분석 (2)'!C:C,'ABC-XYZ분석 (2)'!AG:AG)</f>
        <v>Z</v>
      </c>
      <c r="H2" s="311">
        <f>SUMIF('ABC-XYZ분석 (2)'!C:C,표11[[#This Row],[SKU코드]],'ABC-XYZ분석 (2)'!X:X)/30</f>
        <v>0.2</v>
      </c>
      <c r="I2" s="314">
        <v>30</v>
      </c>
      <c r="J2" s="314">
        <v>30</v>
      </c>
      <c r="K2" s="314">
        <f>SUMIF(안전재고!A:A,표11[[#This Row],[SKU코드]],안전재고!I:I)</f>
        <v>212</v>
      </c>
      <c r="L2" s="314">
        <f>SUMIF(재고!C:C,공급물량!B2,재고!I:I)</f>
        <v>1233</v>
      </c>
      <c r="M2" s="352">
        <f>H2*I2*VLOOKUP(F2&amp;G2,{"AX",1;"AY",0.95;"AZ",0.85;"BX",0.95;"BY",0.85;"BZ",0.75;"CX",0.85;"CY",0.75;"CZ",0.65},2,0)+K2</f>
        <v>217.1</v>
      </c>
      <c r="N2" s="329">
        <f>MAX(0,(표11[[#This Row],[적정재고]]-표11[[#This Row],[현재고]]))</f>
        <v>0</v>
      </c>
      <c r="O2" s="314">
        <v>500</v>
      </c>
      <c r="P2" s="352">
        <f>CEILING(표11[[#This Row],[발주량]],표11[[#This Row],[MOQ]])</f>
        <v>0</v>
      </c>
      <c r="S2" s="345" t="s">
        <v>403</v>
      </c>
      <c r="T2" s="365">
        <v>1</v>
      </c>
    </row>
    <row r="3" spans="2:22">
      <c r="B3" s="158" t="s">
        <v>582</v>
      </c>
      <c r="C3" s="327"/>
      <c r="D3" s="327"/>
      <c r="E3" s="328" t="str">
        <f>_xlfn.XLOOKUP(표11[[#This Row],[SKU코드]],'ABC-XYZ분석 (2)'!C:C,'ABC-XYZ분석 (2)'!I:I)</f>
        <v>여름</v>
      </c>
      <c r="F3" s="328" t="str">
        <f>_xlfn.XLOOKUP(표11[[#This Row],[SKU코드]],'ABC-XYZ분석 (2)'!C:C,'ABC-XYZ분석 (2)'!AC:AC)</f>
        <v>A</v>
      </c>
      <c r="G3" s="312" t="str">
        <f>_xlfn.XLOOKUP(표11[[#This Row],[SKU코드]],'ABC-XYZ분석 (2)'!C:C,'ABC-XYZ분석 (2)'!AG:AG)</f>
        <v>Z</v>
      </c>
      <c r="H3" s="311">
        <f>SUMIF('ABC-XYZ분석 (2)'!C:C,표11[[#This Row],[SKU코드]],'ABC-XYZ분석 (2)'!X:X)/30</f>
        <v>0.21111111111111111</v>
      </c>
      <c r="I3" s="314">
        <v>30</v>
      </c>
      <c r="J3" s="314">
        <v>30</v>
      </c>
      <c r="K3" s="314">
        <f>SUMIF(안전재고!A:A,표11[[#This Row],[SKU코드]],안전재고!I:I)</f>
        <v>237</v>
      </c>
      <c r="L3" s="314">
        <f>SUMIF(재고!C:C,공급물량!B3,재고!I:I)</f>
        <v>1865</v>
      </c>
      <c r="M3" s="352">
        <f>H3*I3*VLOOKUP(F3&amp;G3,{"AX",1;"AY",0.95;"AZ",0.85;"BX",0.95;"BY",0.85;"BZ",0.75;"CX",0.85;"CY",0.75;"CZ",0.65},2,0)+K3</f>
        <v>242.38333333333333</v>
      </c>
      <c r="N3" s="329">
        <f>MAX(0,(표11[[#This Row],[적정재고]]-표11[[#This Row],[현재고]]))</f>
        <v>0</v>
      </c>
      <c r="O3" s="314">
        <v>500</v>
      </c>
      <c r="P3" s="352">
        <f>CEILING(표11[[#This Row],[발주량]],표11[[#This Row],[MOQ]])</f>
        <v>0</v>
      </c>
      <c r="S3" s="345" t="s">
        <v>565</v>
      </c>
      <c r="T3" s="365">
        <v>0.95</v>
      </c>
    </row>
    <row r="4" spans="2:22">
      <c r="B4" s="158" t="s">
        <v>583</v>
      </c>
      <c r="C4" s="327"/>
      <c r="D4" s="327"/>
      <c r="E4" s="328" t="str">
        <f>_xlfn.XLOOKUP(표11[[#This Row],[SKU코드]],'ABC-XYZ분석 (2)'!C:C,'ABC-XYZ분석 (2)'!I:I)</f>
        <v>여름</v>
      </c>
      <c r="F4" s="328" t="str">
        <f>_xlfn.XLOOKUP(표11[[#This Row],[SKU코드]],'ABC-XYZ분석 (2)'!C:C,'ABC-XYZ분석 (2)'!AC:AC)</f>
        <v>A</v>
      </c>
      <c r="G4" s="312" t="str">
        <f>_xlfn.XLOOKUP(표11[[#This Row],[SKU코드]],'ABC-XYZ분석 (2)'!C:C,'ABC-XYZ분석 (2)'!AG:AG)</f>
        <v>Z</v>
      </c>
      <c r="H4" s="311">
        <f>SUMIF('ABC-XYZ분석 (2)'!C:C,표11[[#This Row],[SKU코드]],'ABC-XYZ분석 (2)'!X:X)/30</f>
        <v>0.37777777777777782</v>
      </c>
      <c r="I4" s="314">
        <v>30</v>
      </c>
      <c r="J4" s="314">
        <v>30</v>
      </c>
      <c r="K4" s="314">
        <f>SUMIF(안전재고!A:A,표11[[#This Row],[SKU코드]],안전재고!I:I)</f>
        <v>257</v>
      </c>
      <c r="L4" s="314">
        <f>SUMIF(재고!C:C,공급물량!B4,재고!I:I)</f>
        <v>0</v>
      </c>
      <c r="M4" s="352">
        <f>H4*I4*VLOOKUP(F4&amp;G4,{"AX",1;"AY",0.95;"AZ",0.85;"BX",0.95;"BY",0.85;"BZ",0.75;"CX",0.85;"CY",0.75;"CZ",0.65},2,0)+K4</f>
        <v>266.63333333333333</v>
      </c>
      <c r="N4" s="329">
        <f>MAX(0,(표11[[#This Row],[적정재고]]-표11[[#This Row],[현재고]]))</f>
        <v>266.63333333333333</v>
      </c>
      <c r="O4" s="314">
        <v>500</v>
      </c>
      <c r="P4" s="352">
        <f>CEILING(표11[[#This Row],[발주량]],표11[[#This Row],[MOQ]])</f>
        <v>500</v>
      </c>
      <c r="S4" s="345" t="s">
        <v>566</v>
      </c>
      <c r="T4" s="365">
        <v>0.85</v>
      </c>
    </row>
    <row r="5" spans="2:22">
      <c r="B5" s="158" t="s">
        <v>584</v>
      </c>
      <c r="C5" s="327"/>
      <c r="D5" s="327"/>
      <c r="E5" s="328" t="str">
        <f>_xlfn.XLOOKUP(표11[[#This Row],[SKU코드]],'ABC-XYZ분석 (2)'!C:C,'ABC-XYZ분석 (2)'!I:I)</f>
        <v>여름</v>
      </c>
      <c r="F5" s="328" t="str">
        <f>_xlfn.XLOOKUP(표11[[#This Row],[SKU코드]],'ABC-XYZ분석 (2)'!C:C,'ABC-XYZ분석 (2)'!AC:AC)</f>
        <v>A</v>
      </c>
      <c r="G5" s="312" t="str">
        <f>_xlfn.XLOOKUP(표11[[#This Row],[SKU코드]],'ABC-XYZ분석 (2)'!C:C,'ABC-XYZ분석 (2)'!AG:AG)</f>
        <v>Z</v>
      </c>
      <c r="H5" s="311">
        <f>SUMIF('ABC-XYZ분석 (2)'!C:C,표11[[#This Row],[SKU코드]],'ABC-XYZ분석 (2)'!X:X)/30</f>
        <v>0.24444444444444444</v>
      </c>
      <c r="I5" s="314">
        <v>30</v>
      </c>
      <c r="J5" s="314">
        <v>30</v>
      </c>
      <c r="K5" s="314">
        <f>SUMIF(안전재고!A:A,표11[[#This Row],[SKU코드]],안전재고!I:I)</f>
        <v>518</v>
      </c>
      <c r="L5" s="314">
        <f>SUMIF(재고!C:C,공급물량!B5,재고!I:I)</f>
        <v>0</v>
      </c>
      <c r="M5" s="352">
        <f>H5*I5*VLOOKUP(F5&amp;G5,{"AX",1;"AY",0.95;"AZ",0.85;"BX",0.95;"BY",0.85;"BZ",0.75;"CX",0.85;"CY",0.75;"CZ",0.65},2,0)+K5</f>
        <v>524.23333333333335</v>
      </c>
      <c r="N5" s="329">
        <f>MAX(0,(표11[[#This Row],[적정재고]]-표11[[#This Row],[현재고]]))</f>
        <v>524.23333333333335</v>
      </c>
      <c r="O5" s="314">
        <v>500</v>
      </c>
      <c r="P5" s="352">
        <f>CEILING(표11[[#This Row],[발주량]],표11[[#This Row],[MOQ]])</f>
        <v>1000</v>
      </c>
      <c r="S5" s="345" t="s">
        <v>402</v>
      </c>
      <c r="T5" s="365">
        <v>0.95</v>
      </c>
    </row>
    <row r="6" spans="2:22">
      <c r="B6" s="158" t="s">
        <v>585</v>
      </c>
      <c r="C6" s="327"/>
      <c r="D6" s="327"/>
      <c r="E6" s="328" t="str">
        <f>_xlfn.XLOOKUP(표11[[#This Row],[SKU코드]],'ABC-XYZ분석 (2)'!C:C,'ABC-XYZ분석 (2)'!I:I)</f>
        <v>여름</v>
      </c>
      <c r="F6" s="328" t="str">
        <f>_xlfn.XLOOKUP(표11[[#This Row],[SKU코드]],'ABC-XYZ분석 (2)'!C:C,'ABC-XYZ분석 (2)'!AC:AC)</f>
        <v>A</v>
      </c>
      <c r="G6" s="312" t="str">
        <f>_xlfn.XLOOKUP(표11[[#This Row],[SKU코드]],'ABC-XYZ분석 (2)'!C:C,'ABC-XYZ분석 (2)'!AG:AG)</f>
        <v>Z</v>
      </c>
      <c r="H6" s="311">
        <f>SUMIF('ABC-XYZ분석 (2)'!C:C,표11[[#This Row],[SKU코드]],'ABC-XYZ분석 (2)'!X:X)/30</f>
        <v>0.17777777777777776</v>
      </c>
      <c r="I6" s="314">
        <v>30</v>
      </c>
      <c r="J6" s="314">
        <v>30</v>
      </c>
      <c r="K6" s="314">
        <f>SUMIF(안전재고!A:A,표11[[#This Row],[SKU코드]],안전재고!I:I)</f>
        <v>187</v>
      </c>
      <c r="L6" s="314">
        <f>SUMIF(재고!C:C,공급물량!B6,재고!I:I)</f>
        <v>0</v>
      </c>
      <c r="M6" s="352">
        <f>H6*I6*VLOOKUP(F6&amp;G6,{"AX",1;"AY",0.95;"AZ",0.85;"BX",0.95;"BY",0.85;"BZ",0.75;"CX",0.85;"CY",0.75;"CZ",0.65},2,0)+K6</f>
        <v>191.53333333333333</v>
      </c>
      <c r="N6" s="329">
        <f>MAX(0,(표11[[#This Row],[적정재고]]-표11[[#This Row],[현재고]]))</f>
        <v>191.53333333333333</v>
      </c>
      <c r="O6" s="314">
        <v>500</v>
      </c>
      <c r="P6" s="352">
        <f>CEILING(표11[[#This Row],[발주량]],표11[[#This Row],[MOQ]])</f>
        <v>500</v>
      </c>
      <c r="S6" s="345" t="s">
        <v>567</v>
      </c>
      <c r="T6" s="365">
        <v>0.85</v>
      </c>
    </row>
    <row r="7" spans="2:22">
      <c r="B7" s="158" t="s">
        <v>586</v>
      </c>
      <c r="C7" s="327"/>
      <c r="D7" s="327"/>
      <c r="E7" s="328" t="str">
        <f>_xlfn.XLOOKUP(표11[[#This Row],[SKU코드]],'ABC-XYZ분석 (2)'!C:C,'ABC-XYZ분석 (2)'!I:I)</f>
        <v>여름</v>
      </c>
      <c r="F7" s="328" t="str">
        <f>_xlfn.XLOOKUP(표11[[#This Row],[SKU코드]],'ABC-XYZ분석 (2)'!C:C,'ABC-XYZ분석 (2)'!AC:AC)</f>
        <v>A</v>
      </c>
      <c r="G7" s="312" t="str">
        <f>_xlfn.XLOOKUP(표11[[#This Row],[SKU코드]],'ABC-XYZ분석 (2)'!C:C,'ABC-XYZ분석 (2)'!AG:AG)</f>
        <v>Z</v>
      </c>
      <c r="H7" s="311">
        <f>SUMIF('ABC-XYZ분석 (2)'!C:C,표11[[#This Row],[SKU코드]],'ABC-XYZ분석 (2)'!X:X)/30</f>
        <v>0.16666666666666666</v>
      </c>
      <c r="I7" s="314">
        <v>30</v>
      </c>
      <c r="J7" s="314">
        <v>30</v>
      </c>
      <c r="K7" s="314">
        <f>SUMIF(안전재고!A:A,표11[[#This Row],[SKU코드]],안전재고!I:I)</f>
        <v>763</v>
      </c>
      <c r="L7" s="314">
        <f>SUMIF(재고!C:C,공급물량!B7,재고!I:I)</f>
        <v>0</v>
      </c>
      <c r="M7" s="352">
        <f>H7*I7*VLOOKUP(F7&amp;G7,{"AX",1;"AY",0.95;"AZ",0.85;"BX",0.95;"BY",0.85;"BZ",0.75;"CX",0.85;"CY",0.75;"CZ",0.65},2,0)+K7</f>
        <v>767.25</v>
      </c>
      <c r="N7" s="329">
        <f>MAX(0,(표11[[#This Row],[적정재고]]-표11[[#This Row],[현재고]]))</f>
        <v>767.25</v>
      </c>
      <c r="O7" s="314">
        <v>500</v>
      </c>
      <c r="P7" s="352">
        <f>CEILING(표11[[#This Row],[발주량]],표11[[#This Row],[MOQ]])</f>
        <v>1000</v>
      </c>
      <c r="S7" s="345" t="s">
        <v>568</v>
      </c>
      <c r="T7" s="365">
        <v>0.75</v>
      </c>
    </row>
    <row r="8" spans="2:22">
      <c r="B8" s="158" t="s">
        <v>587</v>
      </c>
      <c r="C8" s="327"/>
      <c r="D8" s="327"/>
      <c r="E8" s="328" t="str">
        <f>_xlfn.XLOOKUP(표11[[#This Row],[SKU코드]],'ABC-XYZ분석 (2)'!C:C,'ABC-XYZ분석 (2)'!I:I)</f>
        <v>여름</v>
      </c>
      <c r="F8" s="328" t="str">
        <f>_xlfn.XLOOKUP(표11[[#This Row],[SKU코드]],'ABC-XYZ분석 (2)'!C:C,'ABC-XYZ분석 (2)'!AC:AC)</f>
        <v>A</v>
      </c>
      <c r="G8" s="312" t="str">
        <f>_xlfn.XLOOKUP(표11[[#This Row],[SKU코드]],'ABC-XYZ분석 (2)'!C:C,'ABC-XYZ분석 (2)'!AG:AG)</f>
        <v>Z</v>
      </c>
      <c r="H8" s="311">
        <f>SUMIF('ABC-XYZ분석 (2)'!C:C,표11[[#This Row],[SKU코드]],'ABC-XYZ분석 (2)'!X:X)/30</f>
        <v>0.2</v>
      </c>
      <c r="I8" s="314">
        <v>30</v>
      </c>
      <c r="J8" s="314">
        <v>30</v>
      </c>
      <c r="K8" s="314">
        <f>SUMIF(안전재고!A:A,표11[[#This Row],[SKU코드]],안전재고!I:I)</f>
        <v>631</v>
      </c>
      <c r="L8" s="314">
        <f>SUMIF(재고!C:C,공급물량!B8,재고!I:I)</f>
        <v>0</v>
      </c>
      <c r="M8" s="352">
        <f>H8*I8*VLOOKUP(F8&amp;G8,{"AX",1;"AY",0.95;"AZ",0.85;"BX",0.95;"BY",0.85;"BZ",0.75;"CX",0.85;"CY",0.75;"CZ",0.65},2,0)+K8</f>
        <v>636.1</v>
      </c>
      <c r="N8" s="329">
        <f>MAX(0,(표11[[#This Row],[적정재고]]-표11[[#This Row],[현재고]]))</f>
        <v>636.1</v>
      </c>
      <c r="O8" s="314">
        <v>500</v>
      </c>
      <c r="P8" s="352">
        <f>CEILING(표11[[#This Row],[발주량]],표11[[#This Row],[MOQ]])</f>
        <v>1000</v>
      </c>
      <c r="S8" s="345" t="s">
        <v>569</v>
      </c>
      <c r="T8" s="365">
        <v>0.85</v>
      </c>
    </row>
    <row r="9" spans="2:22">
      <c r="B9" s="158" t="s">
        <v>588</v>
      </c>
      <c r="C9" s="327"/>
      <c r="D9" s="327"/>
      <c r="E9" s="328" t="str">
        <f>_xlfn.XLOOKUP(표11[[#This Row],[SKU코드]],'ABC-XYZ분석 (2)'!C:C,'ABC-XYZ분석 (2)'!I:I)</f>
        <v>사계절</v>
      </c>
      <c r="F9" s="328" t="str">
        <f>_xlfn.XLOOKUP(표11[[#This Row],[SKU코드]],'ABC-XYZ분석 (2)'!C:C,'ABC-XYZ분석 (2)'!AC:AC)</f>
        <v>A</v>
      </c>
      <c r="G9" s="312" t="str">
        <f>_xlfn.XLOOKUP(표11[[#This Row],[SKU코드]],'ABC-XYZ분석 (2)'!C:C,'ABC-XYZ분석 (2)'!AG:AG)</f>
        <v>X</v>
      </c>
      <c r="H9" s="311">
        <f>SUMIF('ABC-XYZ분석 (2)'!C:C,표11[[#This Row],[SKU코드]],'ABC-XYZ분석 (2)'!X:X)/30</f>
        <v>34.277777777777779</v>
      </c>
      <c r="I9" s="314">
        <v>30</v>
      </c>
      <c r="J9" s="314">
        <v>30</v>
      </c>
      <c r="K9" s="314">
        <f>SUMIF(안전재고!A:A,표11[[#This Row],[SKU코드]],안전재고!I:I)</f>
        <v>63</v>
      </c>
      <c r="L9" s="314">
        <f>SUMIF(재고!C:C,공급물량!B9,재고!I:I)</f>
        <v>0</v>
      </c>
      <c r="M9" s="352">
        <f>H9*I9*VLOOKUP(F9&amp;G9,{"AX",1;"AY",0.95;"AZ",0.85;"BX",0.95;"BY",0.85;"BZ",0.75;"CX",0.85;"CY",0.75;"CZ",0.65},2,0)+K9</f>
        <v>1091.3333333333333</v>
      </c>
      <c r="N9" s="329">
        <f>MAX(0,(표11[[#This Row],[적정재고]]-표11[[#This Row],[현재고]]))</f>
        <v>1091.3333333333333</v>
      </c>
      <c r="O9" s="314">
        <v>500</v>
      </c>
      <c r="P9" s="352">
        <f>CEILING(표11[[#This Row],[발주량]],표11[[#This Row],[MOQ]])</f>
        <v>1500</v>
      </c>
      <c r="S9" s="345" t="s">
        <v>570</v>
      </c>
      <c r="T9" s="365">
        <v>0.75</v>
      </c>
    </row>
    <row r="10" spans="2:22">
      <c r="B10" s="158" t="s">
        <v>589</v>
      </c>
      <c r="C10" s="327"/>
      <c r="D10" s="327"/>
      <c r="E10" s="328" t="str">
        <f>_xlfn.XLOOKUP(표11[[#This Row],[SKU코드]],'ABC-XYZ분석 (2)'!C:C,'ABC-XYZ분석 (2)'!I:I)</f>
        <v>여름</v>
      </c>
      <c r="F10" s="328" t="str">
        <f>_xlfn.XLOOKUP(표11[[#This Row],[SKU코드]],'ABC-XYZ분석 (2)'!C:C,'ABC-XYZ분석 (2)'!AC:AC)</f>
        <v>A</v>
      </c>
      <c r="G10" s="312" t="str">
        <f>_xlfn.XLOOKUP(표11[[#This Row],[SKU코드]],'ABC-XYZ분석 (2)'!C:C,'ABC-XYZ분석 (2)'!AG:AG)</f>
        <v>Z</v>
      </c>
      <c r="H10" s="311">
        <f>SUMIF('ABC-XYZ분석 (2)'!C:C,표11[[#This Row],[SKU코드]],'ABC-XYZ분석 (2)'!X:X)/30</f>
        <v>0.12222222222222222</v>
      </c>
      <c r="I10" s="314">
        <v>30</v>
      </c>
      <c r="J10" s="314">
        <v>30</v>
      </c>
      <c r="K10" s="314">
        <f>SUMIF(안전재고!A:A,표11[[#This Row],[SKU코드]],안전재고!I:I)</f>
        <v>496</v>
      </c>
      <c r="L10" s="314">
        <f>SUMIF(재고!C:C,공급물량!B10,재고!I:I)</f>
        <v>0</v>
      </c>
      <c r="M10" s="352">
        <f>H10*I10*VLOOKUP(F10&amp;G10,{"AX",1;"AY",0.95;"AZ",0.85;"BX",0.95;"BY",0.85;"BZ",0.75;"CX",0.85;"CY",0.75;"CZ",0.65},2,0)+K10</f>
        <v>499.11666666666667</v>
      </c>
      <c r="N10" s="329">
        <f>MAX(0,(표11[[#This Row],[적정재고]]-표11[[#This Row],[현재고]]))</f>
        <v>499.11666666666667</v>
      </c>
      <c r="O10" s="314">
        <v>500</v>
      </c>
      <c r="P10" s="352">
        <f>CEILING(표11[[#This Row],[발주량]],표11[[#This Row],[MOQ]])</f>
        <v>500</v>
      </c>
      <c r="S10" s="345" t="s">
        <v>571</v>
      </c>
      <c r="T10" s="365">
        <v>0.65</v>
      </c>
    </row>
    <row r="11" spans="2:22">
      <c r="B11" s="158" t="s">
        <v>590</v>
      </c>
      <c r="C11" s="327"/>
      <c r="D11" s="327"/>
      <c r="E11" s="328" t="str">
        <f>_xlfn.XLOOKUP(표11[[#This Row],[SKU코드]],'ABC-XYZ분석 (2)'!C:C,'ABC-XYZ분석 (2)'!I:I)</f>
        <v>사계절</v>
      </c>
      <c r="F11" s="328" t="str">
        <f>_xlfn.XLOOKUP(표11[[#This Row],[SKU코드]],'ABC-XYZ분석 (2)'!C:C,'ABC-XYZ분석 (2)'!AC:AC)</f>
        <v>A</v>
      </c>
      <c r="G11" s="312" t="str">
        <f>_xlfn.XLOOKUP(표11[[#This Row],[SKU코드]],'ABC-XYZ분석 (2)'!C:C,'ABC-XYZ분석 (2)'!AG:AG)</f>
        <v>X</v>
      </c>
      <c r="H11" s="311">
        <f>SUMIF('ABC-XYZ분석 (2)'!C:C,표11[[#This Row],[SKU코드]],'ABC-XYZ분석 (2)'!X:X)/30</f>
        <v>16.033333333333335</v>
      </c>
      <c r="I11" s="314">
        <v>30</v>
      </c>
      <c r="J11" s="314">
        <v>30</v>
      </c>
      <c r="K11" s="314">
        <f>SUMIF(안전재고!A:A,표11[[#This Row],[SKU코드]],안전재고!I:I)</f>
        <v>57</v>
      </c>
      <c r="L11" s="314">
        <f>SUMIF(재고!C:C,공급물량!B11,재고!I:I)</f>
        <v>0</v>
      </c>
      <c r="M11" s="352">
        <f>H11*I11*VLOOKUP(F11&amp;G11,{"AX",1;"AY",0.95;"AZ",0.85;"BX",0.95;"BY",0.85;"BZ",0.75;"CX",0.85;"CY",0.75;"CZ",0.65},2,0)+K11</f>
        <v>538</v>
      </c>
      <c r="N11" s="329">
        <f>MAX(0,(표11[[#This Row],[적정재고]]-표11[[#This Row],[현재고]]))</f>
        <v>538</v>
      </c>
      <c r="O11" s="314">
        <v>500</v>
      </c>
      <c r="P11" s="352">
        <f>CEILING(표11[[#This Row],[발주량]],표11[[#This Row],[MOQ]])</f>
        <v>1000</v>
      </c>
    </row>
    <row r="12" spans="2:22">
      <c r="B12" s="158" t="s">
        <v>591</v>
      </c>
      <c r="C12" s="327"/>
      <c r="D12" s="327"/>
      <c r="E12" s="328" t="str">
        <f>_xlfn.XLOOKUP(표11[[#This Row],[SKU코드]],'ABC-XYZ분석 (2)'!C:C,'ABC-XYZ분석 (2)'!I:I)</f>
        <v>사계절</v>
      </c>
      <c r="F12" s="328" t="str">
        <f>_xlfn.XLOOKUP(표11[[#This Row],[SKU코드]],'ABC-XYZ분석 (2)'!C:C,'ABC-XYZ분석 (2)'!AC:AC)</f>
        <v>A</v>
      </c>
      <c r="G12" s="312" t="str">
        <f>_xlfn.XLOOKUP(표11[[#This Row],[SKU코드]],'ABC-XYZ분석 (2)'!C:C,'ABC-XYZ분석 (2)'!AG:AG)</f>
        <v>X</v>
      </c>
      <c r="H12" s="311">
        <f>SUMIF('ABC-XYZ분석 (2)'!C:C,표11[[#This Row],[SKU코드]],'ABC-XYZ분석 (2)'!X:X)/30</f>
        <v>71.966666666666669</v>
      </c>
      <c r="I12" s="314">
        <v>30</v>
      </c>
      <c r="J12" s="314">
        <v>30</v>
      </c>
      <c r="K12" s="314">
        <f>SUMIF(안전재고!A:A,표11[[#This Row],[SKU코드]],안전재고!I:I)</f>
        <v>160</v>
      </c>
      <c r="L12" s="314">
        <f>SUMIF(재고!C:C,공급물량!B12,재고!I:I)</f>
        <v>0</v>
      </c>
      <c r="M12" s="352">
        <f>H12*I12*VLOOKUP(F12&amp;G12,{"AX",1;"AY",0.95;"AZ",0.85;"BX",0.95;"BY",0.85;"BZ",0.75;"CX",0.85;"CY",0.75;"CZ",0.65},2,0)+K12</f>
        <v>2319</v>
      </c>
      <c r="N12" s="329">
        <f>MAX(0,(표11[[#This Row],[적정재고]]-표11[[#This Row],[현재고]]))</f>
        <v>2319</v>
      </c>
      <c r="O12" s="314">
        <v>500</v>
      </c>
      <c r="P12" s="352">
        <f>CEILING(표11[[#This Row],[발주량]],표11[[#This Row],[MOQ]])</f>
        <v>2500</v>
      </c>
    </row>
    <row r="13" spans="2:22">
      <c r="B13" s="158" t="s">
        <v>592</v>
      </c>
      <c r="C13" s="327"/>
      <c r="D13" s="327"/>
      <c r="E13" s="328" t="str">
        <f>_xlfn.XLOOKUP(표11[[#This Row],[SKU코드]],'ABC-XYZ분석 (2)'!C:C,'ABC-XYZ분석 (2)'!I:I)</f>
        <v>사계절</v>
      </c>
      <c r="F13" s="328" t="str">
        <f>_xlfn.XLOOKUP(표11[[#This Row],[SKU코드]],'ABC-XYZ분석 (2)'!C:C,'ABC-XYZ분석 (2)'!AC:AC)</f>
        <v>A</v>
      </c>
      <c r="G13" s="312" t="str">
        <f>_xlfn.XLOOKUP(표11[[#This Row],[SKU코드]],'ABC-XYZ분석 (2)'!C:C,'ABC-XYZ분석 (2)'!AG:AG)</f>
        <v>X</v>
      </c>
      <c r="H13" s="311">
        <f>SUMIF('ABC-XYZ분석 (2)'!C:C,표11[[#This Row],[SKU코드]],'ABC-XYZ분석 (2)'!X:X)/30</f>
        <v>18.766666666666666</v>
      </c>
      <c r="I13" s="314">
        <v>30</v>
      </c>
      <c r="J13" s="314">
        <v>30</v>
      </c>
      <c r="K13" s="314">
        <f>SUMIF(안전재고!A:A,표11[[#This Row],[SKU코드]],안전재고!I:I)</f>
        <v>50</v>
      </c>
      <c r="L13" s="314">
        <f>SUMIF(재고!C:C,공급물량!B13,재고!I:I)</f>
        <v>2800</v>
      </c>
      <c r="M13" s="352">
        <f>H13*I13*VLOOKUP(F13&amp;G13,{"AX",1;"AY",0.95;"AZ",0.85;"BX",0.95;"BY",0.85;"BZ",0.75;"CX",0.85;"CY",0.75;"CZ",0.65},2,0)+K13</f>
        <v>613</v>
      </c>
      <c r="N13" s="329">
        <f>MAX(0,(표11[[#This Row],[적정재고]]-표11[[#This Row],[현재고]]))</f>
        <v>0</v>
      </c>
      <c r="O13" s="314">
        <v>500</v>
      </c>
      <c r="P13" s="352">
        <f>CEILING(표11[[#This Row],[발주량]],표11[[#This Row],[MOQ]])</f>
        <v>0</v>
      </c>
    </row>
    <row r="14" spans="2:22">
      <c r="B14" s="158" t="s">
        <v>593</v>
      </c>
      <c r="C14" s="327"/>
      <c r="D14" s="327"/>
      <c r="E14" s="328" t="str">
        <f>_xlfn.XLOOKUP(표11[[#This Row],[SKU코드]],'ABC-XYZ분석 (2)'!C:C,'ABC-XYZ분석 (2)'!I:I)</f>
        <v>여름</v>
      </c>
      <c r="F14" s="328" t="str">
        <f>_xlfn.XLOOKUP(표11[[#This Row],[SKU코드]],'ABC-XYZ분석 (2)'!C:C,'ABC-XYZ분석 (2)'!AC:AC)</f>
        <v>A</v>
      </c>
      <c r="G14" s="312" t="str">
        <f>_xlfn.XLOOKUP(표11[[#This Row],[SKU코드]],'ABC-XYZ분석 (2)'!C:C,'ABC-XYZ분석 (2)'!AG:AG)</f>
        <v>Z</v>
      </c>
      <c r="H14" s="311">
        <f>SUMIF('ABC-XYZ분석 (2)'!C:C,표11[[#This Row],[SKU코드]],'ABC-XYZ분석 (2)'!X:X)/30</f>
        <v>2.6111111111111112</v>
      </c>
      <c r="I14" s="314">
        <v>30</v>
      </c>
      <c r="J14" s="314">
        <v>30</v>
      </c>
      <c r="K14" s="314">
        <f>SUMIF(안전재고!A:A,표11[[#This Row],[SKU코드]],안전재고!I:I)</f>
        <v>742</v>
      </c>
      <c r="L14" s="314">
        <f>SUMIF(재고!C:C,공급물량!B14,재고!I:I)</f>
        <v>1</v>
      </c>
      <c r="M14" s="352">
        <f>H14*I14*VLOOKUP(F14&amp;G14,{"AX",1;"AY",0.95;"AZ",0.85;"BX",0.95;"BY",0.85;"BZ",0.75;"CX",0.85;"CY",0.75;"CZ",0.65},2,0)+K14</f>
        <v>808.58333333333337</v>
      </c>
      <c r="N14" s="329">
        <f>MAX(0,(표11[[#This Row],[적정재고]]-표11[[#This Row],[현재고]]))</f>
        <v>807.58333333333337</v>
      </c>
      <c r="O14" s="314">
        <v>500</v>
      </c>
      <c r="P14" s="352">
        <f>CEILING(표11[[#This Row],[발주량]],표11[[#This Row],[MOQ]])</f>
        <v>1000</v>
      </c>
    </row>
    <row r="15" spans="2:22">
      <c r="B15" s="158" t="s">
        <v>594</v>
      </c>
      <c r="C15" s="327"/>
      <c r="D15" s="327"/>
      <c r="E15" s="328" t="str">
        <f>_xlfn.XLOOKUP(표11[[#This Row],[SKU코드]],'ABC-XYZ분석 (2)'!C:C,'ABC-XYZ분석 (2)'!I:I)</f>
        <v>사계절</v>
      </c>
      <c r="F15" s="328" t="str">
        <f>_xlfn.XLOOKUP(표11[[#This Row],[SKU코드]],'ABC-XYZ분석 (2)'!C:C,'ABC-XYZ분석 (2)'!AC:AC)</f>
        <v>A</v>
      </c>
      <c r="G15" s="312" t="str">
        <f>_xlfn.XLOOKUP(표11[[#This Row],[SKU코드]],'ABC-XYZ분석 (2)'!C:C,'ABC-XYZ분석 (2)'!AG:AG)</f>
        <v>Y</v>
      </c>
      <c r="H15" s="311">
        <f>SUMIF('ABC-XYZ분석 (2)'!C:C,표11[[#This Row],[SKU코드]],'ABC-XYZ분석 (2)'!X:X)/30</f>
        <v>18.588888888888889</v>
      </c>
      <c r="I15" s="314">
        <v>30</v>
      </c>
      <c r="J15" s="314">
        <v>30</v>
      </c>
      <c r="K15" s="314">
        <f>SUMIF(안전재고!A:A,표11[[#This Row],[SKU코드]],안전재고!I:I)</f>
        <v>47</v>
      </c>
      <c r="L15" s="314">
        <f>SUMIF(재고!C:C,공급물량!B15,재고!I:I)</f>
        <v>2</v>
      </c>
      <c r="M15" s="352">
        <f>H15*I15*VLOOKUP(F15&amp;G15,{"AX",1;"AY",0.95;"AZ",0.85;"BX",0.95;"BY",0.85;"BZ",0.75;"CX",0.85;"CY",0.75;"CZ",0.65},2,0)+K15</f>
        <v>576.7833333333333</v>
      </c>
      <c r="N15" s="329">
        <f>MAX(0,(표11[[#This Row],[적정재고]]-표11[[#This Row],[현재고]]))</f>
        <v>574.7833333333333</v>
      </c>
      <c r="O15" s="314">
        <v>500</v>
      </c>
      <c r="P15" s="352">
        <f>CEILING(표11[[#This Row],[발주량]],표11[[#This Row],[MOQ]])</f>
        <v>1000</v>
      </c>
    </row>
    <row r="16" spans="2:22">
      <c r="B16" s="158" t="s">
        <v>595</v>
      </c>
      <c r="C16" s="327"/>
      <c r="D16" s="327"/>
      <c r="E16" s="328" t="str">
        <f>_xlfn.XLOOKUP(표11[[#This Row],[SKU코드]],'ABC-XYZ분석 (2)'!C:C,'ABC-XYZ분석 (2)'!I:I)</f>
        <v>여름</v>
      </c>
      <c r="F16" s="328" t="str">
        <f>_xlfn.XLOOKUP(표11[[#This Row],[SKU코드]],'ABC-XYZ분석 (2)'!C:C,'ABC-XYZ분석 (2)'!AC:AC)</f>
        <v>A</v>
      </c>
      <c r="G16" s="312" t="str">
        <f>_xlfn.XLOOKUP(표11[[#This Row],[SKU코드]],'ABC-XYZ분석 (2)'!C:C,'ABC-XYZ분석 (2)'!AG:AG)</f>
        <v>Z</v>
      </c>
      <c r="H16" s="311">
        <f>SUMIF('ABC-XYZ분석 (2)'!C:C,표11[[#This Row],[SKU코드]],'ABC-XYZ분석 (2)'!X:X)/30</f>
        <v>0.12222222222222222</v>
      </c>
      <c r="I16" s="314">
        <v>30</v>
      </c>
      <c r="J16" s="314">
        <v>30</v>
      </c>
      <c r="K16" s="314">
        <f>SUMIF(안전재고!A:A,표11[[#This Row],[SKU코드]],안전재고!I:I)</f>
        <v>79</v>
      </c>
      <c r="L16" s="314">
        <f>SUMIF(재고!C:C,공급물량!B16,재고!I:I)</f>
        <v>0</v>
      </c>
      <c r="M16" s="352">
        <f>H16*I16*VLOOKUP(F16&amp;G16,{"AX",1;"AY",0.95;"AZ",0.85;"BX",0.95;"BY",0.85;"BZ",0.75;"CX",0.85;"CY",0.75;"CZ",0.65},2,0)+K16</f>
        <v>82.11666666666666</v>
      </c>
      <c r="N16" s="329">
        <f>MAX(0,(표11[[#This Row],[적정재고]]-표11[[#This Row],[현재고]]))</f>
        <v>82.11666666666666</v>
      </c>
      <c r="O16" s="314">
        <v>500</v>
      </c>
      <c r="P16" s="352">
        <f>CEILING(표11[[#This Row],[발주량]],표11[[#This Row],[MOQ]])</f>
        <v>500</v>
      </c>
    </row>
    <row r="17" spans="2:16">
      <c r="B17" s="158" t="s">
        <v>596</v>
      </c>
      <c r="C17" s="327"/>
      <c r="D17" s="327"/>
      <c r="E17" s="328" t="str">
        <f>_xlfn.XLOOKUP(표11[[#This Row],[SKU코드]],'ABC-XYZ분석 (2)'!C:C,'ABC-XYZ분석 (2)'!I:I)</f>
        <v>사계절</v>
      </c>
      <c r="F17" s="328" t="str">
        <f>_xlfn.XLOOKUP(표11[[#This Row],[SKU코드]],'ABC-XYZ분석 (2)'!C:C,'ABC-XYZ분석 (2)'!AC:AC)</f>
        <v>A</v>
      </c>
      <c r="G17" s="312" t="str">
        <f>_xlfn.XLOOKUP(표11[[#This Row],[SKU코드]],'ABC-XYZ분석 (2)'!C:C,'ABC-XYZ분석 (2)'!AG:AG)</f>
        <v>Y</v>
      </c>
      <c r="H17" s="311">
        <f>SUMIF('ABC-XYZ분석 (2)'!C:C,표11[[#This Row],[SKU코드]],'ABC-XYZ분석 (2)'!X:X)/30</f>
        <v>9.3777777777777764</v>
      </c>
      <c r="I17" s="314">
        <v>30</v>
      </c>
      <c r="J17" s="314">
        <v>30</v>
      </c>
      <c r="K17" s="314">
        <f>SUMIF(안전재고!A:A,표11[[#This Row],[SKU코드]],안전재고!I:I)</f>
        <v>45</v>
      </c>
      <c r="L17" s="314">
        <f>SUMIF(재고!C:C,공급물량!B17,재고!I:I)</f>
        <v>24</v>
      </c>
      <c r="M17" s="352">
        <f>H17*I17*VLOOKUP(F17&amp;G17,{"AX",1;"AY",0.95;"AZ",0.85;"BX",0.95;"BY",0.85;"BZ",0.75;"CX",0.85;"CY",0.75;"CZ",0.65},2,0)+K17</f>
        <v>312.26666666666665</v>
      </c>
      <c r="N17" s="329">
        <f>MAX(0,(표11[[#This Row],[적정재고]]-표11[[#This Row],[현재고]]))</f>
        <v>288.26666666666665</v>
      </c>
      <c r="O17" s="314">
        <v>500</v>
      </c>
      <c r="P17" s="352">
        <f>CEILING(표11[[#This Row],[발주량]],표11[[#This Row],[MOQ]])</f>
        <v>500</v>
      </c>
    </row>
    <row r="18" spans="2:16">
      <c r="B18" s="158" t="s">
        <v>597</v>
      </c>
      <c r="C18" s="327"/>
      <c r="D18" s="327"/>
      <c r="E18" s="328" t="str">
        <f>_xlfn.XLOOKUP(표11[[#This Row],[SKU코드]],'ABC-XYZ분석 (2)'!C:C,'ABC-XYZ분석 (2)'!I:I)</f>
        <v>사계절</v>
      </c>
      <c r="F18" s="328" t="str">
        <f>_xlfn.XLOOKUP(표11[[#This Row],[SKU코드]],'ABC-XYZ분석 (2)'!C:C,'ABC-XYZ분석 (2)'!AC:AC)</f>
        <v>A</v>
      </c>
      <c r="G18" s="312" t="str">
        <f>_xlfn.XLOOKUP(표11[[#This Row],[SKU코드]],'ABC-XYZ분석 (2)'!C:C,'ABC-XYZ분석 (2)'!AG:AG)</f>
        <v>Y</v>
      </c>
      <c r="H18" s="311">
        <f>SUMIF('ABC-XYZ분석 (2)'!C:C,표11[[#This Row],[SKU코드]],'ABC-XYZ분석 (2)'!X:X)/30</f>
        <v>1.4444444444444444</v>
      </c>
      <c r="I18" s="314">
        <v>30</v>
      </c>
      <c r="J18" s="314">
        <v>30</v>
      </c>
      <c r="K18" s="314">
        <f>SUMIF(안전재고!A:A,표11[[#This Row],[SKU코드]],안전재고!I:I)</f>
        <v>20</v>
      </c>
      <c r="L18" s="314">
        <f>SUMIF(재고!C:C,공급물량!B18,재고!I:I)</f>
        <v>10</v>
      </c>
      <c r="M18" s="352">
        <f>H18*I18*VLOOKUP(F18&amp;G18,{"AX",1;"AY",0.95;"AZ",0.85;"BX",0.95;"BY",0.85;"BZ",0.75;"CX",0.85;"CY",0.75;"CZ",0.65},2,0)+K18</f>
        <v>61.166666666666664</v>
      </c>
      <c r="N18" s="329">
        <f>MAX(0,(표11[[#This Row],[적정재고]]-표11[[#This Row],[현재고]]))</f>
        <v>51.166666666666664</v>
      </c>
      <c r="O18" s="314">
        <v>500</v>
      </c>
      <c r="P18" s="352">
        <f>CEILING(표11[[#This Row],[발주량]],표11[[#This Row],[MOQ]])</f>
        <v>500</v>
      </c>
    </row>
    <row r="19" spans="2:16">
      <c r="B19" s="158" t="s">
        <v>598</v>
      </c>
      <c r="C19" s="327"/>
      <c r="D19" s="327"/>
      <c r="E19" s="328" t="str">
        <f>_xlfn.XLOOKUP(표11[[#This Row],[SKU코드]],'ABC-XYZ분석 (2)'!C:C,'ABC-XYZ분석 (2)'!I:I)</f>
        <v>사계절</v>
      </c>
      <c r="F19" s="328" t="str">
        <f>_xlfn.XLOOKUP(표11[[#This Row],[SKU코드]],'ABC-XYZ분석 (2)'!C:C,'ABC-XYZ분석 (2)'!AC:AC)</f>
        <v>A</v>
      </c>
      <c r="G19" s="312" t="str">
        <f>_xlfn.XLOOKUP(표11[[#This Row],[SKU코드]],'ABC-XYZ분석 (2)'!C:C,'ABC-XYZ분석 (2)'!AG:AG)</f>
        <v>Y</v>
      </c>
      <c r="H19" s="311">
        <f>SUMIF('ABC-XYZ분석 (2)'!C:C,표11[[#This Row],[SKU코드]],'ABC-XYZ분석 (2)'!X:X)/30</f>
        <v>23.066666666666666</v>
      </c>
      <c r="I19" s="314">
        <v>30</v>
      </c>
      <c r="J19" s="314">
        <v>30</v>
      </c>
      <c r="K19" s="314">
        <f>SUMIF(안전재고!A:A,표11[[#This Row],[SKU코드]],안전재고!I:I)</f>
        <v>69</v>
      </c>
      <c r="L19" s="314">
        <f>SUMIF(재고!C:C,공급물량!B19,재고!I:I)</f>
        <v>47</v>
      </c>
      <c r="M19" s="352">
        <f>H19*I19*VLOOKUP(F19&amp;G19,{"AX",1;"AY",0.95;"AZ",0.85;"BX",0.95;"BY",0.85;"BZ",0.75;"CX",0.85;"CY",0.75;"CZ",0.65},2,0)+K19</f>
        <v>726.4</v>
      </c>
      <c r="N19" s="329">
        <f>MAX(0,(표11[[#This Row],[적정재고]]-표11[[#This Row],[현재고]]))</f>
        <v>679.4</v>
      </c>
      <c r="O19" s="314">
        <v>500</v>
      </c>
      <c r="P19" s="352">
        <f>CEILING(표11[[#This Row],[발주량]],표11[[#This Row],[MOQ]])</f>
        <v>1000</v>
      </c>
    </row>
    <row r="20" spans="2:16">
      <c r="B20" s="158" t="s">
        <v>599</v>
      </c>
      <c r="C20" s="327"/>
      <c r="D20" s="327"/>
      <c r="E20" s="328" t="str">
        <f>_xlfn.XLOOKUP(표11[[#This Row],[SKU코드]],'ABC-XYZ분석 (2)'!C:C,'ABC-XYZ분석 (2)'!I:I)</f>
        <v>사계절</v>
      </c>
      <c r="F20" s="328" t="str">
        <f>_xlfn.XLOOKUP(표11[[#This Row],[SKU코드]],'ABC-XYZ분석 (2)'!C:C,'ABC-XYZ분석 (2)'!AC:AC)</f>
        <v>A</v>
      </c>
      <c r="G20" s="312" t="str">
        <f>_xlfn.XLOOKUP(표11[[#This Row],[SKU코드]],'ABC-XYZ분석 (2)'!C:C,'ABC-XYZ분석 (2)'!AG:AG)</f>
        <v>X</v>
      </c>
      <c r="H20" s="311">
        <f>SUMIF('ABC-XYZ분석 (2)'!C:C,표11[[#This Row],[SKU코드]],'ABC-XYZ분석 (2)'!X:X)/30</f>
        <v>7.4777777777777779</v>
      </c>
      <c r="I20" s="314">
        <v>30</v>
      </c>
      <c r="J20" s="314">
        <v>30</v>
      </c>
      <c r="K20" s="314">
        <f>SUMIF(안전재고!A:A,표11[[#This Row],[SKU코드]],안전재고!I:I)</f>
        <v>24</v>
      </c>
      <c r="L20" s="314">
        <f>SUMIF(재고!C:C,공급물량!B20,재고!I:I)</f>
        <v>15</v>
      </c>
      <c r="M20" s="352">
        <f>H20*I20*VLOOKUP(F20&amp;G20,{"AX",1;"AY",0.95;"AZ",0.85;"BX",0.95;"BY",0.85;"BZ",0.75;"CX",0.85;"CY",0.75;"CZ",0.65},2,0)+K20</f>
        <v>248.33333333333334</v>
      </c>
      <c r="N20" s="329">
        <f>MAX(0,(표11[[#This Row],[적정재고]]-표11[[#This Row],[현재고]]))</f>
        <v>233.33333333333334</v>
      </c>
      <c r="O20" s="314">
        <v>500</v>
      </c>
      <c r="P20" s="352">
        <f>CEILING(표11[[#This Row],[발주량]],표11[[#This Row],[MOQ]])</f>
        <v>500</v>
      </c>
    </row>
    <row r="21" spans="2:16">
      <c r="B21" s="158" t="s">
        <v>600</v>
      </c>
      <c r="C21" s="327"/>
      <c r="D21" s="327"/>
      <c r="E21" s="328" t="str">
        <f>_xlfn.XLOOKUP(표11[[#This Row],[SKU코드]],'ABC-XYZ분석 (2)'!C:C,'ABC-XYZ분석 (2)'!I:I)</f>
        <v>사계절</v>
      </c>
      <c r="F21" s="328" t="str">
        <f>_xlfn.XLOOKUP(표11[[#This Row],[SKU코드]],'ABC-XYZ분석 (2)'!C:C,'ABC-XYZ분석 (2)'!AC:AC)</f>
        <v>A</v>
      </c>
      <c r="G21" s="312" t="str">
        <f>_xlfn.XLOOKUP(표11[[#This Row],[SKU코드]],'ABC-XYZ분석 (2)'!C:C,'ABC-XYZ분석 (2)'!AG:AG)</f>
        <v>Y</v>
      </c>
      <c r="H21" s="311">
        <f>SUMIF('ABC-XYZ분석 (2)'!C:C,표11[[#This Row],[SKU코드]],'ABC-XYZ분석 (2)'!X:X)/30</f>
        <v>9.31111111111111</v>
      </c>
      <c r="I21" s="314">
        <v>30</v>
      </c>
      <c r="J21" s="314">
        <v>30</v>
      </c>
      <c r="K21" s="314">
        <f>SUMIF(안전재고!A:A,표11[[#This Row],[SKU코드]],안전재고!I:I)</f>
        <v>48</v>
      </c>
      <c r="L21" s="314">
        <f>SUMIF(재고!C:C,공급물량!B21,재고!I:I)</f>
        <v>3</v>
      </c>
      <c r="M21" s="352">
        <f>H21*I21*VLOOKUP(F21&amp;G21,{"AX",1;"AY",0.95;"AZ",0.85;"BX",0.95;"BY",0.85;"BZ",0.75;"CX",0.85;"CY",0.75;"CZ",0.65},2,0)+K21</f>
        <v>313.36666666666662</v>
      </c>
      <c r="N21" s="329">
        <f>MAX(0,(표11[[#This Row],[적정재고]]-표11[[#This Row],[현재고]]))</f>
        <v>310.36666666666662</v>
      </c>
      <c r="O21" s="314">
        <v>500</v>
      </c>
      <c r="P21" s="352">
        <f>CEILING(표11[[#This Row],[발주량]],표11[[#This Row],[MOQ]])</f>
        <v>500</v>
      </c>
    </row>
    <row r="22" spans="2:16">
      <c r="B22" s="158" t="s">
        <v>601</v>
      </c>
      <c r="C22" s="327"/>
      <c r="D22" s="327"/>
      <c r="E22" s="328" t="str">
        <f>_xlfn.XLOOKUP(표11[[#This Row],[SKU코드]],'ABC-XYZ분석 (2)'!C:C,'ABC-XYZ분석 (2)'!I:I)</f>
        <v>사계절</v>
      </c>
      <c r="F22" s="328" t="str">
        <f>_xlfn.XLOOKUP(표11[[#This Row],[SKU코드]],'ABC-XYZ분석 (2)'!C:C,'ABC-XYZ분석 (2)'!AC:AC)</f>
        <v>A</v>
      </c>
      <c r="G22" s="312" t="str">
        <f>_xlfn.XLOOKUP(표11[[#This Row],[SKU코드]],'ABC-XYZ분석 (2)'!C:C,'ABC-XYZ분석 (2)'!AG:AG)</f>
        <v>Y</v>
      </c>
      <c r="H22" s="311">
        <f>SUMIF('ABC-XYZ분석 (2)'!C:C,표11[[#This Row],[SKU코드]],'ABC-XYZ분석 (2)'!X:X)/30</f>
        <v>7.177777777777778</v>
      </c>
      <c r="I22" s="314">
        <v>30</v>
      </c>
      <c r="J22" s="314">
        <v>30</v>
      </c>
      <c r="K22" s="314">
        <f>SUMIF(안전재고!A:A,표11[[#This Row],[SKU코드]],안전재고!I:I)</f>
        <v>47</v>
      </c>
      <c r="L22" s="314">
        <f>SUMIF(재고!C:C,공급물량!B22,재고!I:I)</f>
        <v>6</v>
      </c>
      <c r="M22" s="352">
        <f>H22*I22*VLOOKUP(F22&amp;G22,{"AX",1;"AY",0.95;"AZ",0.85;"BX",0.95;"BY",0.85;"BZ",0.75;"CX",0.85;"CY",0.75;"CZ",0.65},2,0)+K22</f>
        <v>251.56666666666666</v>
      </c>
      <c r="N22" s="329">
        <f>MAX(0,(표11[[#This Row],[적정재고]]-표11[[#This Row],[현재고]]))</f>
        <v>245.56666666666666</v>
      </c>
      <c r="O22" s="314">
        <v>500</v>
      </c>
      <c r="P22" s="352">
        <f>CEILING(표11[[#This Row],[발주량]],표11[[#This Row],[MOQ]])</f>
        <v>500</v>
      </c>
    </row>
    <row r="23" spans="2:16">
      <c r="B23" s="158" t="s">
        <v>602</v>
      </c>
      <c r="C23" s="327"/>
      <c r="D23" s="327"/>
      <c r="E23" s="328" t="str">
        <f>_xlfn.XLOOKUP(표11[[#This Row],[SKU코드]],'ABC-XYZ분석 (2)'!C:C,'ABC-XYZ분석 (2)'!I:I)</f>
        <v>여름</v>
      </c>
      <c r="F23" s="328" t="str">
        <f>_xlfn.XLOOKUP(표11[[#This Row],[SKU코드]],'ABC-XYZ분석 (2)'!C:C,'ABC-XYZ분석 (2)'!AC:AC)</f>
        <v>A</v>
      </c>
      <c r="G23" s="312" t="str">
        <f>_xlfn.XLOOKUP(표11[[#This Row],[SKU코드]],'ABC-XYZ분석 (2)'!C:C,'ABC-XYZ분석 (2)'!AG:AG)</f>
        <v>Z</v>
      </c>
      <c r="H23" s="311">
        <f>SUMIF('ABC-XYZ분석 (2)'!C:C,표11[[#This Row],[SKU코드]],'ABC-XYZ분석 (2)'!X:X)/30</f>
        <v>1.6888888888888889</v>
      </c>
      <c r="I23" s="314">
        <v>30</v>
      </c>
      <c r="J23" s="314">
        <v>30</v>
      </c>
      <c r="K23" s="314">
        <f>SUMIF(안전재고!A:A,표11[[#This Row],[SKU코드]],안전재고!I:I)</f>
        <v>350</v>
      </c>
      <c r="L23" s="314">
        <f>SUMIF(재고!C:C,공급물량!B23,재고!I:I)</f>
        <v>12</v>
      </c>
      <c r="M23" s="352">
        <f>H23*I23*VLOOKUP(F23&amp;G23,{"AX",1;"AY",0.95;"AZ",0.85;"BX",0.95;"BY",0.85;"BZ",0.75;"CX",0.85;"CY",0.75;"CZ",0.65},2,0)+K23</f>
        <v>393.06666666666666</v>
      </c>
      <c r="N23" s="329">
        <f>MAX(0,(표11[[#This Row],[적정재고]]-표11[[#This Row],[현재고]]))</f>
        <v>381.06666666666666</v>
      </c>
      <c r="O23" s="314">
        <v>500</v>
      </c>
      <c r="P23" s="352">
        <f>CEILING(표11[[#This Row],[발주량]],표11[[#This Row],[MOQ]])</f>
        <v>500</v>
      </c>
    </row>
    <row r="24" spans="2:16">
      <c r="B24" s="158" t="s">
        <v>603</v>
      </c>
      <c r="C24" s="327"/>
      <c r="D24" s="327"/>
      <c r="E24" s="328" t="str">
        <f>_xlfn.XLOOKUP(표11[[#This Row],[SKU코드]],'ABC-XYZ분석 (2)'!C:C,'ABC-XYZ분석 (2)'!I:I)</f>
        <v>사계절</v>
      </c>
      <c r="F24" s="328" t="str">
        <f>_xlfn.XLOOKUP(표11[[#This Row],[SKU코드]],'ABC-XYZ분석 (2)'!C:C,'ABC-XYZ분석 (2)'!AC:AC)</f>
        <v>A</v>
      </c>
      <c r="G24" s="312" t="str">
        <f>_xlfn.XLOOKUP(표11[[#This Row],[SKU코드]],'ABC-XYZ분석 (2)'!C:C,'ABC-XYZ분석 (2)'!AG:AG)</f>
        <v>X</v>
      </c>
      <c r="H24" s="311">
        <f>SUMIF('ABC-XYZ분석 (2)'!C:C,표11[[#This Row],[SKU코드]],'ABC-XYZ분석 (2)'!X:X)/30</f>
        <v>11.755555555555556</v>
      </c>
      <c r="I24" s="314">
        <v>30</v>
      </c>
      <c r="J24" s="314">
        <v>30</v>
      </c>
      <c r="K24" s="314">
        <f>SUMIF(안전재고!A:A,표11[[#This Row],[SKU코드]],안전재고!I:I)</f>
        <v>26</v>
      </c>
      <c r="L24" s="314">
        <f>SUMIF(재고!C:C,공급물량!B24,재고!I:I)</f>
        <v>17</v>
      </c>
      <c r="M24" s="352">
        <f>H24*I24*VLOOKUP(F24&amp;G24,{"AX",1;"AY",0.95;"AZ",0.85;"BX",0.95;"BY",0.85;"BZ",0.75;"CX",0.85;"CY",0.75;"CZ",0.65},2,0)+K24</f>
        <v>378.66666666666669</v>
      </c>
      <c r="N24" s="329">
        <f>MAX(0,(표11[[#This Row],[적정재고]]-표11[[#This Row],[현재고]]))</f>
        <v>361.66666666666669</v>
      </c>
      <c r="O24" s="314">
        <v>500</v>
      </c>
      <c r="P24" s="352">
        <f>CEILING(표11[[#This Row],[발주량]],표11[[#This Row],[MOQ]])</f>
        <v>500</v>
      </c>
    </row>
    <row r="25" spans="2:16">
      <c r="B25" s="158" t="s">
        <v>604</v>
      </c>
      <c r="C25" s="327"/>
      <c r="D25" s="327"/>
      <c r="E25" s="328" t="str">
        <f>_xlfn.XLOOKUP(표11[[#This Row],[SKU코드]],'ABC-XYZ분석 (2)'!C:C,'ABC-XYZ분석 (2)'!I:I)</f>
        <v>여름</v>
      </c>
      <c r="F25" s="328" t="str">
        <f>_xlfn.XLOOKUP(표11[[#This Row],[SKU코드]],'ABC-XYZ분석 (2)'!C:C,'ABC-XYZ분석 (2)'!AC:AC)</f>
        <v>A</v>
      </c>
      <c r="G25" s="312" t="str">
        <f>_xlfn.XLOOKUP(표11[[#This Row],[SKU코드]],'ABC-XYZ분석 (2)'!C:C,'ABC-XYZ분석 (2)'!AG:AG)</f>
        <v>Y</v>
      </c>
      <c r="H25" s="311">
        <f>SUMIF('ABC-XYZ분석 (2)'!C:C,표11[[#This Row],[SKU코드]],'ABC-XYZ분석 (2)'!X:X)/30</f>
        <v>0.25555555555555559</v>
      </c>
      <c r="I25" s="314">
        <v>30</v>
      </c>
      <c r="J25" s="314">
        <v>30</v>
      </c>
      <c r="K25" s="314">
        <f>SUMIF(안전재고!A:A,표11[[#This Row],[SKU코드]],안전재고!I:I)</f>
        <v>59</v>
      </c>
      <c r="L25" s="314">
        <f>SUMIF(재고!C:C,공급물량!B25,재고!I:I)</f>
        <v>58</v>
      </c>
      <c r="M25" s="352">
        <f>H25*I25*VLOOKUP(F25&amp;G25,{"AX",1;"AY",0.95;"AZ",0.85;"BX",0.95;"BY",0.85;"BZ",0.75;"CX",0.85;"CY",0.75;"CZ",0.65},2,0)+K25</f>
        <v>66.283333333333331</v>
      </c>
      <c r="N25" s="329">
        <f>MAX(0,(표11[[#This Row],[적정재고]]-표11[[#This Row],[현재고]]))</f>
        <v>8.2833333333333314</v>
      </c>
      <c r="O25" s="314">
        <v>500</v>
      </c>
      <c r="P25" s="352">
        <f>CEILING(표11[[#This Row],[발주량]],표11[[#This Row],[MOQ]])</f>
        <v>500</v>
      </c>
    </row>
    <row r="26" spans="2:16">
      <c r="B26" s="158" t="s">
        <v>605</v>
      </c>
      <c r="C26" s="327"/>
      <c r="D26" s="327"/>
      <c r="E26" s="328" t="str">
        <f>_xlfn.XLOOKUP(표11[[#This Row],[SKU코드]],'ABC-XYZ분석 (2)'!C:C,'ABC-XYZ분석 (2)'!I:I)</f>
        <v>사계절</v>
      </c>
      <c r="F26" s="328" t="str">
        <f>_xlfn.XLOOKUP(표11[[#This Row],[SKU코드]],'ABC-XYZ분석 (2)'!C:C,'ABC-XYZ분석 (2)'!AC:AC)</f>
        <v>A</v>
      </c>
      <c r="G26" s="312" t="str">
        <f>_xlfn.XLOOKUP(표11[[#This Row],[SKU코드]],'ABC-XYZ분석 (2)'!C:C,'ABC-XYZ분석 (2)'!AG:AG)</f>
        <v>Y</v>
      </c>
      <c r="H26" s="311">
        <f>SUMIF('ABC-XYZ분석 (2)'!C:C,표11[[#This Row],[SKU코드]],'ABC-XYZ분석 (2)'!X:X)/30</f>
        <v>6.8888888888888884</v>
      </c>
      <c r="I26" s="314">
        <v>30</v>
      </c>
      <c r="J26" s="314">
        <v>30</v>
      </c>
      <c r="K26" s="314">
        <f>SUMIF(안전재고!A:A,표11[[#This Row],[SKU코드]],안전재고!I:I)</f>
        <v>39</v>
      </c>
      <c r="L26" s="314">
        <f>SUMIF(재고!C:C,공급물량!B26,재고!I:I)</f>
        <v>3</v>
      </c>
      <c r="M26" s="352">
        <f>H26*I26*VLOOKUP(F26&amp;G26,{"AX",1;"AY",0.95;"AZ",0.85;"BX",0.95;"BY",0.85;"BZ",0.75;"CX",0.85;"CY",0.75;"CZ",0.65},2,0)+K26</f>
        <v>235.33333333333331</v>
      </c>
      <c r="N26" s="329">
        <f>MAX(0,(표11[[#This Row],[적정재고]]-표11[[#This Row],[현재고]]))</f>
        <v>232.33333333333331</v>
      </c>
      <c r="O26" s="314">
        <v>500</v>
      </c>
      <c r="P26" s="352">
        <f>CEILING(표11[[#This Row],[발주량]],표11[[#This Row],[MOQ]])</f>
        <v>500</v>
      </c>
    </row>
    <row r="27" spans="2:16">
      <c r="B27" s="158" t="s">
        <v>606</v>
      </c>
      <c r="C27" s="327"/>
      <c r="D27" s="327"/>
      <c r="E27" s="328" t="str">
        <f>_xlfn.XLOOKUP(표11[[#This Row],[SKU코드]],'ABC-XYZ분석 (2)'!C:C,'ABC-XYZ분석 (2)'!I:I)</f>
        <v>사계절</v>
      </c>
      <c r="F27" s="328" t="str">
        <f>_xlfn.XLOOKUP(표11[[#This Row],[SKU코드]],'ABC-XYZ분석 (2)'!C:C,'ABC-XYZ분석 (2)'!AC:AC)</f>
        <v>A</v>
      </c>
      <c r="G27" s="312" t="str">
        <f>_xlfn.XLOOKUP(표11[[#This Row],[SKU코드]],'ABC-XYZ분석 (2)'!C:C,'ABC-XYZ분석 (2)'!AG:AG)</f>
        <v>Y</v>
      </c>
      <c r="H27" s="311">
        <f>SUMIF('ABC-XYZ분석 (2)'!C:C,표11[[#This Row],[SKU코드]],'ABC-XYZ분석 (2)'!X:X)/30</f>
        <v>8.9666666666666668</v>
      </c>
      <c r="I27" s="314">
        <v>30</v>
      </c>
      <c r="J27" s="314">
        <v>30</v>
      </c>
      <c r="K27" s="314">
        <f>SUMIF(안전재고!A:A,표11[[#This Row],[SKU코드]],안전재고!I:I)</f>
        <v>39</v>
      </c>
      <c r="L27" s="314">
        <f>SUMIF(재고!C:C,공급물량!B27,재고!I:I)</f>
        <v>4</v>
      </c>
      <c r="M27" s="352">
        <f>H27*I27*VLOOKUP(F27&amp;G27,{"AX",1;"AY",0.95;"AZ",0.85;"BX",0.95;"BY",0.85;"BZ",0.75;"CX",0.85;"CY",0.75;"CZ",0.65},2,0)+K27</f>
        <v>294.54999999999995</v>
      </c>
      <c r="N27" s="329">
        <f>MAX(0,(표11[[#This Row],[적정재고]]-표11[[#This Row],[현재고]]))</f>
        <v>290.54999999999995</v>
      </c>
      <c r="O27" s="314">
        <v>500</v>
      </c>
      <c r="P27" s="352">
        <f>CEILING(표11[[#This Row],[발주량]],표11[[#This Row],[MOQ]])</f>
        <v>500</v>
      </c>
    </row>
    <row r="28" spans="2:16">
      <c r="B28" s="158" t="s">
        <v>607</v>
      </c>
      <c r="C28" s="327"/>
      <c r="D28" s="327"/>
      <c r="E28" s="328" t="str">
        <f>_xlfn.XLOOKUP(표11[[#This Row],[SKU코드]],'ABC-XYZ분석 (2)'!C:C,'ABC-XYZ분석 (2)'!I:I)</f>
        <v>여름</v>
      </c>
      <c r="F28" s="328" t="str">
        <f>_xlfn.XLOOKUP(표11[[#This Row],[SKU코드]],'ABC-XYZ분석 (2)'!C:C,'ABC-XYZ분석 (2)'!AC:AC)</f>
        <v>A</v>
      </c>
      <c r="G28" s="312" t="str">
        <f>_xlfn.XLOOKUP(표11[[#This Row],[SKU코드]],'ABC-XYZ분석 (2)'!C:C,'ABC-XYZ분석 (2)'!AG:AG)</f>
        <v>Z</v>
      </c>
      <c r="H28" s="311">
        <f>SUMIF('ABC-XYZ분석 (2)'!C:C,표11[[#This Row],[SKU코드]],'ABC-XYZ분석 (2)'!X:X)/30</f>
        <v>0.11111111111111112</v>
      </c>
      <c r="I28" s="314">
        <v>30</v>
      </c>
      <c r="J28" s="314">
        <v>30</v>
      </c>
      <c r="K28" s="314">
        <f>SUMIF(안전재고!A:A,표11[[#This Row],[SKU코드]],안전재고!I:I)</f>
        <v>178</v>
      </c>
      <c r="L28" s="314">
        <f>SUMIF(재고!C:C,공급물량!B28,재고!I:I)</f>
        <v>5</v>
      </c>
      <c r="M28" s="352">
        <f>H28*I28*VLOOKUP(F28&amp;G28,{"AX",1;"AY",0.95;"AZ",0.85;"BX",0.95;"BY",0.85;"BZ",0.75;"CX",0.85;"CY",0.75;"CZ",0.65},2,0)+K28</f>
        <v>180.83333333333334</v>
      </c>
      <c r="N28" s="329">
        <f>MAX(0,(표11[[#This Row],[적정재고]]-표11[[#This Row],[현재고]]))</f>
        <v>175.83333333333334</v>
      </c>
      <c r="O28" s="314">
        <v>500</v>
      </c>
      <c r="P28" s="352">
        <f>CEILING(표11[[#This Row],[발주량]],표11[[#This Row],[MOQ]])</f>
        <v>500</v>
      </c>
    </row>
    <row r="29" spans="2:16">
      <c r="B29" s="158" t="s">
        <v>608</v>
      </c>
      <c r="C29" s="327"/>
      <c r="D29" s="327"/>
      <c r="E29" s="328" t="str">
        <f>_xlfn.XLOOKUP(표11[[#This Row],[SKU코드]],'ABC-XYZ분석 (2)'!C:C,'ABC-XYZ분석 (2)'!I:I)</f>
        <v>사계절</v>
      </c>
      <c r="F29" s="328" t="str">
        <f>_xlfn.XLOOKUP(표11[[#This Row],[SKU코드]],'ABC-XYZ분석 (2)'!C:C,'ABC-XYZ분석 (2)'!AC:AC)</f>
        <v>A</v>
      </c>
      <c r="G29" s="312" t="str">
        <f>_xlfn.XLOOKUP(표11[[#This Row],[SKU코드]],'ABC-XYZ분석 (2)'!C:C,'ABC-XYZ분석 (2)'!AG:AG)</f>
        <v>Y</v>
      </c>
      <c r="H29" s="311">
        <f>SUMIF('ABC-XYZ분석 (2)'!C:C,표11[[#This Row],[SKU코드]],'ABC-XYZ분석 (2)'!X:X)/30</f>
        <v>6.5444444444444452</v>
      </c>
      <c r="I29" s="314">
        <v>30</v>
      </c>
      <c r="J29" s="314">
        <v>30</v>
      </c>
      <c r="K29" s="314">
        <f>SUMIF(안전재고!A:A,표11[[#This Row],[SKU코드]],안전재고!I:I)</f>
        <v>27</v>
      </c>
      <c r="L29" s="314">
        <f>SUMIF(재고!C:C,공급물량!B29,재고!I:I)</f>
        <v>15</v>
      </c>
      <c r="M29" s="352">
        <f>H29*I29*VLOOKUP(F29&amp;G29,{"AX",1;"AY",0.95;"AZ",0.85;"BX",0.95;"BY",0.85;"BZ",0.75;"CX",0.85;"CY",0.75;"CZ",0.65},2,0)+K29</f>
        <v>213.51666666666668</v>
      </c>
      <c r="N29" s="329">
        <f>MAX(0,(표11[[#This Row],[적정재고]]-표11[[#This Row],[현재고]]))</f>
        <v>198.51666666666668</v>
      </c>
      <c r="O29" s="314">
        <v>500</v>
      </c>
      <c r="P29" s="352">
        <f>CEILING(표11[[#This Row],[발주량]],표11[[#This Row],[MOQ]])</f>
        <v>500</v>
      </c>
    </row>
    <row r="30" spans="2:16">
      <c r="B30" s="158" t="s">
        <v>609</v>
      </c>
      <c r="C30" s="327"/>
      <c r="D30" s="327"/>
      <c r="E30" s="328" t="str">
        <f>_xlfn.XLOOKUP(표11[[#This Row],[SKU코드]],'ABC-XYZ분석 (2)'!C:C,'ABC-XYZ분석 (2)'!I:I)</f>
        <v>여름</v>
      </c>
      <c r="F30" s="328" t="str">
        <f>_xlfn.XLOOKUP(표11[[#This Row],[SKU코드]],'ABC-XYZ분석 (2)'!C:C,'ABC-XYZ분석 (2)'!AC:AC)</f>
        <v>A</v>
      </c>
      <c r="G30" s="312" t="str">
        <f>_xlfn.XLOOKUP(표11[[#This Row],[SKU코드]],'ABC-XYZ분석 (2)'!C:C,'ABC-XYZ분석 (2)'!AG:AG)</f>
        <v>Z</v>
      </c>
      <c r="H30" s="311">
        <f>SUMIF('ABC-XYZ분석 (2)'!C:C,표11[[#This Row],[SKU코드]],'ABC-XYZ분석 (2)'!X:X)/30</f>
        <v>0.13333333333333333</v>
      </c>
      <c r="I30" s="314">
        <v>30</v>
      </c>
      <c r="J30" s="314">
        <v>30</v>
      </c>
      <c r="K30" s="314">
        <f>SUMIF(안전재고!A:A,표11[[#This Row],[SKU코드]],안전재고!I:I)</f>
        <v>65</v>
      </c>
      <c r="L30" s="314">
        <f>SUMIF(재고!C:C,공급물량!B30,재고!I:I)</f>
        <v>11</v>
      </c>
      <c r="M30" s="352">
        <f>H30*I30*VLOOKUP(F30&amp;G30,{"AX",1;"AY",0.95;"AZ",0.85;"BX",0.95;"BY",0.85;"BZ",0.75;"CX",0.85;"CY",0.75;"CZ",0.65},2,0)+K30</f>
        <v>68.400000000000006</v>
      </c>
      <c r="N30" s="329">
        <f>MAX(0,(표11[[#This Row],[적정재고]]-표11[[#This Row],[현재고]]))</f>
        <v>57.400000000000006</v>
      </c>
      <c r="O30" s="314">
        <v>500</v>
      </c>
      <c r="P30" s="352">
        <f>CEILING(표11[[#This Row],[발주량]],표11[[#This Row],[MOQ]])</f>
        <v>500</v>
      </c>
    </row>
    <row r="31" spans="2:16">
      <c r="B31" s="158" t="s">
        <v>610</v>
      </c>
      <c r="C31" s="327"/>
      <c r="D31" s="327"/>
      <c r="E31" s="328" t="str">
        <f>_xlfn.XLOOKUP(표11[[#This Row],[SKU코드]],'ABC-XYZ분석 (2)'!C:C,'ABC-XYZ분석 (2)'!I:I)</f>
        <v>사계절</v>
      </c>
      <c r="F31" s="328" t="str">
        <f>_xlfn.XLOOKUP(표11[[#This Row],[SKU코드]],'ABC-XYZ분석 (2)'!C:C,'ABC-XYZ분석 (2)'!AC:AC)</f>
        <v>A</v>
      </c>
      <c r="G31" s="312" t="str">
        <f>_xlfn.XLOOKUP(표11[[#This Row],[SKU코드]],'ABC-XYZ분석 (2)'!C:C,'ABC-XYZ분석 (2)'!AG:AG)</f>
        <v>X</v>
      </c>
      <c r="H31" s="311">
        <f>SUMIF('ABC-XYZ분석 (2)'!C:C,표11[[#This Row],[SKU코드]],'ABC-XYZ분석 (2)'!X:X)/30</f>
        <v>13.644444444444444</v>
      </c>
      <c r="I31" s="314">
        <v>30</v>
      </c>
      <c r="J31" s="314">
        <v>30</v>
      </c>
      <c r="K31" s="314">
        <f>SUMIF(안전재고!A:A,표11[[#This Row],[SKU코드]],안전재고!I:I)</f>
        <v>38</v>
      </c>
      <c r="L31" s="314">
        <f>SUMIF(재고!C:C,공급물량!B31,재고!I:I)</f>
        <v>17</v>
      </c>
      <c r="M31" s="352">
        <f>H31*I31*VLOOKUP(F31&amp;G31,{"AX",1;"AY",0.95;"AZ",0.85;"BX",0.95;"BY",0.85;"BZ",0.75;"CX",0.85;"CY",0.75;"CZ",0.65},2,0)+K31</f>
        <v>447.33333333333331</v>
      </c>
      <c r="N31" s="329">
        <f>MAX(0,(표11[[#This Row],[적정재고]]-표11[[#This Row],[현재고]]))</f>
        <v>430.33333333333331</v>
      </c>
      <c r="O31" s="314">
        <v>500</v>
      </c>
      <c r="P31" s="352">
        <f>CEILING(표11[[#This Row],[발주량]],표11[[#This Row],[MOQ]])</f>
        <v>500</v>
      </c>
    </row>
    <row r="32" spans="2:16">
      <c r="B32" s="158" t="s">
        <v>611</v>
      </c>
      <c r="C32" s="327"/>
      <c r="D32" s="327"/>
      <c r="E32" s="328" t="str">
        <f>_xlfn.XLOOKUP(표11[[#This Row],[SKU코드]],'ABC-XYZ분석 (2)'!C:C,'ABC-XYZ분석 (2)'!I:I)</f>
        <v>여름</v>
      </c>
      <c r="F32" s="328" t="str">
        <f>_xlfn.XLOOKUP(표11[[#This Row],[SKU코드]],'ABC-XYZ분석 (2)'!C:C,'ABC-XYZ분석 (2)'!AC:AC)</f>
        <v>A</v>
      </c>
      <c r="G32" s="312" t="str">
        <f>_xlfn.XLOOKUP(표11[[#This Row],[SKU코드]],'ABC-XYZ분석 (2)'!C:C,'ABC-XYZ분석 (2)'!AG:AG)</f>
        <v>Y</v>
      </c>
      <c r="H32" s="311">
        <f>SUMIF('ABC-XYZ분석 (2)'!C:C,표11[[#This Row],[SKU코드]],'ABC-XYZ분석 (2)'!X:X)/30</f>
        <v>0.11111111111111112</v>
      </c>
      <c r="I32" s="314">
        <v>30</v>
      </c>
      <c r="J32" s="314">
        <v>30</v>
      </c>
      <c r="K32" s="314">
        <f>SUMIF(안전재고!A:A,표11[[#This Row],[SKU코드]],안전재고!I:I)</f>
        <v>41</v>
      </c>
      <c r="L32" s="314">
        <f>SUMIF(재고!C:C,공급물량!B32,재고!I:I)</f>
        <v>0</v>
      </c>
      <c r="M32" s="352">
        <f>H32*I32*VLOOKUP(F32&amp;G32,{"AX",1;"AY",0.95;"AZ",0.85;"BX",0.95;"BY",0.85;"BZ",0.75;"CX",0.85;"CY",0.75;"CZ",0.65},2,0)+K32</f>
        <v>44.166666666666664</v>
      </c>
      <c r="N32" s="329">
        <f>MAX(0,(표11[[#This Row],[적정재고]]-표11[[#This Row],[현재고]]))</f>
        <v>44.166666666666664</v>
      </c>
      <c r="O32" s="314">
        <v>500</v>
      </c>
      <c r="P32" s="352">
        <f>CEILING(표11[[#This Row],[발주량]],표11[[#This Row],[MOQ]])</f>
        <v>500</v>
      </c>
    </row>
    <row r="33" spans="2:16">
      <c r="B33" s="158" t="s">
        <v>612</v>
      </c>
      <c r="C33" s="327"/>
      <c r="D33" s="327"/>
      <c r="E33" s="328" t="str">
        <f>_xlfn.XLOOKUP(표11[[#This Row],[SKU코드]],'ABC-XYZ분석 (2)'!C:C,'ABC-XYZ분석 (2)'!I:I)</f>
        <v>여름</v>
      </c>
      <c r="F33" s="328" t="str">
        <f>_xlfn.XLOOKUP(표11[[#This Row],[SKU코드]],'ABC-XYZ분석 (2)'!C:C,'ABC-XYZ분석 (2)'!AC:AC)</f>
        <v>A</v>
      </c>
      <c r="G33" s="312" t="str">
        <f>_xlfn.XLOOKUP(표11[[#This Row],[SKU코드]],'ABC-XYZ분석 (2)'!C:C,'ABC-XYZ분석 (2)'!AG:AG)</f>
        <v>Z</v>
      </c>
      <c r="H33" s="311">
        <f>SUMIF('ABC-XYZ분석 (2)'!C:C,표11[[#This Row],[SKU코드]],'ABC-XYZ분석 (2)'!X:X)/30</f>
        <v>0.12222222222222222</v>
      </c>
      <c r="I33" s="314">
        <v>30</v>
      </c>
      <c r="J33" s="314">
        <v>30</v>
      </c>
      <c r="K33" s="314">
        <f>SUMIF(안전재고!A:A,표11[[#This Row],[SKU코드]],안전재고!I:I)</f>
        <v>199</v>
      </c>
      <c r="L33" s="314">
        <f>SUMIF(재고!C:C,공급물량!B33,재고!I:I)</f>
        <v>0</v>
      </c>
      <c r="M33" s="352">
        <f>H33*I33*VLOOKUP(F33&amp;G33,{"AX",1;"AY",0.95;"AZ",0.85;"BX",0.95;"BY",0.85;"BZ",0.75;"CX",0.85;"CY",0.75;"CZ",0.65},2,0)+K33</f>
        <v>202.11666666666667</v>
      </c>
      <c r="N33" s="329">
        <f>MAX(0,(표11[[#This Row],[적정재고]]-표11[[#This Row],[현재고]]))</f>
        <v>202.11666666666667</v>
      </c>
      <c r="O33" s="314">
        <v>500</v>
      </c>
      <c r="P33" s="352">
        <f>CEILING(표11[[#This Row],[발주량]],표11[[#This Row],[MOQ]])</f>
        <v>500</v>
      </c>
    </row>
    <row r="34" spans="2:16">
      <c r="B34" s="158" t="s">
        <v>613</v>
      </c>
      <c r="C34" s="327"/>
      <c r="D34" s="327"/>
      <c r="E34" s="328" t="str">
        <f>_xlfn.XLOOKUP(표11[[#This Row],[SKU코드]],'ABC-XYZ분석 (2)'!C:C,'ABC-XYZ분석 (2)'!I:I)</f>
        <v>겨울</v>
      </c>
      <c r="F34" s="328" t="str">
        <f>_xlfn.XLOOKUP(표11[[#This Row],[SKU코드]],'ABC-XYZ분석 (2)'!C:C,'ABC-XYZ분석 (2)'!AC:AC)</f>
        <v>A</v>
      </c>
      <c r="G34" s="312" t="str">
        <f ca="1">_xlfn.XLOOKUP(표11[[#This Row],[SKU코드]],'ABC-XYZ분석 (2)'!C:C,'ABC-XYZ분석 (2)'!AG:AG)</f>
        <v>X</v>
      </c>
      <c r="H34" s="311">
        <f>SUMIF('ABC-XYZ분석 (2)'!C:C,표11[[#This Row],[SKU코드]],'ABC-XYZ분석 (2)'!X:X)/30</f>
        <v>13.422222222222222</v>
      </c>
      <c r="I34" s="314">
        <v>30</v>
      </c>
      <c r="J34" s="314">
        <v>30</v>
      </c>
      <c r="K34" s="314">
        <f ca="1">SUMIF(안전재고!A:A,표11[[#This Row],[SKU코드]],안전재고!I:I)</f>
        <v>0</v>
      </c>
      <c r="L34" s="314">
        <f>SUMIF(재고!C:C,공급물량!B34,재고!I:I)</f>
        <v>0</v>
      </c>
      <c r="M34" s="352">
        <f ca="1">H34*I34*VLOOKUP(F34&amp;G34,{"AX",1;"AY",0.95;"AZ",0.85;"BX",0.95;"BY",0.85;"BZ",0.75;"CX",0.85;"CY",0.75;"CZ",0.65},2,0)+K34</f>
        <v>402.66666666666669</v>
      </c>
      <c r="N34" s="329">
        <f ca="1">MAX(0,(표11[[#This Row],[적정재고]]-표11[[#This Row],[현재고]]))</f>
        <v>402.66666666666669</v>
      </c>
      <c r="O34" s="314">
        <v>500</v>
      </c>
      <c r="P34" s="352">
        <f ca="1">CEILING(표11[[#This Row],[발주량]],표11[[#This Row],[MOQ]])</f>
        <v>500</v>
      </c>
    </row>
    <row r="35" spans="2:16">
      <c r="B35" s="158" t="s">
        <v>614</v>
      </c>
      <c r="C35" s="327"/>
      <c r="D35" s="327"/>
      <c r="E35" s="328" t="str">
        <f>_xlfn.XLOOKUP(표11[[#This Row],[SKU코드]],'ABC-XYZ분석 (2)'!C:C,'ABC-XYZ분석 (2)'!I:I)</f>
        <v>여름</v>
      </c>
      <c r="F35" s="328" t="str">
        <f>_xlfn.XLOOKUP(표11[[#This Row],[SKU코드]],'ABC-XYZ분석 (2)'!C:C,'ABC-XYZ분석 (2)'!AC:AC)</f>
        <v>A</v>
      </c>
      <c r="G35" s="312" t="str">
        <f>_xlfn.XLOOKUP(표11[[#This Row],[SKU코드]],'ABC-XYZ분석 (2)'!C:C,'ABC-XYZ분석 (2)'!AG:AG)</f>
        <v>Y</v>
      </c>
      <c r="H35" s="311">
        <f>SUMIF('ABC-XYZ분석 (2)'!C:C,표11[[#This Row],[SKU코드]],'ABC-XYZ분석 (2)'!X:X)/30</f>
        <v>2.2777777777777777</v>
      </c>
      <c r="I35" s="314">
        <v>30</v>
      </c>
      <c r="J35" s="314">
        <v>30</v>
      </c>
      <c r="K35" s="314">
        <f>SUMIF(안전재고!A:A,표11[[#This Row],[SKU코드]],안전재고!I:I)</f>
        <v>139</v>
      </c>
      <c r="L35" s="314">
        <f>SUMIF(재고!C:C,공급물량!B35,재고!I:I)</f>
        <v>0</v>
      </c>
      <c r="M35" s="352">
        <f>H35*I35*VLOOKUP(F35&amp;G35,{"AX",1;"AY",0.95;"AZ",0.85;"BX",0.95;"BY",0.85;"BZ",0.75;"CX",0.85;"CY",0.75;"CZ",0.65},2,0)+K35</f>
        <v>203.91666666666666</v>
      </c>
      <c r="N35" s="329">
        <f>MAX(0,(표11[[#This Row],[적정재고]]-표11[[#This Row],[현재고]]))</f>
        <v>203.91666666666666</v>
      </c>
      <c r="O35" s="314">
        <v>500</v>
      </c>
      <c r="P35" s="352">
        <f>CEILING(표11[[#This Row],[발주량]],표11[[#This Row],[MOQ]])</f>
        <v>500</v>
      </c>
    </row>
    <row r="36" spans="2:16">
      <c r="B36" s="158" t="s">
        <v>615</v>
      </c>
      <c r="C36" s="327"/>
      <c r="D36" s="327"/>
      <c r="E36" s="328" t="str">
        <f>_xlfn.XLOOKUP(표11[[#This Row],[SKU코드]],'ABC-XYZ분석 (2)'!C:C,'ABC-XYZ분석 (2)'!I:I)</f>
        <v>사계절</v>
      </c>
      <c r="F36" s="328" t="str">
        <f>_xlfn.XLOOKUP(표11[[#This Row],[SKU코드]],'ABC-XYZ분석 (2)'!C:C,'ABC-XYZ분석 (2)'!AC:AC)</f>
        <v>A</v>
      </c>
      <c r="G36" s="312" t="str">
        <f>_xlfn.XLOOKUP(표11[[#This Row],[SKU코드]],'ABC-XYZ분석 (2)'!C:C,'ABC-XYZ분석 (2)'!AG:AG)</f>
        <v>X</v>
      </c>
      <c r="H36" s="311">
        <f>SUMIF('ABC-XYZ분석 (2)'!C:C,표11[[#This Row],[SKU코드]],'ABC-XYZ분석 (2)'!X:X)/30</f>
        <v>11.222222222222223</v>
      </c>
      <c r="I36" s="314">
        <v>30</v>
      </c>
      <c r="J36" s="314">
        <v>30</v>
      </c>
      <c r="K36" s="314">
        <f>SUMIF(안전재고!A:A,표11[[#This Row],[SKU코드]],안전재고!I:I)</f>
        <v>34</v>
      </c>
      <c r="L36" s="314">
        <f>SUMIF(재고!C:C,공급물량!B36,재고!I:I)</f>
        <v>0</v>
      </c>
      <c r="M36" s="352">
        <f>H36*I36*VLOOKUP(F36&amp;G36,{"AX",1;"AY",0.95;"AZ",0.85;"BX",0.95;"BY",0.85;"BZ",0.75;"CX",0.85;"CY",0.75;"CZ",0.65},2,0)+K36</f>
        <v>370.66666666666669</v>
      </c>
      <c r="N36" s="329">
        <f>MAX(0,(표11[[#This Row],[적정재고]]-표11[[#This Row],[현재고]]))</f>
        <v>370.66666666666669</v>
      </c>
      <c r="O36" s="314">
        <v>500</v>
      </c>
      <c r="P36" s="352">
        <f>CEILING(표11[[#This Row],[발주량]],표11[[#This Row],[MOQ]])</f>
        <v>500</v>
      </c>
    </row>
    <row r="37" spans="2:16">
      <c r="B37" s="158" t="s">
        <v>616</v>
      </c>
      <c r="C37" s="327"/>
      <c r="D37" s="327"/>
      <c r="E37" s="328" t="str">
        <f>_xlfn.XLOOKUP(표11[[#This Row],[SKU코드]],'ABC-XYZ분석 (2)'!C:C,'ABC-XYZ분석 (2)'!I:I)</f>
        <v>사계절</v>
      </c>
      <c r="F37" s="328" t="str">
        <f>_xlfn.XLOOKUP(표11[[#This Row],[SKU코드]],'ABC-XYZ분석 (2)'!C:C,'ABC-XYZ분석 (2)'!AC:AC)</f>
        <v>A</v>
      </c>
      <c r="G37" s="312" t="str">
        <f>_xlfn.XLOOKUP(표11[[#This Row],[SKU코드]],'ABC-XYZ분석 (2)'!C:C,'ABC-XYZ분석 (2)'!AG:AG)</f>
        <v>X</v>
      </c>
      <c r="H37" s="311">
        <f>SUMIF('ABC-XYZ분석 (2)'!C:C,표11[[#This Row],[SKU코드]],'ABC-XYZ분석 (2)'!X:X)/30</f>
        <v>2</v>
      </c>
      <c r="I37" s="314">
        <v>30</v>
      </c>
      <c r="J37" s="314">
        <v>30</v>
      </c>
      <c r="K37" s="314">
        <f>SUMIF(안전재고!A:A,표11[[#This Row],[SKU코드]],안전재고!I:I)</f>
        <v>8</v>
      </c>
      <c r="L37" s="314">
        <f>SUMIF(재고!C:C,공급물량!B37,재고!I:I)</f>
        <v>0</v>
      </c>
      <c r="M37" s="352">
        <f>H37*I37*VLOOKUP(F37&amp;G37,{"AX",1;"AY",0.95;"AZ",0.85;"BX",0.95;"BY",0.85;"BZ",0.75;"CX",0.85;"CY",0.75;"CZ",0.65},2,0)+K37</f>
        <v>68</v>
      </c>
      <c r="N37" s="329">
        <f>MAX(0,(표11[[#This Row],[적정재고]]-표11[[#This Row],[현재고]]))</f>
        <v>68</v>
      </c>
      <c r="O37" s="314">
        <v>500</v>
      </c>
      <c r="P37" s="352">
        <f>CEILING(표11[[#This Row],[발주량]],표11[[#This Row],[MOQ]])</f>
        <v>500</v>
      </c>
    </row>
    <row r="38" spans="2:16">
      <c r="B38" s="158" t="s">
        <v>617</v>
      </c>
      <c r="C38" s="327"/>
      <c r="D38" s="327"/>
      <c r="E38" s="328" t="str">
        <f>_xlfn.XLOOKUP(표11[[#This Row],[SKU코드]],'ABC-XYZ분석 (2)'!C:C,'ABC-XYZ분석 (2)'!I:I)</f>
        <v>사계절</v>
      </c>
      <c r="F38" s="328" t="str">
        <f>_xlfn.XLOOKUP(표11[[#This Row],[SKU코드]],'ABC-XYZ분석 (2)'!C:C,'ABC-XYZ분석 (2)'!AC:AC)</f>
        <v>A</v>
      </c>
      <c r="G38" s="312" t="str">
        <f>_xlfn.XLOOKUP(표11[[#This Row],[SKU코드]],'ABC-XYZ분석 (2)'!C:C,'ABC-XYZ분석 (2)'!AG:AG)</f>
        <v>Y</v>
      </c>
      <c r="H38" s="311">
        <f>SUMIF('ABC-XYZ분석 (2)'!C:C,표11[[#This Row],[SKU코드]],'ABC-XYZ분석 (2)'!X:X)/30</f>
        <v>6.177777777777778</v>
      </c>
      <c r="I38" s="314">
        <v>30</v>
      </c>
      <c r="J38" s="314">
        <v>30</v>
      </c>
      <c r="K38" s="314">
        <f>SUMIF(안전재고!A:A,표11[[#This Row],[SKU코드]],안전재고!I:I)</f>
        <v>36</v>
      </c>
      <c r="L38" s="314">
        <f>SUMIF(재고!C:C,공급물량!B38,재고!I:I)</f>
        <v>0</v>
      </c>
      <c r="M38" s="352">
        <f>H38*I38*VLOOKUP(F38&amp;G38,{"AX",1;"AY",0.95;"AZ",0.85;"BX",0.95;"BY",0.85;"BZ",0.75;"CX",0.85;"CY",0.75;"CZ",0.65},2,0)+K38</f>
        <v>212.06666666666666</v>
      </c>
      <c r="N38" s="329">
        <f>MAX(0,(표11[[#This Row],[적정재고]]-표11[[#This Row],[현재고]]))</f>
        <v>212.06666666666666</v>
      </c>
      <c r="O38" s="314">
        <v>500</v>
      </c>
      <c r="P38" s="352">
        <f>CEILING(표11[[#This Row],[발주량]],표11[[#This Row],[MOQ]])</f>
        <v>500</v>
      </c>
    </row>
    <row r="39" spans="2:16">
      <c r="B39" s="158" t="s">
        <v>618</v>
      </c>
      <c r="C39" s="327"/>
      <c r="D39" s="327"/>
      <c r="E39" s="328" t="str">
        <f>_xlfn.XLOOKUP(표11[[#This Row],[SKU코드]],'ABC-XYZ분석 (2)'!C:C,'ABC-XYZ분석 (2)'!I:I)</f>
        <v>사계절</v>
      </c>
      <c r="F39" s="328" t="str">
        <f>_xlfn.XLOOKUP(표11[[#This Row],[SKU코드]],'ABC-XYZ분석 (2)'!C:C,'ABC-XYZ분석 (2)'!AC:AC)</f>
        <v>A</v>
      </c>
      <c r="G39" s="312" t="str">
        <f>_xlfn.XLOOKUP(표11[[#This Row],[SKU코드]],'ABC-XYZ분석 (2)'!C:C,'ABC-XYZ분석 (2)'!AG:AG)</f>
        <v>Y</v>
      </c>
      <c r="H39" s="311">
        <f>SUMIF('ABC-XYZ분석 (2)'!C:C,표11[[#This Row],[SKU코드]],'ABC-XYZ분석 (2)'!X:X)/30</f>
        <v>8.6111111111111107</v>
      </c>
      <c r="I39" s="314">
        <v>30</v>
      </c>
      <c r="J39" s="314">
        <v>30</v>
      </c>
      <c r="K39" s="314">
        <f>SUMIF(안전재고!A:A,표11[[#This Row],[SKU코드]],안전재고!I:I)</f>
        <v>34</v>
      </c>
      <c r="L39" s="314">
        <f>SUMIF(재고!C:C,공급물량!B39,재고!I:I)</f>
        <v>0</v>
      </c>
      <c r="M39" s="352">
        <f>H39*I39*VLOOKUP(F39&amp;G39,{"AX",1;"AY",0.95;"AZ",0.85;"BX",0.95;"BY",0.85;"BZ",0.75;"CX",0.85;"CY",0.75;"CZ",0.65},2,0)+K39</f>
        <v>279.41666666666663</v>
      </c>
      <c r="N39" s="329">
        <f>MAX(0,(표11[[#This Row],[적정재고]]-표11[[#This Row],[현재고]]))</f>
        <v>279.41666666666663</v>
      </c>
      <c r="O39" s="314">
        <v>500</v>
      </c>
      <c r="P39" s="352">
        <f>CEILING(표11[[#This Row],[발주량]],표11[[#This Row],[MOQ]])</f>
        <v>500</v>
      </c>
    </row>
    <row r="40" spans="2:16">
      <c r="B40" s="158" t="s">
        <v>619</v>
      </c>
      <c r="C40" s="327"/>
      <c r="D40" s="327"/>
      <c r="E40" s="328" t="str">
        <f>_xlfn.XLOOKUP(표11[[#This Row],[SKU코드]],'ABC-XYZ분석 (2)'!C:C,'ABC-XYZ분석 (2)'!I:I)</f>
        <v>사계절</v>
      </c>
      <c r="F40" s="328" t="str">
        <f>_xlfn.XLOOKUP(표11[[#This Row],[SKU코드]],'ABC-XYZ분석 (2)'!C:C,'ABC-XYZ분석 (2)'!AC:AC)</f>
        <v>A</v>
      </c>
      <c r="G40" s="312" t="str">
        <f>_xlfn.XLOOKUP(표11[[#This Row],[SKU코드]],'ABC-XYZ분석 (2)'!C:C,'ABC-XYZ분석 (2)'!AG:AG)</f>
        <v>Y</v>
      </c>
      <c r="H40" s="311">
        <f>SUMIF('ABC-XYZ분석 (2)'!C:C,표11[[#This Row],[SKU코드]],'ABC-XYZ분석 (2)'!X:X)/30</f>
        <v>0.22222222222222224</v>
      </c>
      <c r="I40" s="314">
        <v>30</v>
      </c>
      <c r="J40" s="314">
        <v>30</v>
      </c>
      <c r="K40" s="314">
        <f>SUMIF(안전재고!A:A,표11[[#This Row],[SKU코드]],안전재고!I:I)</f>
        <v>48</v>
      </c>
      <c r="L40" s="314">
        <f>SUMIF(재고!C:C,공급물량!B40,재고!I:I)</f>
        <v>0</v>
      </c>
      <c r="M40" s="352">
        <f>H40*I40*VLOOKUP(F40&amp;G40,{"AX",1;"AY",0.95;"AZ",0.85;"BX",0.95;"BY",0.85;"BZ",0.75;"CX",0.85;"CY",0.75;"CZ",0.65},2,0)+K40</f>
        <v>54.333333333333336</v>
      </c>
      <c r="N40" s="329">
        <f>MAX(0,(표11[[#This Row],[적정재고]]-표11[[#This Row],[현재고]]))</f>
        <v>54.333333333333336</v>
      </c>
      <c r="O40" s="314">
        <v>500</v>
      </c>
      <c r="P40" s="352">
        <f>CEILING(표11[[#This Row],[발주량]],표11[[#This Row],[MOQ]])</f>
        <v>500</v>
      </c>
    </row>
    <row r="41" spans="2:16">
      <c r="B41" s="158" t="s">
        <v>620</v>
      </c>
      <c r="C41" s="327"/>
      <c r="D41" s="327"/>
      <c r="E41" s="328" t="str">
        <f>_xlfn.XLOOKUP(표11[[#This Row],[SKU코드]],'ABC-XYZ분석 (2)'!C:C,'ABC-XYZ분석 (2)'!I:I)</f>
        <v>사계절</v>
      </c>
      <c r="F41" s="328" t="str">
        <f>_xlfn.XLOOKUP(표11[[#This Row],[SKU코드]],'ABC-XYZ분석 (2)'!C:C,'ABC-XYZ분석 (2)'!AC:AC)</f>
        <v>A</v>
      </c>
      <c r="G41" s="312" t="str">
        <f>_xlfn.XLOOKUP(표11[[#This Row],[SKU코드]],'ABC-XYZ분석 (2)'!C:C,'ABC-XYZ분석 (2)'!AG:AG)</f>
        <v>Y</v>
      </c>
      <c r="H41" s="311">
        <f>SUMIF('ABC-XYZ분석 (2)'!C:C,표11[[#This Row],[SKU코드]],'ABC-XYZ분석 (2)'!X:X)/30</f>
        <v>15.7</v>
      </c>
      <c r="I41" s="314">
        <v>30</v>
      </c>
      <c r="J41" s="314">
        <v>30</v>
      </c>
      <c r="K41" s="314">
        <f>SUMIF(안전재고!A:A,표11[[#This Row],[SKU코드]],안전재고!I:I)</f>
        <v>43</v>
      </c>
      <c r="L41" s="314">
        <f>SUMIF(재고!C:C,공급물량!B41,재고!I:I)</f>
        <v>608</v>
      </c>
      <c r="M41" s="352">
        <f>H41*I41*VLOOKUP(F41&amp;G41,{"AX",1;"AY",0.95;"AZ",0.85;"BX",0.95;"BY",0.85;"BZ",0.75;"CX",0.85;"CY",0.75;"CZ",0.65},2,0)+K41</f>
        <v>490.45</v>
      </c>
      <c r="N41" s="329">
        <f>MAX(0,(표11[[#This Row],[적정재고]]-표11[[#This Row],[현재고]]))</f>
        <v>0</v>
      </c>
      <c r="O41" s="314">
        <v>500</v>
      </c>
      <c r="P41" s="352">
        <f>CEILING(표11[[#This Row],[발주량]],표11[[#This Row],[MOQ]])</f>
        <v>0</v>
      </c>
    </row>
    <row r="42" spans="2:16">
      <c r="B42" s="158" t="s">
        <v>621</v>
      </c>
      <c r="C42" s="327"/>
      <c r="D42" s="327"/>
      <c r="E42" s="328" t="str">
        <f>_xlfn.XLOOKUP(표11[[#This Row],[SKU코드]],'ABC-XYZ분석 (2)'!C:C,'ABC-XYZ분석 (2)'!I:I)</f>
        <v>사계절</v>
      </c>
      <c r="F42" s="328" t="str">
        <f>_xlfn.XLOOKUP(표11[[#This Row],[SKU코드]],'ABC-XYZ분석 (2)'!C:C,'ABC-XYZ분석 (2)'!AC:AC)</f>
        <v>B</v>
      </c>
      <c r="G42" s="312" t="str">
        <f>_xlfn.XLOOKUP(표11[[#This Row],[SKU코드]],'ABC-XYZ분석 (2)'!C:C,'ABC-XYZ분석 (2)'!AG:AG)</f>
        <v>Y</v>
      </c>
      <c r="H42" s="311">
        <f>SUMIF('ABC-XYZ분석 (2)'!C:C,표11[[#This Row],[SKU코드]],'ABC-XYZ분석 (2)'!X:X)/30</f>
        <v>7.8666666666666663</v>
      </c>
      <c r="I42" s="314">
        <v>30</v>
      </c>
      <c r="J42" s="314">
        <v>30</v>
      </c>
      <c r="K42" s="314">
        <f>SUMIF(안전재고!A:A,표11[[#This Row],[SKU코드]],안전재고!I:I)</f>
        <v>36</v>
      </c>
      <c r="L42" s="314">
        <f>SUMIF(재고!C:C,공급물량!B42,재고!I:I)</f>
        <v>1180</v>
      </c>
      <c r="M42" s="352">
        <f>H42*I42*VLOOKUP(F42&amp;G42,{"AX",1;"AY",0.95;"AZ",0.85;"BX",0.95;"BY",0.85;"BZ",0.75;"CX",0.85;"CY",0.75;"CZ",0.65},2,0)+K42</f>
        <v>236.6</v>
      </c>
      <c r="N42" s="329">
        <f>MAX(0,(표11[[#This Row],[적정재고]]-표11[[#This Row],[현재고]]))</f>
        <v>0</v>
      </c>
      <c r="O42" s="314">
        <v>500</v>
      </c>
      <c r="P42" s="352">
        <f>CEILING(표11[[#This Row],[발주량]],표11[[#This Row],[MOQ]])</f>
        <v>0</v>
      </c>
    </row>
    <row r="43" spans="2:16">
      <c r="B43" s="158" t="s">
        <v>622</v>
      </c>
      <c r="C43" s="327"/>
      <c r="D43" s="327"/>
      <c r="E43" s="328" t="str">
        <f>_xlfn.XLOOKUP(표11[[#This Row],[SKU코드]],'ABC-XYZ분석 (2)'!C:C,'ABC-XYZ분석 (2)'!I:I)</f>
        <v>여름</v>
      </c>
      <c r="F43" s="328" t="str">
        <f>_xlfn.XLOOKUP(표11[[#This Row],[SKU코드]],'ABC-XYZ분석 (2)'!C:C,'ABC-XYZ분석 (2)'!AC:AC)</f>
        <v>B</v>
      </c>
      <c r="G43" s="312" t="str">
        <f>_xlfn.XLOOKUP(표11[[#This Row],[SKU코드]],'ABC-XYZ분석 (2)'!C:C,'ABC-XYZ분석 (2)'!AG:AG)</f>
        <v>Z</v>
      </c>
      <c r="H43" s="311">
        <f>SUMIF('ABC-XYZ분석 (2)'!C:C,표11[[#This Row],[SKU코드]],'ABC-XYZ분석 (2)'!X:X)/30</f>
        <v>0.22222222222222224</v>
      </c>
      <c r="I43" s="314">
        <v>30</v>
      </c>
      <c r="J43" s="314">
        <v>30</v>
      </c>
      <c r="K43" s="314">
        <f>SUMIF(안전재고!A:A,표11[[#This Row],[SKU코드]],안전재고!I:I)</f>
        <v>174</v>
      </c>
      <c r="L43" s="314">
        <f>SUMIF(재고!C:C,공급물량!B43,재고!I:I)</f>
        <v>1643</v>
      </c>
      <c r="M43" s="352">
        <f>H43*I43*VLOOKUP(F43&amp;G43,{"AX",1;"AY",0.95;"AZ",0.85;"BX",0.95;"BY",0.85;"BZ",0.75;"CX",0.85;"CY",0.75;"CZ",0.65},2,0)+K43</f>
        <v>179</v>
      </c>
      <c r="N43" s="329">
        <f>MAX(0,(표11[[#This Row],[적정재고]]-표11[[#This Row],[현재고]]))</f>
        <v>0</v>
      </c>
      <c r="O43" s="314">
        <v>500</v>
      </c>
      <c r="P43" s="352">
        <f>CEILING(표11[[#This Row],[발주량]],표11[[#This Row],[MOQ]])</f>
        <v>0</v>
      </c>
    </row>
    <row r="44" spans="2:16">
      <c r="B44" s="158" t="s">
        <v>623</v>
      </c>
      <c r="C44" s="327"/>
      <c r="D44" s="327"/>
      <c r="E44" s="328" t="str">
        <f>_xlfn.XLOOKUP(표11[[#This Row],[SKU코드]],'ABC-XYZ분석 (2)'!C:C,'ABC-XYZ분석 (2)'!I:I)</f>
        <v>사계절</v>
      </c>
      <c r="F44" s="328" t="str">
        <f>_xlfn.XLOOKUP(표11[[#This Row],[SKU코드]],'ABC-XYZ분석 (2)'!C:C,'ABC-XYZ분석 (2)'!AC:AC)</f>
        <v>B</v>
      </c>
      <c r="G44" s="312" t="str">
        <f>_xlfn.XLOOKUP(표11[[#This Row],[SKU코드]],'ABC-XYZ분석 (2)'!C:C,'ABC-XYZ분석 (2)'!AG:AG)</f>
        <v>Y</v>
      </c>
      <c r="H44" s="311">
        <f>SUMIF('ABC-XYZ분석 (2)'!C:C,표11[[#This Row],[SKU코드]],'ABC-XYZ분석 (2)'!X:X)/30</f>
        <v>5.5888888888888886</v>
      </c>
      <c r="I44" s="314">
        <v>30</v>
      </c>
      <c r="J44" s="314">
        <v>30</v>
      </c>
      <c r="K44" s="314">
        <f>SUMIF(안전재고!A:A,표11[[#This Row],[SKU코드]],안전재고!I:I)</f>
        <v>28</v>
      </c>
      <c r="L44" s="314">
        <f>SUMIF(재고!C:C,공급물량!B44,재고!I:I)</f>
        <v>0</v>
      </c>
      <c r="M44" s="352">
        <f>H44*I44*VLOOKUP(F44&amp;G44,{"AX",1;"AY",0.95;"AZ",0.85;"BX",0.95;"BY",0.85;"BZ",0.75;"CX",0.85;"CY",0.75;"CZ",0.65},2,0)+K44</f>
        <v>170.51666666666665</v>
      </c>
      <c r="N44" s="329">
        <f>MAX(0,(표11[[#This Row],[적정재고]]-표11[[#This Row],[현재고]]))</f>
        <v>170.51666666666665</v>
      </c>
      <c r="O44" s="314">
        <v>500</v>
      </c>
      <c r="P44" s="352">
        <f>CEILING(표11[[#This Row],[발주량]],표11[[#This Row],[MOQ]])</f>
        <v>500</v>
      </c>
    </row>
    <row r="45" spans="2:16">
      <c r="B45" s="158" t="s">
        <v>624</v>
      </c>
      <c r="C45" s="327"/>
      <c r="D45" s="327"/>
      <c r="E45" s="328" t="str">
        <f>_xlfn.XLOOKUP(표11[[#This Row],[SKU코드]],'ABC-XYZ분석 (2)'!C:C,'ABC-XYZ분석 (2)'!I:I)</f>
        <v>사계절</v>
      </c>
      <c r="F45" s="328" t="str">
        <f>_xlfn.XLOOKUP(표11[[#This Row],[SKU코드]],'ABC-XYZ분석 (2)'!C:C,'ABC-XYZ분석 (2)'!AC:AC)</f>
        <v>B</v>
      </c>
      <c r="G45" s="312" t="str">
        <f>_xlfn.XLOOKUP(표11[[#This Row],[SKU코드]],'ABC-XYZ분석 (2)'!C:C,'ABC-XYZ분석 (2)'!AG:AG)</f>
        <v>Y</v>
      </c>
      <c r="H45" s="311">
        <f>SUMIF('ABC-XYZ분석 (2)'!C:C,표11[[#This Row],[SKU코드]],'ABC-XYZ분석 (2)'!X:X)/30</f>
        <v>49.911111111111111</v>
      </c>
      <c r="I45" s="314">
        <v>30</v>
      </c>
      <c r="J45" s="314">
        <v>30</v>
      </c>
      <c r="K45" s="314">
        <f>SUMIF(안전재고!A:A,표11[[#This Row],[SKU코드]],안전재고!I:I)</f>
        <v>136</v>
      </c>
      <c r="L45" s="314">
        <f>SUMIF(재고!C:C,공급물량!B45,재고!I:I)</f>
        <v>0</v>
      </c>
      <c r="M45" s="352">
        <f>H45*I45*VLOOKUP(F45&amp;G45,{"AX",1;"AY",0.95;"AZ",0.85;"BX",0.95;"BY",0.85;"BZ",0.75;"CX",0.85;"CY",0.75;"CZ",0.65},2,0)+K45</f>
        <v>1408.7333333333333</v>
      </c>
      <c r="N45" s="329">
        <f>MAX(0,(표11[[#This Row],[적정재고]]-표11[[#This Row],[현재고]]))</f>
        <v>1408.7333333333333</v>
      </c>
      <c r="O45" s="314">
        <v>500</v>
      </c>
      <c r="P45" s="352">
        <f>CEILING(표11[[#This Row],[발주량]],표11[[#This Row],[MOQ]])</f>
        <v>1500</v>
      </c>
    </row>
    <row r="46" spans="2:16">
      <c r="B46" s="158" t="s">
        <v>625</v>
      </c>
      <c r="C46" s="327"/>
      <c r="D46" s="327"/>
      <c r="E46" s="328" t="str">
        <f>_xlfn.XLOOKUP(표11[[#This Row],[SKU코드]],'ABC-XYZ분석 (2)'!C:C,'ABC-XYZ분석 (2)'!I:I)</f>
        <v>사계절</v>
      </c>
      <c r="F46" s="328" t="str">
        <f>_xlfn.XLOOKUP(표11[[#This Row],[SKU코드]],'ABC-XYZ분석 (2)'!C:C,'ABC-XYZ분석 (2)'!AC:AC)</f>
        <v>B</v>
      </c>
      <c r="G46" s="312" t="str">
        <f>_xlfn.XLOOKUP(표11[[#This Row],[SKU코드]],'ABC-XYZ분석 (2)'!C:C,'ABC-XYZ분석 (2)'!AG:AG)</f>
        <v>X</v>
      </c>
      <c r="H46" s="311">
        <f>SUMIF('ABC-XYZ분석 (2)'!C:C,표11[[#This Row],[SKU코드]],'ABC-XYZ분석 (2)'!X:X)/30</f>
        <v>3.8111111111111109</v>
      </c>
      <c r="I46" s="314">
        <v>30</v>
      </c>
      <c r="J46" s="314">
        <v>30</v>
      </c>
      <c r="K46" s="314">
        <f>SUMIF(안전재고!A:A,표11[[#This Row],[SKU코드]],안전재고!I:I)</f>
        <v>12</v>
      </c>
      <c r="L46" s="314">
        <f>SUMIF(재고!C:C,공급물량!B46,재고!I:I)</f>
        <v>0</v>
      </c>
      <c r="M46" s="352">
        <f>H46*I46*VLOOKUP(F46&amp;G46,{"AX",1;"AY",0.95;"AZ",0.85;"BX",0.95;"BY",0.85;"BZ",0.75;"CX",0.85;"CY",0.75;"CZ",0.65},2,0)+K46</f>
        <v>120.61666666666666</v>
      </c>
      <c r="N46" s="329">
        <f>MAX(0,(표11[[#This Row],[적정재고]]-표11[[#This Row],[현재고]]))</f>
        <v>120.61666666666666</v>
      </c>
      <c r="O46" s="314">
        <v>500</v>
      </c>
      <c r="P46" s="352">
        <f>CEILING(표11[[#This Row],[발주량]],표11[[#This Row],[MOQ]])</f>
        <v>500</v>
      </c>
    </row>
    <row r="47" spans="2:16">
      <c r="B47" s="158" t="s">
        <v>626</v>
      </c>
      <c r="C47" s="327"/>
      <c r="D47" s="327"/>
      <c r="E47" s="328" t="str">
        <f>_xlfn.XLOOKUP(표11[[#This Row],[SKU코드]],'ABC-XYZ분석 (2)'!C:C,'ABC-XYZ분석 (2)'!I:I)</f>
        <v>사계절</v>
      </c>
      <c r="F47" s="328" t="str">
        <f>_xlfn.XLOOKUP(표11[[#This Row],[SKU코드]],'ABC-XYZ분석 (2)'!C:C,'ABC-XYZ분석 (2)'!AC:AC)</f>
        <v>B</v>
      </c>
      <c r="G47" s="312" t="str">
        <f>_xlfn.XLOOKUP(표11[[#This Row],[SKU코드]],'ABC-XYZ분석 (2)'!C:C,'ABC-XYZ분석 (2)'!AG:AG)</f>
        <v>Z</v>
      </c>
      <c r="H47" s="311">
        <f>SUMIF('ABC-XYZ분석 (2)'!C:C,표11[[#This Row],[SKU코드]],'ABC-XYZ분석 (2)'!X:X)/30</f>
        <v>3.6111111111111112</v>
      </c>
      <c r="I47" s="314">
        <v>30</v>
      </c>
      <c r="J47" s="314">
        <v>30</v>
      </c>
      <c r="K47" s="314">
        <f>SUMIF(안전재고!A:A,표11[[#This Row],[SKU코드]],안전재고!I:I)</f>
        <v>32</v>
      </c>
      <c r="L47" s="314">
        <f>SUMIF(재고!C:C,공급물량!B47,재고!I:I)</f>
        <v>0</v>
      </c>
      <c r="M47" s="352">
        <f>H47*I47*VLOOKUP(F47&amp;G47,{"AX",1;"AY",0.95;"AZ",0.85;"BX",0.95;"BY",0.85;"BZ",0.75;"CX",0.85;"CY",0.75;"CZ",0.65},2,0)+K47</f>
        <v>113.25</v>
      </c>
      <c r="N47" s="329">
        <f>MAX(0,(표11[[#This Row],[적정재고]]-표11[[#This Row],[현재고]]))</f>
        <v>113.25</v>
      </c>
      <c r="O47" s="314">
        <v>500</v>
      </c>
      <c r="P47" s="352">
        <f>CEILING(표11[[#This Row],[발주량]],표11[[#This Row],[MOQ]])</f>
        <v>500</v>
      </c>
    </row>
    <row r="48" spans="2:16">
      <c r="B48" s="158" t="s">
        <v>627</v>
      </c>
      <c r="C48" s="327"/>
      <c r="D48" s="327"/>
      <c r="E48" s="328" t="str">
        <f>_xlfn.XLOOKUP(표11[[#This Row],[SKU코드]],'ABC-XYZ분석 (2)'!C:C,'ABC-XYZ분석 (2)'!I:I)</f>
        <v>사계절</v>
      </c>
      <c r="F48" s="328" t="str">
        <f>_xlfn.XLOOKUP(표11[[#This Row],[SKU코드]],'ABC-XYZ분석 (2)'!C:C,'ABC-XYZ분석 (2)'!AC:AC)</f>
        <v>B</v>
      </c>
      <c r="G48" s="312" t="str">
        <f>_xlfn.XLOOKUP(표11[[#This Row],[SKU코드]],'ABC-XYZ분석 (2)'!C:C,'ABC-XYZ분석 (2)'!AG:AG)</f>
        <v>X</v>
      </c>
      <c r="H48" s="311">
        <f>SUMIF('ABC-XYZ분석 (2)'!C:C,표11[[#This Row],[SKU코드]],'ABC-XYZ분석 (2)'!X:X)/30</f>
        <v>2.3444444444444441</v>
      </c>
      <c r="I48" s="314">
        <v>30</v>
      </c>
      <c r="J48" s="314">
        <v>30</v>
      </c>
      <c r="K48" s="314">
        <f>SUMIF(안전재고!A:A,표11[[#This Row],[SKU코드]],안전재고!I:I)</f>
        <v>7</v>
      </c>
      <c r="L48" s="314">
        <f>SUMIF(재고!C:C,공급물량!B48,재고!I:I)</f>
        <v>0</v>
      </c>
      <c r="M48" s="352">
        <f>H48*I48*VLOOKUP(F48&amp;G48,{"AX",1;"AY",0.95;"AZ",0.85;"BX",0.95;"BY",0.85;"BZ",0.75;"CX",0.85;"CY",0.75;"CZ",0.65},2,0)+K48</f>
        <v>73.816666666666663</v>
      </c>
      <c r="N48" s="329">
        <f>MAX(0,(표11[[#This Row],[적정재고]]-표11[[#This Row],[현재고]]))</f>
        <v>73.816666666666663</v>
      </c>
      <c r="O48" s="314">
        <v>500</v>
      </c>
      <c r="P48" s="352">
        <f>CEILING(표11[[#This Row],[발주량]],표11[[#This Row],[MOQ]])</f>
        <v>500</v>
      </c>
    </row>
    <row r="49" spans="2:16">
      <c r="B49" s="158" t="s">
        <v>628</v>
      </c>
      <c r="C49" s="327"/>
      <c r="D49" s="327"/>
      <c r="E49" s="328" t="str">
        <f>_xlfn.XLOOKUP(표11[[#This Row],[SKU코드]],'ABC-XYZ분석 (2)'!C:C,'ABC-XYZ분석 (2)'!I:I)</f>
        <v>사계절</v>
      </c>
      <c r="F49" s="328" t="str">
        <f>_xlfn.XLOOKUP(표11[[#This Row],[SKU코드]],'ABC-XYZ분석 (2)'!C:C,'ABC-XYZ분석 (2)'!AC:AC)</f>
        <v>B</v>
      </c>
      <c r="G49" s="312" t="str">
        <f>_xlfn.XLOOKUP(표11[[#This Row],[SKU코드]],'ABC-XYZ분석 (2)'!C:C,'ABC-XYZ분석 (2)'!AG:AG)</f>
        <v>X</v>
      </c>
      <c r="H49" s="311">
        <f>SUMIF('ABC-XYZ분석 (2)'!C:C,표11[[#This Row],[SKU코드]],'ABC-XYZ분석 (2)'!X:X)/30</f>
        <v>6.8888888888888884</v>
      </c>
      <c r="I49" s="314">
        <v>30</v>
      </c>
      <c r="J49" s="314">
        <v>30</v>
      </c>
      <c r="K49" s="314">
        <f>SUMIF(안전재고!A:A,표11[[#This Row],[SKU코드]],안전재고!I:I)</f>
        <v>13</v>
      </c>
      <c r="L49" s="314">
        <f>SUMIF(재고!C:C,공급물량!B49,재고!I:I)</f>
        <v>6</v>
      </c>
      <c r="M49" s="352">
        <f>H49*I49*VLOOKUP(F49&amp;G49,{"AX",1;"AY",0.95;"AZ",0.85;"BX",0.95;"BY",0.85;"BZ",0.75;"CX",0.85;"CY",0.75;"CZ",0.65},2,0)+K49</f>
        <v>209.33333333333331</v>
      </c>
      <c r="N49" s="329">
        <f>MAX(0,(표11[[#This Row],[적정재고]]-표11[[#This Row],[현재고]]))</f>
        <v>203.33333333333331</v>
      </c>
      <c r="O49" s="314">
        <v>500</v>
      </c>
      <c r="P49" s="352">
        <f>CEILING(표11[[#This Row],[발주량]],표11[[#This Row],[MOQ]])</f>
        <v>500</v>
      </c>
    </row>
    <row r="50" spans="2:16">
      <c r="B50" s="158" t="s">
        <v>629</v>
      </c>
      <c r="C50" s="327"/>
      <c r="D50" s="327"/>
      <c r="E50" s="328" t="str">
        <f>_xlfn.XLOOKUP(표11[[#This Row],[SKU코드]],'ABC-XYZ분석 (2)'!C:C,'ABC-XYZ분석 (2)'!I:I)</f>
        <v>사계절</v>
      </c>
      <c r="F50" s="328" t="str">
        <f>_xlfn.XLOOKUP(표11[[#This Row],[SKU코드]],'ABC-XYZ분석 (2)'!C:C,'ABC-XYZ분석 (2)'!AC:AC)</f>
        <v>B</v>
      </c>
      <c r="G50" s="312" t="str">
        <f>_xlfn.XLOOKUP(표11[[#This Row],[SKU코드]],'ABC-XYZ분석 (2)'!C:C,'ABC-XYZ분석 (2)'!AG:AG)</f>
        <v>Y</v>
      </c>
      <c r="H50" s="311">
        <f>SUMIF('ABC-XYZ분석 (2)'!C:C,표11[[#This Row],[SKU코드]],'ABC-XYZ분석 (2)'!X:X)/30</f>
        <v>47.922222222222224</v>
      </c>
      <c r="I50" s="314">
        <v>30</v>
      </c>
      <c r="J50" s="314">
        <v>30</v>
      </c>
      <c r="K50" s="314">
        <f>SUMIF(안전재고!A:A,표11[[#This Row],[SKU코드]],안전재고!I:I)</f>
        <v>153</v>
      </c>
      <c r="L50" s="314">
        <f>SUMIF(재고!C:C,공급물량!B50,재고!I:I)</f>
        <v>0</v>
      </c>
      <c r="M50" s="352">
        <f>H50*I50*VLOOKUP(F50&amp;G50,{"AX",1;"AY",0.95;"AZ",0.85;"BX",0.95;"BY",0.85;"BZ",0.75;"CX",0.85;"CY",0.75;"CZ",0.65},2,0)+K50</f>
        <v>1375.0166666666667</v>
      </c>
      <c r="N50" s="329">
        <f>MAX(0,(표11[[#This Row],[적정재고]]-표11[[#This Row],[현재고]]))</f>
        <v>1375.0166666666667</v>
      </c>
      <c r="O50" s="314">
        <v>500</v>
      </c>
      <c r="P50" s="352">
        <f>CEILING(표11[[#This Row],[발주량]],표11[[#This Row],[MOQ]])</f>
        <v>1500</v>
      </c>
    </row>
    <row r="51" spans="2:16">
      <c r="B51" s="158" t="s">
        <v>630</v>
      </c>
      <c r="C51" s="327"/>
      <c r="D51" s="327"/>
      <c r="E51" s="328" t="str">
        <f>_xlfn.XLOOKUP(표11[[#This Row],[SKU코드]],'ABC-XYZ분석 (2)'!C:C,'ABC-XYZ분석 (2)'!I:I)</f>
        <v>사계절</v>
      </c>
      <c r="F51" s="328" t="str">
        <f>_xlfn.XLOOKUP(표11[[#This Row],[SKU코드]],'ABC-XYZ분석 (2)'!C:C,'ABC-XYZ분석 (2)'!AC:AC)</f>
        <v>B</v>
      </c>
      <c r="G51" s="312" t="str">
        <f>_xlfn.XLOOKUP(표11[[#This Row],[SKU코드]],'ABC-XYZ분석 (2)'!C:C,'ABC-XYZ분석 (2)'!AG:AG)</f>
        <v>Y</v>
      </c>
      <c r="H51" s="311">
        <f>SUMIF('ABC-XYZ분석 (2)'!C:C,표11[[#This Row],[SKU코드]],'ABC-XYZ분석 (2)'!X:X)/30</f>
        <v>5.9777777777777779</v>
      </c>
      <c r="I51" s="314">
        <v>30</v>
      </c>
      <c r="J51" s="314">
        <v>30</v>
      </c>
      <c r="K51" s="314">
        <f>SUMIF(안전재고!A:A,표11[[#This Row],[SKU코드]],안전재고!I:I)</f>
        <v>29</v>
      </c>
      <c r="L51" s="314">
        <f>SUMIF(재고!C:C,공급물량!B51,재고!I:I)</f>
        <v>0</v>
      </c>
      <c r="M51" s="352">
        <f>H51*I51*VLOOKUP(F51&amp;G51,{"AX",1;"AY",0.95;"AZ",0.85;"BX",0.95;"BY",0.85;"BZ",0.75;"CX",0.85;"CY",0.75;"CZ",0.65},2,0)+K51</f>
        <v>181.43333333333334</v>
      </c>
      <c r="N51" s="329">
        <f>MAX(0,(표11[[#This Row],[적정재고]]-표11[[#This Row],[현재고]]))</f>
        <v>181.43333333333334</v>
      </c>
      <c r="O51" s="314">
        <v>500</v>
      </c>
      <c r="P51" s="352">
        <f>CEILING(표11[[#This Row],[발주량]],표11[[#This Row],[MOQ]])</f>
        <v>500</v>
      </c>
    </row>
    <row r="52" spans="2:16">
      <c r="B52" s="158" t="s">
        <v>631</v>
      </c>
      <c r="C52" s="327"/>
      <c r="D52" s="327"/>
      <c r="E52" s="328" t="str">
        <f>_xlfn.XLOOKUP(표11[[#This Row],[SKU코드]],'ABC-XYZ분석 (2)'!C:C,'ABC-XYZ분석 (2)'!I:I)</f>
        <v>사계절</v>
      </c>
      <c r="F52" s="328" t="str">
        <f>_xlfn.XLOOKUP(표11[[#This Row],[SKU코드]],'ABC-XYZ분석 (2)'!C:C,'ABC-XYZ분석 (2)'!AC:AC)</f>
        <v>B</v>
      </c>
      <c r="G52" s="312" t="str">
        <f>_xlfn.XLOOKUP(표11[[#This Row],[SKU코드]],'ABC-XYZ분석 (2)'!C:C,'ABC-XYZ분석 (2)'!AG:AG)</f>
        <v>Y</v>
      </c>
      <c r="H52" s="311">
        <f>SUMIF('ABC-XYZ분석 (2)'!C:C,표11[[#This Row],[SKU코드]],'ABC-XYZ분석 (2)'!X:X)/30</f>
        <v>3.7</v>
      </c>
      <c r="I52" s="314">
        <v>30</v>
      </c>
      <c r="J52" s="314">
        <v>30</v>
      </c>
      <c r="K52" s="314">
        <f>SUMIF(안전재고!A:A,표11[[#This Row],[SKU코드]],안전재고!I:I)</f>
        <v>18</v>
      </c>
      <c r="L52" s="314">
        <f>SUMIF(재고!C:C,공급물량!B52,재고!I:I)</f>
        <v>0</v>
      </c>
      <c r="M52" s="352">
        <f>H52*I52*VLOOKUP(F52&amp;G52,{"AX",1;"AY",0.95;"AZ",0.85;"BX",0.95;"BY",0.85;"BZ",0.75;"CX",0.85;"CY",0.75;"CZ",0.65},2,0)+K52</f>
        <v>112.35</v>
      </c>
      <c r="N52" s="329">
        <f>MAX(0,(표11[[#This Row],[적정재고]]-표11[[#This Row],[현재고]]))</f>
        <v>112.35</v>
      </c>
      <c r="O52" s="314">
        <v>500</v>
      </c>
      <c r="P52" s="352">
        <f>CEILING(표11[[#This Row],[발주량]],표11[[#This Row],[MOQ]])</f>
        <v>500</v>
      </c>
    </row>
    <row r="53" spans="2:16">
      <c r="B53" s="158" t="s">
        <v>632</v>
      </c>
      <c r="C53" s="327"/>
      <c r="D53" s="327"/>
      <c r="E53" s="328" t="str">
        <f>_xlfn.XLOOKUP(표11[[#This Row],[SKU코드]],'ABC-XYZ분석 (2)'!C:C,'ABC-XYZ분석 (2)'!I:I)</f>
        <v>여름</v>
      </c>
      <c r="F53" s="328" t="str">
        <f>_xlfn.XLOOKUP(표11[[#This Row],[SKU코드]],'ABC-XYZ분석 (2)'!C:C,'ABC-XYZ분석 (2)'!AC:AC)</f>
        <v>B</v>
      </c>
      <c r="G53" s="312" t="str">
        <f>_xlfn.XLOOKUP(표11[[#This Row],[SKU코드]],'ABC-XYZ분석 (2)'!C:C,'ABC-XYZ분석 (2)'!AG:AG)</f>
        <v>Z</v>
      </c>
      <c r="H53" s="311">
        <f>SUMIF('ABC-XYZ분석 (2)'!C:C,표11[[#This Row],[SKU코드]],'ABC-XYZ분석 (2)'!X:X)/30</f>
        <v>0.2</v>
      </c>
      <c r="I53" s="314">
        <v>30</v>
      </c>
      <c r="J53" s="314">
        <v>30</v>
      </c>
      <c r="K53" s="314">
        <f>SUMIF(안전재고!A:A,표11[[#This Row],[SKU코드]],안전재고!I:I)</f>
        <v>150</v>
      </c>
      <c r="L53" s="314">
        <f>SUMIF(재고!C:C,공급물량!B53,재고!I:I)</f>
        <v>199</v>
      </c>
      <c r="M53" s="352">
        <f>H53*I53*VLOOKUP(F53&amp;G53,{"AX",1;"AY",0.95;"AZ",0.85;"BX",0.95;"BY",0.85;"BZ",0.75;"CX",0.85;"CY",0.75;"CZ",0.65},2,0)+K53</f>
        <v>154.5</v>
      </c>
      <c r="N53" s="329">
        <f>MAX(0,(표11[[#This Row],[적정재고]]-표11[[#This Row],[현재고]]))</f>
        <v>0</v>
      </c>
      <c r="O53" s="314">
        <v>500</v>
      </c>
      <c r="P53" s="352">
        <f>CEILING(표11[[#This Row],[발주량]],표11[[#This Row],[MOQ]])</f>
        <v>0</v>
      </c>
    </row>
    <row r="54" spans="2:16">
      <c r="B54" s="158" t="s">
        <v>633</v>
      </c>
      <c r="C54" s="327"/>
      <c r="D54" s="327"/>
      <c r="E54" s="328" t="str">
        <f>_xlfn.XLOOKUP(표11[[#This Row],[SKU코드]],'ABC-XYZ분석 (2)'!C:C,'ABC-XYZ분석 (2)'!I:I)</f>
        <v>사계절</v>
      </c>
      <c r="F54" s="328" t="str">
        <f>_xlfn.XLOOKUP(표11[[#This Row],[SKU코드]],'ABC-XYZ분석 (2)'!C:C,'ABC-XYZ분석 (2)'!AC:AC)</f>
        <v>B</v>
      </c>
      <c r="G54" s="312" t="str">
        <f>_xlfn.XLOOKUP(표11[[#This Row],[SKU코드]],'ABC-XYZ분석 (2)'!C:C,'ABC-XYZ분석 (2)'!AG:AG)</f>
        <v>Y</v>
      </c>
      <c r="H54" s="311">
        <f>SUMIF('ABC-XYZ분석 (2)'!C:C,표11[[#This Row],[SKU코드]],'ABC-XYZ분석 (2)'!X:X)/30</f>
        <v>3.7888888888888892</v>
      </c>
      <c r="I54" s="314">
        <v>30</v>
      </c>
      <c r="J54" s="314">
        <v>30</v>
      </c>
      <c r="K54" s="314">
        <f>SUMIF(안전재고!A:A,표11[[#This Row],[SKU코드]],안전재고!I:I)</f>
        <v>23</v>
      </c>
      <c r="L54" s="314">
        <f>SUMIF(재고!C:C,공급물량!B54,재고!I:I)</f>
        <v>200</v>
      </c>
      <c r="M54" s="352">
        <f>H54*I54*VLOOKUP(F54&amp;G54,{"AX",1;"AY",0.95;"AZ",0.85;"BX",0.95;"BY",0.85;"BZ",0.75;"CX",0.85;"CY",0.75;"CZ",0.65},2,0)+K54</f>
        <v>119.61666666666667</v>
      </c>
      <c r="N54" s="329">
        <f>MAX(0,(표11[[#This Row],[적정재고]]-표11[[#This Row],[현재고]]))</f>
        <v>0</v>
      </c>
      <c r="O54" s="314">
        <v>500</v>
      </c>
      <c r="P54" s="352">
        <f>CEILING(표11[[#This Row],[발주량]],표11[[#This Row],[MOQ]])</f>
        <v>0</v>
      </c>
    </row>
    <row r="55" spans="2:16">
      <c r="B55" s="158" t="s">
        <v>634</v>
      </c>
      <c r="C55" s="327"/>
      <c r="D55" s="327"/>
      <c r="E55" s="328" t="str">
        <f>_xlfn.XLOOKUP(표11[[#This Row],[SKU코드]],'ABC-XYZ분석 (2)'!C:C,'ABC-XYZ분석 (2)'!I:I)</f>
        <v>여름</v>
      </c>
      <c r="F55" s="328" t="str">
        <f>_xlfn.XLOOKUP(표11[[#This Row],[SKU코드]],'ABC-XYZ분석 (2)'!C:C,'ABC-XYZ분석 (2)'!AC:AC)</f>
        <v>B</v>
      </c>
      <c r="G55" s="312" t="str">
        <f>_xlfn.XLOOKUP(표11[[#This Row],[SKU코드]],'ABC-XYZ분석 (2)'!C:C,'ABC-XYZ분석 (2)'!AG:AG)</f>
        <v>Y</v>
      </c>
      <c r="H55" s="311">
        <f>SUMIF('ABC-XYZ분석 (2)'!C:C,표11[[#This Row],[SKU코드]],'ABC-XYZ분석 (2)'!X:X)/30</f>
        <v>0.96666666666666667</v>
      </c>
      <c r="I55" s="314">
        <v>30</v>
      </c>
      <c r="J55" s="314">
        <v>30</v>
      </c>
      <c r="K55" s="314">
        <f>SUMIF(안전재고!A:A,표11[[#This Row],[SKU코드]],안전재고!I:I)</f>
        <v>224</v>
      </c>
      <c r="L55" s="314">
        <f>SUMIF(재고!C:C,공급물량!B55,재고!I:I)</f>
        <v>158</v>
      </c>
      <c r="M55" s="352">
        <f>H55*I55*VLOOKUP(F55&amp;G55,{"AX",1;"AY",0.95;"AZ",0.85;"BX",0.95;"BY",0.85;"BZ",0.75;"CX",0.85;"CY",0.75;"CZ",0.65},2,0)+K55</f>
        <v>248.65</v>
      </c>
      <c r="N55" s="329">
        <f>MAX(0,(표11[[#This Row],[적정재고]]-표11[[#This Row],[현재고]]))</f>
        <v>90.65</v>
      </c>
      <c r="O55" s="314">
        <v>500</v>
      </c>
      <c r="P55" s="352">
        <f>CEILING(표11[[#This Row],[발주량]],표11[[#This Row],[MOQ]])</f>
        <v>500</v>
      </c>
    </row>
    <row r="56" spans="2:16">
      <c r="B56" s="158" t="s">
        <v>635</v>
      </c>
      <c r="C56" s="327"/>
      <c r="D56" s="327"/>
      <c r="E56" s="328" t="str">
        <f>_xlfn.XLOOKUP(표11[[#This Row],[SKU코드]],'ABC-XYZ분석 (2)'!C:C,'ABC-XYZ분석 (2)'!I:I)</f>
        <v>사계절</v>
      </c>
      <c r="F56" s="328" t="str">
        <f>_xlfn.XLOOKUP(표11[[#This Row],[SKU코드]],'ABC-XYZ분석 (2)'!C:C,'ABC-XYZ분석 (2)'!AC:AC)</f>
        <v>B</v>
      </c>
      <c r="G56" s="312" t="str">
        <f>_xlfn.XLOOKUP(표11[[#This Row],[SKU코드]],'ABC-XYZ분석 (2)'!C:C,'ABC-XYZ분석 (2)'!AG:AG)</f>
        <v>X</v>
      </c>
      <c r="H56" s="311">
        <f>SUMIF('ABC-XYZ분석 (2)'!C:C,표11[[#This Row],[SKU코드]],'ABC-XYZ분석 (2)'!X:X)/30</f>
        <v>2.9777777777777774</v>
      </c>
      <c r="I56" s="314">
        <v>30</v>
      </c>
      <c r="J56" s="314">
        <v>30</v>
      </c>
      <c r="K56" s="314">
        <f>SUMIF(안전재고!A:A,표11[[#This Row],[SKU코드]],안전재고!I:I)</f>
        <v>6</v>
      </c>
      <c r="L56" s="314">
        <f>SUMIF(재고!C:C,공급물량!B56,재고!I:I)</f>
        <v>3</v>
      </c>
      <c r="M56" s="352">
        <f>H56*I56*VLOOKUP(F56&amp;G56,{"AX",1;"AY",0.95;"AZ",0.85;"BX",0.95;"BY",0.85;"BZ",0.75;"CX",0.85;"CY",0.75;"CZ",0.65},2,0)+K56</f>
        <v>90.86666666666666</v>
      </c>
      <c r="N56" s="329">
        <f>MAX(0,(표11[[#This Row],[적정재고]]-표11[[#This Row],[현재고]]))</f>
        <v>87.86666666666666</v>
      </c>
      <c r="O56" s="314">
        <v>500</v>
      </c>
      <c r="P56" s="352">
        <f>CEILING(표11[[#This Row],[발주량]],표11[[#This Row],[MOQ]])</f>
        <v>500</v>
      </c>
    </row>
    <row r="57" spans="2:16">
      <c r="B57" s="158" t="s">
        <v>636</v>
      </c>
      <c r="C57" s="327"/>
      <c r="D57" s="327"/>
      <c r="E57" s="328" t="str">
        <f>_xlfn.XLOOKUP(표11[[#This Row],[SKU코드]],'ABC-XYZ분석 (2)'!C:C,'ABC-XYZ분석 (2)'!I:I)</f>
        <v>사계절</v>
      </c>
      <c r="F57" s="328" t="str">
        <f>_xlfn.XLOOKUP(표11[[#This Row],[SKU코드]],'ABC-XYZ분석 (2)'!C:C,'ABC-XYZ분석 (2)'!AC:AC)</f>
        <v>B</v>
      </c>
      <c r="G57" s="312" t="str">
        <f>_xlfn.XLOOKUP(표11[[#This Row],[SKU코드]],'ABC-XYZ분석 (2)'!C:C,'ABC-XYZ분석 (2)'!AG:AG)</f>
        <v>X</v>
      </c>
      <c r="H57" s="311">
        <f>SUMIF('ABC-XYZ분석 (2)'!C:C,표11[[#This Row],[SKU코드]],'ABC-XYZ분석 (2)'!X:X)/30</f>
        <v>1.3222222222222222</v>
      </c>
      <c r="I57" s="314">
        <v>30</v>
      </c>
      <c r="J57" s="314">
        <v>30</v>
      </c>
      <c r="K57" s="314">
        <f>SUMIF(안전재고!A:A,표11[[#This Row],[SKU코드]],안전재고!I:I)</f>
        <v>4</v>
      </c>
      <c r="L57" s="314">
        <f>SUMIF(재고!C:C,공급물량!B57,재고!I:I)</f>
        <v>7</v>
      </c>
      <c r="M57" s="352">
        <f>H57*I57*VLOOKUP(F57&amp;G57,{"AX",1;"AY",0.95;"AZ",0.85;"BX",0.95;"BY",0.85;"BZ",0.75;"CX",0.85;"CY",0.75;"CZ",0.65},2,0)+K57</f>
        <v>41.68333333333333</v>
      </c>
      <c r="N57" s="329">
        <f>MAX(0,(표11[[#This Row],[적정재고]]-표11[[#This Row],[현재고]]))</f>
        <v>34.68333333333333</v>
      </c>
      <c r="O57" s="314">
        <v>500</v>
      </c>
      <c r="P57" s="352">
        <f>CEILING(표11[[#This Row],[발주량]],표11[[#This Row],[MOQ]])</f>
        <v>500</v>
      </c>
    </row>
    <row r="58" spans="2:16">
      <c r="B58" s="158" t="s">
        <v>637</v>
      </c>
      <c r="C58" s="327"/>
      <c r="D58" s="327"/>
      <c r="E58" s="328" t="str">
        <f>_xlfn.XLOOKUP(표11[[#This Row],[SKU코드]],'ABC-XYZ분석 (2)'!C:C,'ABC-XYZ분석 (2)'!I:I)</f>
        <v>사계절</v>
      </c>
      <c r="F58" s="328" t="str">
        <f>_xlfn.XLOOKUP(표11[[#This Row],[SKU코드]],'ABC-XYZ분석 (2)'!C:C,'ABC-XYZ분석 (2)'!AC:AC)</f>
        <v>B</v>
      </c>
      <c r="G58" s="312" t="str">
        <f>_xlfn.XLOOKUP(표11[[#This Row],[SKU코드]],'ABC-XYZ분석 (2)'!C:C,'ABC-XYZ분석 (2)'!AG:AG)</f>
        <v>Y</v>
      </c>
      <c r="H58" s="311">
        <f>SUMIF('ABC-XYZ분석 (2)'!C:C,표11[[#This Row],[SKU코드]],'ABC-XYZ분석 (2)'!X:X)/30</f>
        <v>2.6111111111111112</v>
      </c>
      <c r="I58" s="314">
        <v>30</v>
      </c>
      <c r="J58" s="314">
        <v>30</v>
      </c>
      <c r="K58" s="314">
        <f>SUMIF(안전재고!A:A,표11[[#This Row],[SKU코드]],안전재고!I:I)</f>
        <v>13</v>
      </c>
      <c r="L58" s="314">
        <f>SUMIF(재고!C:C,공급물량!B58,재고!I:I)</f>
        <v>40</v>
      </c>
      <c r="M58" s="352">
        <f>H58*I58*VLOOKUP(F58&amp;G58,{"AX",1;"AY",0.95;"AZ",0.85;"BX",0.95;"BY",0.85;"BZ",0.75;"CX",0.85;"CY",0.75;"CZ",0.65},2,0)+K58</f>
        <v>79.583333333333329</v>
      </c>
      <c r="N58" s="329">
        <f>MAX(0,(표11[[#This Row],[적정재고]]-표11[[#This Row],[현재고]]))</f>
        <v>39.583333333333329</v>
      </c>
      <c r="O58" s="314">
        <v>500</v>
      </c>
      <c r="P58" s="352">
        <f>CEILING(표11[[#This Row],[발주량]],표11[[#This Row],[MOQ]])</f>
        <v>500</v>
      </c>
    </row>
    <row r="59" spans="2:16">
      <c r="B59" s="158" t="s">
        <v>638</v>
      </c>
      <c r="C59" s="327"/>
      <c r="D59" s="327"/>
      <c r="E59" s="328" t="str">
        <f>_xlfn.XLOOKUP(표11[[#This Row],[SKU코드]],'ABC-XYZ분석 (2)'!C:C,'ABC-XYZ분석 (2)'!I:I)</f>
        <v>사계절</v>
      </c>
      <c r="F59" s="328" t="str">
        <f>_xlfn.XLOOKUP(표11[[#This Row],[SKU코드]],'ABC-XYZ분석 (2)'!C:C,'ABC-XYZ분석 (2)'!AC:AC)</f>
        <v>B</v>
      </c>
      <c r="G59" s="312" t="str">
        <f>_xlfn.XLOOKUP(표11[[#This Row],[SKU코드]],'ABC-XYZ분석 (2)'!C:C,'ABC-XYZ분석 (2)'!AG:AG)</f>
        <v>Y</v>
      </c>
      <c r="H59" s="311">
        <f>SUMIF('ABC-XYZ분석 (2)'!C:C,표11[[#This Row],[SKU코드]],'ABC-XYZ분석 (2)'!X:X)/30</f>
        <v>2.0777777777777779</v>
      </c>
      <c r="I59" s="314">
        <v>30</v>
      </c>
      <c r="J59" s="314">
        <v>30</v>
      </c>
      <c r="K59" s="314">
        <f>SUMIF(안전재고!A:A,표11[[#This Row],[SKU코드]],안전재고!I:I)</f>
        <v>13</v>
      </c>
      <c r="L59" s="314">
        <f>SUMIF(재고!C:C,공급물량!B59,재고!I:I)</f>
        <v>129</v>
      </c>
      <c r="M59" s="352">
        <f>H59*I59*VLOOKUP(F59&amp;G59,{"AX",1;"AY",0.95;"AZ",0.85;"BX",0.95;"BY",0.85;"BZ",0.75;"CX",0.85;"CY",0.75;"CZ",0.65},2,0)+K59</f>
        <v>65.983333333333334</v>
      </c>
      <c r="N59" s="329">
        <f>MAX(0,(표11[[#This Row],[적정재고]]-표11[[#This Row],[현재고]]))</f>
        <v>0</v>
      </c>
      <c r="O59" s="314">
        <v>500</v>
      </c>
      <c r="P59" s="352">
        <f>CEILING(표11[[#This Row],[발주량]],표11[[#This Row],[MOQ]])</f>
        <v>0</v>
      </c>
    </row>
    <row r="60" spans="2:16">
      <c r="B60" s="158" t="s">
        <v>639</v>
      </c>
      <c r="C60" s="327"/>
      <c r="D60" s="327"/>
      <c r="E60" s="328" t="str">
        <f>_xlfn.XLOOKUP(표11[[#This Row],[SKU코드]],'ABC-XYZ분석 (2)'!C:C,'ABC-XYZ분석 (2)'!I:I)</f>
        <v>사계절</v>
      </c>
      <c r="F60" s="328" t="str">
        <f>_xlfn.XLOOKUP(표11[[#This Row],[SKU코드]],'ABC-XYZ분석 (2)'!C:C,'ABC-XYZ분석 (2)'!AC:AC)</f>
        <v>B</v>
      </c>
      <c r="G60" s="312" t="str">
        <f>_xlfn.XLOOKUP(표11[[#This Row],[SKU코드]],'ABC-XYZ분석 (2)'!C:C,'ABC-XYZ분석 (2)'!AG:AG)</f>
        <v>Y</v>
      </c>
      <c r="H60" s="311">
        <f>SUMIF('ABC-XYZ분석 (2)'!C:C,표11[[#This Row],[SKU코드]],'ABC-XYZ분석 (2)'!X:X)/30</f>
        <v>3.6333333333333333</v>
      </c>
      <c r="I60" s="314">
        <v>30</v>
      </c>
      <c r="J60" s="314">
        <v>30</v>
      </c>
      <c r="K60" s="314">
        <f>SUMIF(안전재고!A:A,표11[[#This Row],[SKU코드]],안전재고!I:I)</f>
        <v>12</v>
      </c>
      <c r="L60" s="314">
        <f>SUMIF(재고!C:C,공급물량!B60,재고!I:I)</f>
        <v>60</v>
      </c>
      <c r="M60" s="352">
        <f>H60*I60*VLOOKUP(F60&amp;G60,{"AX",1;"AY",0.95;"AZ",0.85;"BX",0.95;"BY",0.85;"BZ",0.75;"CX",0.85;"CY",0.75;"CZ",0.65},2,0)+K60</f>
        <v>104.64999999999999</v>
      </c>
      <c r="N60" s="329">
        <f>MAX(0,(표11[[#This Row],[적정재고]]-표11[[#This Row],[현재고]]))</f>
        <v>44.649999999999991</v>
      </c>
      <c r="O60" s="314">
        <v>500</v>
      </c>
      <c r="P60" s="352">
        <f>CEILING(표11[[#This Row],[발주량]],표11[[#This Row],[MOQ]])</f>
        <v>500</v>
      </c>
    </row>
    <row r="61" spans="2:16">
      <c r="B61" s="158" t="s">
        <v>640</v>
      </c>
      <c r="C61" s="327"/>
      <c r="D61" s="327"/>
      <c r="E61" s="328" t="str">
        <f>_xlfn.XLOOKUP(표11[[#This Row],[SKU코드]],'ABC-XYZ분석 (2)'!C:C,'ABC-XYZ분석 (2)'!I:I)</f>
        <v>겨울</v>
      </c>
      <c r="F61" s="328" t="str">
        <f>_xlfn.XLOOKUP(표11[[#This Row],[SKU코드]],'ABC-XYZ분석 (2)'!C:C,'ABC-XYZ분석 (2)'!AC:AC)</f>
        <v>B</v>
      </c>
      <c r="G61" s="312" t="str">
        <f>_xlfn.XLOOKUP(표11[[#This Row],[SKU코드]],'ABC-XYZ분석 (2)'!C:C,'ABC-XYZ분석 (2)'!AG:AG)</f>
        <v>Z</v>
      </c>
      <c r="H61" s="311">
        <f>SUMIF('ABC-XYZ분석 (2)'!C:C,표11[[#This Row],[SKU코드]],'ABC-XYZ분석 (2)'!X:X)/30</f>
        <v>7.9333333333333336</v>
      </c>
      <c r="I61" s="314">
        <v>30</v>
      </c>
      <c r="J61" s="314">
        <v>30</v>
      </c>
      <c r="K61" s="314">
        <f>SUMIF(안전재고!A:A,표11[[#This Row],[SKU코드]],안전재고!I:I)</f>
        <v>59</v>
      </c>
      <c r="L61" s="314">
        <f>SUMIF(재고!C:C,공급물량!B61,재고!I:I)</f>
        <v>115</v>
      </c>
      <c r="M61" s="352">
        <f>H61*I61*VLOOKUP(F61&amp;G61,{"AX",1;"AY",0.95;"AZ",0.85;"BX",0.95;"BY",0.85;"BZ",0.75;"CX",0.85;"CY",0.75;"CZ",0.65},2,0)+K61</f>
        <v>237.5</v>
      </c>
      <c r="N61" s="329">
        <f>MAX(0,(표11[[#This Row],[적정재고]]-표11[[#This Row],[현재고]]))</f>
        <v>122.5</v>
      </c>
      <c r="O61" s="314">
        <v>500</v>
      </c>
      <c r="P61" s="352">
        <f>CEILING(표11[[#This Row],[발주량]],표11[[#This Row],[MOQ]])</f>
        <v>500</v>
      </c>
    </row>
    <row r="62" spans="2:16">
      <c r="B62" s="158" t="s">
        <v>641</v>
      </c>
      <c r="C62" s="327"/>
      <c r="D62" s="327"/>
      <c r="E62" s="328" t="str">
        <f>_xlfn.XLOOKUP(표11[[#This Row],[SKU코드]],'ABC-XYZ분석 (2)'!C:C,'ABC-XYZ분석 (2)'!I:I)</f>
        <v>여름</v>
      </c>
      <c r="F62" s="328" t="str">
        <f>_xlfn.XLOOKUP(표11[[#This Row],[SKU코드]],'ABC-XYZ분석 (2)'!C:C,'ABC-XYZ분석 (2)'!AC:AC)</f>
        <v>B</v>
      </c>
      <c r="G62" s="312" t="str">
        <f>_xlfn.XLOOKUP(표11[[#This Row],[SKU코드]],'ABC-XYZ분석 (2)'!C:C,'ABC-XYZ분석 (2)'!AG:AG)</f>
        <v>Z</v>
      </c>
      <c r="H62" s="311">
        <f>SUMIF('ABC-XYZ분석 (2)'!C:C,표11[[#This Row],[SKU코드]],'ABC-XYZ분석 (2)'!X:X)/30</f>
        <v>0.3888888888888889</v>
      </c>
      <c r="I62" s="314">
        <v>30</v>
      </c>
      <c r="J62" s="314">
        <v>30</v>
      </c>
      <c r="K62" s="314">
        <f>SUMIF(안전재고!A:A,표11[[#This Row],[SKU코드]],안전재고!I:I)</f>
        <v>140</v>
      </c>
      <c r="L62" s="314">
        <f>SUMIF(재고!C:C,공급물량!B62,재고!I:I)</f>
        <v>0</v>
      </c>
      <c r="M62" s="352">
        <f>H62*I62*VLOOKUP(F62&amp;G62,{"AX",1;"AY",0.95;"AZ",0.85;"BX",0.95;"BY",0.85;"BZ",0.75;"CX",0.85;"CY",0.75;"CZ",0.65},2,0)+K62</f>
        <v>148.75</v>
      </c>
      <c r="N62" s="329">
        <f>MAX(0,(표11[[#This Row],[적정재고]]-표11[[#This Row],[현재고]]))</f>
        <v>148.75</v>
      </c>
      <c r="O62" s="314">
        <v>500</v>
      </c>
      <c r="P62" s="352">
        <f>CEILING(표11[[#This Row],[발주량]],표11[[#This Row],[MOQ]])</f>
        <v>500</v>
      </c>
    </row>
    <row r="63" spans="2:16">
      <c r="B63" s="158" t="s">
        <v>642</v>
      </c>
      <c r="C63" s="327"/>
      <c r="D63" s="327"/>
      <c r="E63" s="328" t="str">
        <f>_xlfn.XLOOKUP(표11[[#This Row],[SKU코드]],'ABC-XYZ분석 (2)'!C:C,'ABC-XYZ분석 (2)'!I:I)</f>
        <v>여름</v>
      </c>
      <c r="F63" s="328" t="str">
        <f>_xlfn.XLOOKUP(표11[[#This Row],[SKU코드]],'ABC-XYZ분석 (2)'!C:C,'ABC-XYZ분석 (2)'!AC:AC)</f>
        <v>B</v>
      </c>
      <c r="G63" s="312" t="str">
        <f>_xlfn.XLOOKUP(표11[[#This Row],[SKU코드]],'ABC-XYZ분석 (2)'!C:C,'ABC-XYZ분석 (2)'!AG:AG)</f>
        <v>Y</v>
      </c>
      <c r="H63" s="311">
        <f>SUMIF('ABC-XYZ분석 (2)'!C:C,표11[[#This Row],[SKU코드]],'ABC-XYZ분석 (2)'!X:X)/30</f>
        <v>7.7777777777777779E-2</v>
      </c>
      <c r="I63" s="314">
        <v>30</v>
      </c>
      <c r="J63" s="314">
        <v>30</v>
      </c>
      <c r="K63" s="314">
        <f>SUMIF(안전재고!A:A,표11[[#This Row],[SKU코드]],안전재고!I:I)</f>
        <v>13</v>
      </c>
      <c r="L63" s="314">
        <f>SUMIF(재고!C:C,공급물량!B63,재고!I:I)</f>
        <v>0</v>
      </c>
      <c r="M63" s="352">
        <f>H63*I63*VLOOKUP(F63&amp;G63,{"AX",1;"AY",0.95;"AZ",0.85;"BX",0.95;"BY",0.85;"BZ",0.75;"CX",0.85;"CY",0.75;"CZ",0.65},2,0)+K63</f>
        <v>14.983333333333334</v>
      </c>
      <c r="N63" s="329">
        <f>MAX(0,(표11[[#This Row],[적정재고]]-표11[[#This Row],[현재고]]))</f>
        <v>14.983333333333334</v>
      </c>
      <c r="O63" s="314">
        <v>500</v>
      </c>
      <c r="P63" s="352">
        <f>CEILING(표11[[#This Row],[발주량]],표11[[#This Row],[MOQ]])</f>
        <v>500</v>
      </c>
    </row>
    <row r="64" spans="2:16">
      <c r="B64" s="158" t="s">
        <v>643</v>
      </c>
      <c r="C64" s="327"/>
      <c r="D64" s="327"/>
      <c r="E64" s="328" t="str">
        <f>_xlfn.XLOOKUP(표11[[#This Row],[SKU코드]],'ABC-XYZ분석 (2)'!C:C,'ABC-XYZ분석 (2)'!I:I)</f>
        <v>사계절</v>
      </c>
      <c r="F64" s="328" t="str">
        <f>_xlfn.XLOOKUP(표11[[#This Row],[SKU코드]],'ABC-XYZ분석 (2)'!C:C,'ABC-XYZ분석 (2)'!AC:AC)</f>
        <v>B</v>
      </c>
      <c r="G64" s="312" t="str">
        <f>_xlfn.XLOOKUP(표11[[#This Row],[SKU코드]],'ABC-XYZ분석 (2)'!C:C,'ABC-XYZ분석 (2)'!AG:AG)</f>
        <v>Y</v>
      </c>
      <c r="H64" s="311">
        <f>SUMIF('ABC-XYZ분석 (2)'!C:C,표11[[#This Row],[SKU코드]],'ABC-XYZ분석 (2)'!X:X)/30</f>
        <v>7.3</v>
      </c>
      <c r="I64" s="314">
        <v>30</v>
      </c>
      <c r="J64" s="314">
        <v>30</v>
      </c>
      <c r="K64" s="314">
        <f>SUMIF(안전재고!A:A,표11[[#This Row],[SKU코드]],안전재고!I:I)</f>
        <v>32</v>
      </c>
      <c r="L64" s="314">
        <f>SUMIF(재고!C:C,공급물량!B64,재고!I:I)</f>
        <v>0</v>
      </c>
      <c r="M64" s="352">
        <f>H64*I64*VLOOKUP(F64&amp;G64,{"AX",1;"AY",0.95;"AZ",0.85;"BX",0.95;"BY",0.85;"BZ",0.75;"CX",0.85;"CY",0.75;"CZ",0.65},2,0)+K64</f>
        <v>218.15</v>
      </c>
      <c r="N64" s="329">
        <f>MAX(0,(표11[[#This Row],[적정재고]]-표11[[#This Row],[현재고]]))</f>
        <v>218.15</v>
      </c>
      <c r="O64" s="314">
        <v>500</v>
      </c>
      <c r="P64" s="352">
        <f>CEILING(표11[[#This Row],[발주량]],표11[[#This Row],[MOQ]])</f>
        <v>500</v>
      </c>
    </row>
    <row r="65" spans="2:16">
      <c r="B65" s="158" t="s">
        <v>644</v>
      </c>
      <c r="C65" s="327"/>
      <c r="D65" s="327"/>
      <c r="E65" s="328" t="str">
        <f>_xlfn.XLOOKUP(표11[[#This Row],[SKU코드]],'ABC-XYZ분석 (2)'!C:C,'ABC-XYZ분석 (2)'!I:I)</f>
        <v>사계절</v>
      </c>
      <c r="F65" s="328" t="str">
        <f>_xlfn.XLOOKUP(표11[[#This Row],[SKU코드]],'ABC-XYZ분석 (2)'!C:C,'ABC-XYZ분석 (2)'!AC:AC)</f>
        <v>B</v>
      </c>
      <c r="G65" s="312" t="str">
        <f>_xlfn.XLOOKUP(표11[[#This Row],[SKU코드]],'ABC-XYZ분석 (2)'!C:C,'ABC-XYZ분석 (2)'!AG:AG)</f>
        <v>Z</v>
      </c>
      <c r="H65" s="311">
        <f>SUMIF('ABC-XYZ분석 (2)'!C:C,표11[[#This Row],[SKU코드]],'ABC-XYZ분석 (2)'!X:X)/30</f>
        <v>3.7333333333333334</v>
      </c>
      <c r="I65" s="314">
        <v>30</v>
      </c>
      <c r="J65" s="314">
        <v>30</v>
      </c>
      <c r="K65" s="314">
        <f>SUMIF(안전재고!A:A,표11[[#This Row],[SKU코드]],안전재고!I:I)</f>
        <v>24</v>
      </c>
      <c r="L65" s="314">
        <f>SUMIF(재고!C:C,공급물량!B65,재고!I:I)</f>
        <v>0</v>
      </c>
      <c r="M65" s="352">
        <f>H65*I65*VLOOKUP(F65&amp;G65,{"AX",1;"AY",0.95;"AZ",0.85;"BX",0.95;"BY",0.85;"BZ",0.75;"CX",0.85;"CY",0.75;"CZ",0.65},2,0)+K65</f>
        <v>108</v>
      </c>
      <c r="N65" s="329">
        <f>MAX(0,(표11[[#This Row],[적정재고]]-표11[[#This Row],[현재고]]))</f>
        <v>108</v>
      </c>
      <c r="O65" s="314">
        <v>500</v>
      </c>
      <c r="P65" s="352">
        <f>CEILING(표11[[#This Row],[발주량]],표11[[#This Row],[MOQ]])</f>
        <v>500</v>
      </c>
    </row>
    <row r="66" spans="2:16">
      <c r="B66" s="158" t="s">
        <v>645</v>
      </c>
      <c r="C66" s="327"/>
      <c r="D66" s="327"/>
      <c r="E66" s="328" t="str">
        <f>_xlfn.XLOOKUP(표11[[#This Row],[SKU코드]],'ABC-XYZ분석 (2)'!C:C,'ABC-XYZ분석 (2)'!I:I)</f>
        <v>사계절</v>
      </c>
      <c r="F66" s="328" t="str">
        <f>_xlfn.XLOOKUP(표11[[#This Row],[SKU코드]],'ABC-XYZ분석 (2)'!C:C,'ABC-XYZ분석 (2)'!AC:AC)</f>
        <v>B</v>
      </c>
      <c r="G66" s="312" t="str">
        <f>_xlfn.XLOOKUP(표11[[#This Row],[SKU코드]],'ABC-XYZ분석 (2)'!C:C,'ABC-XYZ분석 (2)'!AG:AG)</f>
        <v>X</v>
      </c>
      <c r="H66" s="311">
        <f>SUMIF('ABC-XYZ분석 (2)'!C:C,표11[[#This Row],[SKU코드]],'ABC-XYZ분석 (2)'!X:X)/30</f>
        <v>4.0999999999999996</v>
      </c>
      <c r="I66" s="314">
        <v>30</v>
      </c>
      <c r="J66" s="314">
        <v>30</v>
      </c>
      <c r="K66" s="314">
        <f>SUMIF(안전재고!A:A,표11[[#This Row],[SKU코드]],안전재고!I:I)</f>
        <v>6</v>
      </c>
      <c r="L66" s="314">
        <f>SUMIF(재고!C:C,공급물량!B66,재고!I:I)</f>
        <v>0</v>
      </c>
      <c r="M66" s="352">
        <f>H66*I66*VLOOKUP(F66&amp;G66,{"AX",1;"AY",0.95;"AZ",0.85;"BX",0.95;"BY",0.85;"BZ",0.75;"CX",0.85;"CY",0.75;"CZ",0.65},2,0)+K66</f>
        <v>122.84999999999998</v>
      </c>
      <c r="N66" s="329">
        <f>MAX(0,(표11[[#This Row],[적정재고]]-표11[[#This Row],[현재고]]))</f>
        <v>122.84999999999998</v>
      </c>
      <c r="O66" s="314">
        <v>500</v>
      </c>
      <c r="P66" s="352">
        <f>CEILING(표11[[#This Row],[발주량]],표11[[#This Row],[MOQ]])</f>
        <v>500</v>
      </c>
    </row>
    <row r="67" spans="2:16">
      <c r="B67" s="158" t="s">
        <v>646</v>
      </c>
      <c r="C67" s="327"/>
      <c r="D67" s="327"/>
      <c r="E67" s="328" t="str">
        <f>_xlfn.XLOOKUP(표11[[#This Row],[SKU코드]],'ABC-XYZ분석 (2)'!C:C,'ABC-XYZ분석 (2)'!I:I)</f>
        <v>사계절</v>
      </c>
      <c r="F67" s="328" t="str">
        <f>_xlfn.XLOOKUP(표11[[#This Row],[SKU코드]],'ABC-XYZ분석 (2)'!C:C,'ABC-XYZ분석 (2)'!AC:AC)</f>
        <v>B</v>
      </c>
      <c r="G67" s="312" t="str">
        <f>_xlfn.XLOOKUP(표11[[#This Row],[SKU코드]],'ABC-XYZ분석 (2)'!C:C,'ABC-XYZ분석 (2)'!AG:AG)</f>
        <v>Z</v>
      </c>
      <c r="H67" s="311">
        <f>SUMIF('ABC-XYZ분석 (2)'!C:C,표11[[#This Row],[SKU코드]],'ABC-XYZ분석 (2)'!X:X)/30</f>
        <v>33.322222222222223</v>
      </c>
      <c r="I67" s="314">
        <v>30</v>
      </c>
      <c r="J67" s="314">
        <v>30</v>
      </c>
      <c r="K67" s="314">
        <f>SUMIF(안전재고!A:A,표11[[#This Row],[SKU코드]],안전재고!I:I)</f>
        <v>105</v>
      </c>
      <c r="L67" s="314">
        <f>SUMIF(재고!C:C,공급물량!B67,재고!I:I)</f>
        <v>0</v>
      </c>
      <c r="M67" s="352">
        <f>H67*I67*VLOOKUP(F67&amp;G67,{"AX",1;"AY",0.95;"AZ",0.85;"BX",0.95;"BY",0.85;"BZ",0.75;"CX",0.85;"CY",0.75;"CZ",0.65},2,0)+K67</f>
        <v>854.75</v>
      </c>
      <c r="N67" s="329">
        <f>MAX(0,(표11[[#This Row],[적정재고]]-표11[[#This Row],[현재고]]))</f>
        <v>854.75</v>
      </c>
      <c r="O67" s="314">
        <v>500</v>
      </c>
      <c r="P67" s="352">
        <f>CEILING(표11[[#This Row],[발주량]],표11[[#This Row],[MOQ]])</f>
        <v>1000</v>
      </c>
    </row>
    <row r="68" spans="2:16">
      <c r="B68" s="158" t="s">
        <v>647</v>
      </c>
      <c r="C68" s="327"/>
      <c r="D68" s="327"/>
      <c r="E68" s="328" t="str">
        <f>_xlfn.XLOOKUP(표11[[#This Row],[SKU코드]],'ABC-XYZ분석 (2)'!C:C,'ABC-XYZ분석 (2)'!I:I)</f>
        <v>사계절</v>
      </c>
      <c r="F68" s="328" t="str">
        <f>_xlfn.XLOOKUP(표11[[#This Row],[SKU코드]],'ABC-XYZ분석 (2)'!C:C,'ABC-XYZ분석 (2)'!AC:AC)</f>
        <v>B</v>
      </c>
      <c r="G68" s="312" t="str">
        <f>_xlfn.XLOOKUP(표11[[#This Row],[SKU코드]],'ABC-XYZ분석 (2)'!C:C,'ABC-XYZ분석 (2)'!AG:AG)</f>
        <v>Z</v>
      </c>
      <c r="H68" s="311">
        <f>SUMIF('ABC-XYZ분석 (2)'!C:C,표11[[#This Row],[SKU코드]],'ABC-XYZ분석 (2)'!X:X)/30</f>
        <v>1.0666666666666667</v>
      </c>
      <c r="I68" s="314">
        <v>30</v>
      </c>
      <c r="J68" s="314">
        <v>30</v>
      </c>
      <c r="K68" s="314">
        <f>SUMIF(안전재고!A:A,표11[[#This Row],[SKU코드]],안전재고!I:I)</f>
        <v>239</v>
      </c>
      <c r="L68" s="314">
        <f>SUMIF(재고!C:C,공급물량!B68,재고!I:I)</f>
        <v>0</v>
      </c>
      <c r="M68" s="352">
        <f>H68*I68*VLOOKUP(F68&amp;G68,{"AX",1;"AY",0.95;"AZ",0.85;"BX",0.95;"BY",0.85;"BZ",0.75;"CX",0.85;"CY",0.75;"CZ",0.65},2,0)+K68</f>
        <v>263</v>
      </c>
      <c r="N68" s="329">
        <f>MAX(0,(표11[[#This Row],[적정재고]]-표11[[#This Row],[현재고]]))</f>
        <v>263</v>
      </c>
      <c r="O68" s="314">
        <v>500</v>
      </c>
      <c r="P68" s="352">
        <f>CEILING(표11[[#This Row],[발주량]],표11[[#This Row],[MOQ]])</f>
        <v>500</v>
      </c>
    </row>
    <row r="69" spans="2:16">
      <c r="B69" s="158" t="s">
        <v>648</v>
      </c>
      <c r="C69" s="327"/>
      <c r="D69" s="327"/>
      <c r="E69" s="328" t="str">
        <f>_xlfn.XLOOKUP(표11[[#This Row],[SKU코드]],'ABC-XYZ분석 (2)'!C:C,'ABC-XYZ분석 (2)'!I:I)</f>
        <v>사계절</v>
      </c>
      <c r="F69" s="328" t="str">
        <f>_xlfn.XLOOKUP(표11[[#This Row],[SKU코드]],'ABC-XYZ분석 (2)'!C:C,'ABC-XYZ분석 (2)'!AC:AC)</f>
        <v>B</v>
      </c>
      <c r="G69" s="312" t="str">
        <f>_xlfn.XLOOKUP(표11[[#This Row],[SKU코드]],'ABC-XYZ분석 (2)'!C:C,'ABC-XYZ분석 (2)'!AG:AG)</f>
        <v>Y</v>
      </c>
      <c r="H69" s="311">
        <f>SUMIF('ABC-XYZ분석 (2)'!C:C,표11[[#This Row],[SKU코드]],'ABC-XYZ분석 (2)'!X:X)/30</f>
        <v>8.0777777777777775</v>
      </c>
      <c r="I69" s="314">
        <v>30</v>
      </c>
      <c r="J69" s="314">
        <v>30</v>
      </c>
      <c r="K69" s="314">
        <f>SUMIF(안전재고!A:A,표11[[#This Row],[SKU코드]],안전재고!I:I)</f>
        <v>30</v>
      </c>
      <c r="L69" s="314">
        <f>SUMIF(재고!C:C,공급물량!B69,재고!I:I)</f>
        <v>0</v>
      </c>
      <c r="M69" s="352">
        <f>H69*I69*VLOOKUP(F69&amp;G69,{"AX",1;"AY",0.95;"AZ",0.85;"BX",0.95;"BY",0.85;"BZ",0.75;"CX",0.85;"CY",0.75;"CZ",0.65},2,0)+K69</f>
        <v>235.98333333333332</v>
      </c>
      <c r="N69" s="329">
        <f>MAX(0,(표11[[#This Row],[적정재고]]-표11[[#This Row],[현재고]]))</f>
        <v>235.98333333333332</v>
      </c>
      <c r="O69" s="314">
        <v>500</v>
      </c>
      <c r="P69" s="352">
        <f>CEILING(표11[[#This Row],[발주량]],표11[[#This Row],[MOQ]])</f>
        <v>500</v>
      </c>
    </row>
    <row r="70" spans="2:16">
      <c r="B70" s="158" t="s">
        <v>649</v>
      </c>
      <c r="C70" s="327"/>
      <c r="D70" s="327"/>
      <c r="E70" s="328" t="str">
        <f>_xlfn.XLOOKUP(표11[[#This Row],[SKU코드]],'ABC-XYZ분석 (2)'!C:C,'ABC-XYZ분석 (2)'!I:I)</f>
        <v>사계절</v>
      </c>
      <c r="F70" s="328" t="str">
        <f>_xlfn.XLOOKUP(표11[[#This Row],[SKU코드]],'ABC-XYZ분석 (2)'!C:C,'ABC-XYZ분석 (2)'!AC:AC)</f>
        <v>B</v>
      </c>
      <c r="G70" s="312" t="str">
        <f>_xlfn.XLOOKUP(표11[[#This Row],[SKU코드]],'ABC-XYZ분석 (2)'!C:C,'ABC-XYZ분석 (2)'!AG:AG)</f>
        <v>Y</v>
      </c>
      <c r="H70" s="311">
        <f>SUMIF('ABC-XYZ분석 (2)'!C:C,표11[[#This Row],[SKU코드]],'ABC-XYZ분석 (2)'!X:X)/30</f>
        <v>4.7888888888888888</v>
      </c>
      <c r="I70" s="314">
        <v>30</v>
      </c>
      <c r="J70" s="314">
        <v>30</v>
      </c>
      <c r="K70" s="314">
        <f>SUMIF(안전재고!A:A,표11[[#This Row],[SKU코드]],안전재고!I:I)</f>
        <v>28</v>
      </c>
      <c r="L70" s="314">
        <f>SUMIF(재고!C:C,공급물량!B70,재고!I:I)</f>
        <v>0</v>
      </c>
      <c r="M70" s="352">
        <f>H70*I70*VLOOKUP(F70&amp;G70,{"AX",1;"AY",0.95;"AZ",0.85;"BX",0.95;"BY",0.85;"BZ",0.75;"CX",0.85;"CY",0.75;"CZ",0.65},2,0)+K70</f>
        <v>150.11666666666667</v>
      </c>
      <c r="N70" s="329">
        <f>MAX(0,(표11[[#This Row],[적정재고]]-표11[[#This Row],[현재고]]))</f>
        <v>150.11666666666667</v>
      </c>
      <c r="O70" s="314">
        <v>500</v>
      </c>
      <c r="P70" s="352">
        <f>CEILING(표11[[#This Row],[발주량]],표11[[#This Row],[MOQ]])</f>
        <v>500</v>
      </c>
    </row>
    <row r="71" spans="2:16">
      <c r="B71" s="158" t="s">
        <v>650</v>
      </c>
      <c r="C71" s="327"/>
      <c r="D71" s="327"/>
      <c r="E71" s="328" t="str">
        <f>_xlfn.XLOOKUP(표11[[#This Row],[SKU코드]],'ABC-XYZ분석 (2)'!C:C,'ABC-XYZ분석 (2)'!I:I)</f>
        <v>사계절</v>
      </c>
      <c r="F71" s="328" t="str">
        <f>_xlfn.XLOOKUP(표11[[#This Row],[SKU코드]],'ABC-XYZ분석 (2)'!C:C,'ABC-XYZ분석 (2)'!AC:AC)</f>
        <v>B</v>
      </c>
      <c r="G71" s="312" t="str">
        <f>_xlfn.XLOOKUP(표11[[#This Row],[SKU코드]],'ABC-XYZ분석 (2)'!C:C,'ABC-XYZ분석 (2)'!AG:AG)</f>
        <v>Z</v>
      </c>
      <c r="H71" s="311">
        <f>SUMIF('ABC-XYZ분석 (2)'!C:C,표11[[#This Row],[SKU코드]],'ABC-XYZ분석 (2)'!X:X)/30</f>
        <v>4.9777777777777779</v>
      </c>
      <c r="I71" s="314">
        <v>30</v>
      </c>
      <c r="J71" s="314">
        <v>30</v>
      </c>
      <c r="K71" s="314">
        <f>SUMIF(안전재고!A:A,표11[[#This Row],[SKU코드]],안전재고!I:I)</f>
        <v>36</v>
      </c>
      <c r="L71" s="314">
        <f>SUMIF(재고!C:C,공급물량!B71,재고!I:I)</f>
        <v>7</v>
      </c>
      <c r="M71" s="352">
        <f>H71*I71*VLOOKUP(F71&amp;G71,{"AX",1;"AY",0.95;"AZ",0.85;"BX",0.95;"BY",0.85;"BZ",0.75;"CX",0.85;"CY",0.75;"CZ",0.65},2,0)+K71</f>
        <v>148</v>
      </c>
      <c r="N71" s="329">
        <f>MAX(0,(표11[[#This Row],[적정재고]]-표11[[#This Row],[현재고]]))</f>
        <v>141</v>
      </c>
      <c r="O71" s="314">
        <v>500</v>
      </c>
      <c r="P71" s="352">
        <f>CEILING(표11[[#This Row],[발주량]],표11[[#This Row],[MOQ]])</f>
        <v>500</v>
      </c>
    </row>
    <row r="72" spans="2:16">
      <c r="B72" s="158" t="s">
        <v>651</v>
      </c>
      <c r="C72" s="327"/>
      <c r="D72" s="327"/>
      <c r="E72" s="328" t="str">
        <f>_xlfn.XLOOKUP(표11[[#This Row],[SKU코드]],'ABC-XYZ분석 (2)'!C:C,'ABC-XYZ분석 (2)'!I:I)</f>
        <v>사계절</v>
      </c>
      <c r="F72" s="328" t="str">
        <f>_xlfn.XLOOKUP(표11[[#This Row],[SKU코드]],'ABC-XYZ분석 (2)'!C:C,'ABC-XYZ분석 (2)'!AC:AC)</f>
        <v>B</v>
      </c>
      <c r="G72" s="312" t="str">
        <f>_xlfn.XLOOKUP(표11[[#This Row],[SKU코드]],'ABC-XYZ분석 (2)'!C:C,'ABC-XYZ분석 (2)'!AG:AG)</f>
        <v>Y</v>
      </c>
      <c r="H72" s="311">
        <f>SUMIF('ABC-XYZ분석 (2)'!C:C,표11[[#This Row],[SKU코드]],'ABC-XYZ분석 (2)'!X:X)/30</f>
        <v>2.088888888888889</v>
      </c>
      <c r="I72" s="314">
        <v>30</v>
      </c>
      <c r="J72" s="314">
        <v>30</v>
      </c>
      <c r="K72" s="314">
        <f>SUMIF(안전재고!A:A,표11[[#This Row],[SKU코드]],안전재고!I:I)</f>
        <v>11</v>
      </c>
      <c r="L72" s="314">
        <f>SUMIF(재고!C:C,공급물량!B72,재고!I:I)</f>
        <v>197</v>
      </c>
      <c r="M72" s="352">
        <f>H72*I72*VLOOKUP(F72&amp;G72,{"AX",1;"AY",0.95;"AZ",0.85;"BX",0.95;"BY",0.85;"BZ",0.75;"CX",0.85;"CY",0.75;"CZ",0.65},2,0)+K72</f>
        <v>64.26666666666668</v>
      </c>
      <c r="N72" s="329">
        <f>MAX(0,(표11[[#This Row],[적정재고]]-표11[[#This Row],[현재고]]))</f>
        <v>0</v>
      </c>
      <c r="O72" s="314">
        <v>500</v>
      </c>
      <c r="P72" s="352">
        <f>CEILING(표11[[#This Row],[발주량]],표11[[#This Row],[MOQ]])</f>
        <v>0</v>
      </c>
    </row>
    <row r="73" spans="2:16">
      <c r="B73" s="158" t="s">
        <v>652</v>
      </c>
      <c r="C73" s="327"/>
      <c r="D73" s="327"/>
      <c r="E73" s="328" t="str">
        <f>_xlfn.XLOOKUP(표11[[#This Row],[SKU코드]],'ABC-XYZ분석 (2)'!C:C,'ABC-XYZ분석 (2)'!I:I)</f>
        <v>사계절</v>
      </c>
      <c r="F73" s="328" t="str">
        <f>_xlfn.XLOOKUP(표11[[#This Row],[SKU코드]],'ABC-XYZ분석 (2)'!C:C,'ABC-XYZ분석 (2)'!AC:AC)</f>
        <v>C</v>
      </c>
      <c r="G73" s="312" t="str">
        <f>_xlfn.XLOOKUP(표11[[#This Row],[SKU코드]],'ABC-XYZ분석 (2)'!C:C,'ABC-XYZ분석 (2)'!AG:AG)</f>
        <v>Y</v>
      </c>
      <c r="H73" s="311">
        <f>SUMIF('ABC-XYZ분석 (2)'!C:C,표11[[#This Row],[SKU코드]],'ABC-XYZ분석 (2)'!X:X)/30</f>
        <v>14.31111111111111</v>
      </c>
      <c r="I73" s="314">
        <v>30</v>
      </c>
      <c r="J73" s="314">
        <v>30</v>
      </c>
      <c r="K73" s="314">
        <f>SUMIF(안전재고!A:A,표11[[#This Row],[SKU코드]],안전재고!I:I)</f>
        <v>57</v>
      </c>
      <c r="L73" s="314">
        <f>SUMIF(재고!C:C,공급물량!B73,재고!I:I)</f>
        <v>101</v>
      </c>
      <c r="M73" s="352">
        <f>H73*I73*VLOOKUP(F73&amp;G73,{"AX",1;"AY",0.95;"AZ",0.85;"BX",0.95;"BY",0.85;"BZ",0.75;"CX",0.85;"CY",0.75;"CZ",0.65},2,0)+K73</f>
        <v>379</v>
      </c>
      <c r="N73" s="329">
        <f>MAX(0,(표11[[#This Row],[적정재고]]-표11[[#This Row],[현재고]]))</f>
        <v>278</v>
      </c>
      <c r="O73" s="314">
        <v>500</v>
      </c>
      <c r="P73" s="352">
        <f>CEILING(표11[[#This Row],[발주량]],표11[[#This Row],[MOQ]])</f>
        <v>500</v>
      </c>
    </row>
    <row r="74" spans="2:16">
      <c r="B74" s="158" t="s">
        <v>653</v>
      </c>
      <c r="C74" s="327"/>
      <c r="D74" s="327"/>
      <c r="E74" s="328" t="str">
        <f>_xlfn.XLOOKUP(표11[[#This Row],[SKU코드]],'ABC-XYZ분석 (2)'!C:C,'ABC-XYZ분석 (2)'!I:I)</f>
        <v>사계절</v>
      </c>
      <c r="F74" s="328" t="str">
        <f>_xlfn.XLOOKUP(표11[[#This Row],[SKU코드]],'ABC-XYZ분석 (2)'!C:C,'ABC-XYZ분석 (2)'!AC:AC)</f>
        <v>C</v>
      </c>
      <c r="G74" s="312" t="str">
        <f>_xlfn.XLOOKUP(표11[[#This Row],[SKU코드]],'ABC-XYZ분석 (2)'!C:C,'ABC-XYZ분석 (2)'!AG:AG)</f>
        <v>Z</v>
      </c>
      <c r="H74" s="311">
        <f>SUMIF('ABC-XYZ분석 (2)'!C:C,표11[[#This Row],[SKU코드]],'ABC-XYZ분석 (2)'!X:X)/30</f>
        <v>7.1</v>
      </c>
      <c r="I74" s="314">
        <v>30</v>
      </c>
      <c r="J74" s="314">
        <v>30</v>
      </c>
      <c r="K74" s="314">
        <f>SUMIF(안전재고!A:A,표11[[#This Row],[SKU코드]],안전재고!I:I)</f>
        <v>23</v>
      </c>
      <c r="L74" s="314">
        <f>SUMIF(재고!C:C,공급물량!B74,재고!I:I)</f>
        <v>138</v>
      </c>
      <c r="M74" s="352">
        <f>H74*I74*VLOOKUP(F74&amp;G74,{"AX",1;"AY",0.95;"AZ",0.85;"BX",0.95;"BY",0.85;"BZ",0.75;"CX",0.85;"CY",0.75;"CZ",0.65},2,0)+K74</f>
        <v>161.45000000000002</v>
      </c>
      <c r="N74" s="329">
        <f>MAX(0,(표11[[#This Row],[적정재고]]-표11[[#This Row],[현재고]]))</f>
        <v>23.450000000000017</v>
      </c>
      <c r="O74" s="314">
        <v>500</v>
      </c>
      <c r="P74" s="352">
        <f>CEILING(표11[[#This Row],[발주량]],표11[[#This Row],[MOQ]])</f>
        <v>500</v>
      </c>
    </row>
    <row r="75" spans="2:16">
      <c r="B75" s="158" t="s">
        <v>654</v>
      </c>
      <c r="C75" s="327"/>
      <c r="D75" s="327"/>
      <c r="E75" s="328" t="str">
        <f>_xlfn.XLOOKUP(표11[[#This Row],[SKU코드]],'ABC-XYZ분석 (2)'!C:C,'ABC-XYZ분석 (2)'!I:I)</f>
        <v>사계절</v>
      </c>
      <c r="F75" s="328" t="str">
        <f>_xlfn.XLOOKUP(표11[[#This Row],[SKU코드]],'ABC-XYZ분석 (2)'!C:C,'ABC-XYZ분석 (2)'!AC:AC)</f>
        <v>C</v>
      </c>
      <c r="G75" s="312" t="str">
        <f>_xlfn.XLOOKUP(표11[[#This Row],[SKU코드]],'ABC-XYZ분석 (2)'!C:C,'ABC-XYZ분석 (2)'!AG:AG)</f>
        <v>Y</v>
      </c>
      <c r="H75" s="311">
        <f>SUMIF('ABC-XYZ분석 (2)'!C:C,표11[[#This Row],[SKU코드]],'ABC-XYZ분석 (2)'!X:X)/30</f>
        <v>2.9555555555555557</v>
      </c>
      <c r="I75" s="314">
        <v>30</v>
      </c>
      <c r="J75" s="314">
        <v>30</v>
      </c>
      <c r="K75" s="314">
        <f>SUMIF(안전재고!A:A,표11[[#This Row],[SKU코드]],안전재고!I:I)</f>
        <v>8</v>
      </c>
      <c r="L75" s="314">
        <f>SUMIF(재고!C:C,공급물량!B75,재고!I:I)</f>
        <v>150</v>
      </c>
      <c r="M75" s="352">
        <f>H75*I75*VLOOKUP(F75&amp;G75,{"AX",1;"AY",0.95;"AZ",0.85;"BX",0.95;"BY",0.85;"BZ",0.75;"CX",0.85;"CY",0.75;"CZ",0.65},2,0)+K75</f>
        <v>74.5</v>
      </c>
      <c r="N75" s="329">
        <f>MAX(0,(표11[[#This Row],[적정재고]]-표11[[#This Row],[현재고]]))</f>
        <v>0</v>
      </c>
      <c r="O75" s="314">
        <v>500</v>
      </c>
      <c r="P75" s="352">
        <f>CEILING(표11[[#This Row],[발주량]],표11[[#This Row],[MOQ]])</f>
        <v>0</v>
      </c>
    </row>
    <row r="76" spans="2:16">
      <c r="B76" s="158" t="s">
        <v>655</v>
      </c>
      <c r="C76" s="327"/>
      <c r="D76" s="327"/>
      <c r="E76" s="328" t="str">
        <f>_xlfn.XLOOKUP(표11[[#This Row],[SKU코드]],'ABC-XYZ분석 (2)'!C:C,'ABC-XYZ분석 (2)'!I:I)</f>
        <v>사계절</v>
      </c>
      <c r="F76" s="328" t="str">
        <f>_xlfn.XLOOKUP(표11[[#This Row],[SKU코드]],'ABC-XYZ분석 (2)'!C:C,'ABC-XYZ분석 (2)'!AC:AC)</f>
        <v>C</v>
      </c>
      <c r="G76" s="312" t="str">
        <f>_xlfn.XLOOKUP(표11[[#This Row],[SKU코드]],'ABC-XYZ분석 (2)'!C:C,'ABC-XYZ분석 (2)'!AG:AG)</f>
        <v>Z</v>
      </c>
      <c r="H76" s="311">
        <f>SUMIF('ABC-XYZ분석 (2)'!C:C,표11[[#This Row],[SKU코드]],'ABC-XYZ분석 (2)'!X:X)/30</f>
        <v>8.6777777777777771</v>
      </c>
      <c r="I76" s="314">
        <v>30</v>
      </c>
      <c r="J76" s="314">
        <v>30</v>
      </c>
      <c r="K76" s="314">
        <f>SUMIF(안전재고!A:A,표11[[#This Row],[SKU코드]],안전재고!I:I)</f>
        <v>21</v>
      </c>
      <c r="L76" s="314">
        <f>SUMIF(재고!C:C,공급물량!B76,재고!I:I)</f>
        <v>34</v>
      </c>
      <c r="M76" s="352">
        <f>H76*I76*VLOOKUP(F76&amp;G76,{"AX",1;"AY",0.95;"AZ",0.85;"BX",0.95;"BY",0.85;"BZ",0.75;"CX",0.85;"CY",0.75;"CZ",0.65},2,0)+K76</f>
        <v>190.21666666666667</v>
      </c>
      <c r="N76" s="329">
        <f>MAX(0,(표11[[#This Row],[적정재고]]-표11[[#This Row],[현재고]]))</f>
        <v>156.21666666666667</v>
      </c>
      <c r="O76" s="314">
        <v>500</v>
      </c>
      <c r="P76" s="352">
        <f>CEILING(표11[[#This Row],[발주량]],표11[[#This Row],[MOQ]])</f>
        <v>500</v>
      </c>
    </row>
    <row r="77" spans="2:16">
      <c r="B77" s="158" t="s">
        <v>656</v>
      </c>
      <c r="C77" s="327"/>
      <c r="D77" s="327"/>
      <c r="E77" s="328" t="str">
        <f>_xlfn.XLOOKUP(표11[[#This Row],[SKU코드]],'ABC-XYZ분석 (2)'!C:C,'ABC-XYZ분석 (2)'!I:I)</f>
        <v>사계절</v>
      </c>
      <c r="F77" s="328" t="str">
        <f>_xlfn.XLOOKUP(표11[[#This Row],[SKU코드]],'ABC-XYZ분석 (2)'!C:C,'ABC-XYZ분석 (2)'!AC:AC)</f>
        <v>C</v>
      </c>
      <c r="G77" s="312" t="str">
        <f>_xlfn.XLOOKUP(표11[[#This Row],[SKU코드]],'ABC-XYZ분석 (2)'!C:C,'ABC-XYZ분석 (2)'!AG:AG)</f>
        <v>Y</v>
      </c>
      <c r="H77" s="311">
        <f>SUMIF('ABC-XYZ분석 (2)'!C:C,표11[[#This Row],[SKU코드]],'ABC-XYZ분석 (2)'!X:X)/30</f>
        <v>0.71111111111111103</v>
      </c>
      <c r="I77" s="314">
        <v>30</v>
      </c>
      <c r="J77" s="314">
        <v>30</v>
      </c>
      <c r="K77" s="314">
        <f>SUMIF(안전재고!A:A,표11[[#This Row],[SKU코드]],안전재고!I:I)</f>
        <v>5</v>
      </c>
      <c r="L77" s="314">
        <f>SUMIF(재고!C:C,공급물량!B77,재고!I:I)</f>
        <v>45</v>
      </c>
      <c r="M77" s="352">
        <f>H77*I77*VLOOKUP(F77&amp;G77,{"AX",1;"AY",0.95;"AZ",0.85;"BX",0.95;"BY",0.85;"BZ",0.75;"CX",0.85;"CY",0.75;"CZ",0.65},2,0)+K77</f>
        <v>21</v>
      </c>
      <c r="N77" s="329">
        <f>MAX(0,(표11[[#This Row],[적정재고]]-표11[[#This Row],[현재고]]))</f>
        <v>0</v>
      </c>
      <c r="O77" s="314">
        <v>500</v>
      </c>
      <c r="P77" s="352">
        <f>CEILING(표11[[#This Row],[발주량]],표11[[#This Row],[MOQ]])</f>
        <v>0</v>
      </c>
    </row>
    <row r="78" spans="2:16">
      <c r="B78" s="158" t="s">
        <v>657</v>
      </c>
      <c r="C78" s="327"/>
      <c r="D78" s="327"/>
      <c r="E78" s="328" t="str">
        <f>_xlfn.XLOOKUP(표11[[#This Row],[SKU코드]],'ABC-XYZ분석 (2)'!C:C,'ABC-XYZ분석 (2)'!I:I)</f>
        <v>사계절</v>
      </c>
      <c r="F78" s="328" t="str">
        <f>_xlfn.XLOOKUP(표11[[#This Row],[SKU코드]],'ABC-XYZ분석 (2)'!C:C,'ABC-XYZ분석 (2)'!AC:AC)</f>
        <v>C</v>
      </c>
      <c r="G78" s="312" t="str">
        <f>_xlfn.XLOOKUP(표11[[#This Row],[SKU코드]],'ABC-XYZ분석 (2)'!C:C,'ABC-XYZ분석 (2)'!AG:AG)</f>
        <v>X</v>
      </c>
      <c r="H78" s="311">
        <f>SUMIF('ABC-XYZ분석 (2)'!C:C,표11[[#This Row],[SKU코드]],'ABC-XYZ분석 (2)'!X:X)/30</f>
        <v>15.533333333333333</v>
      </c>
      <c r="I78" s="314">
        <v>30</v>
      </c>
      <c r="J78" s="314">
        <v>30</v>
      </c>
      <c r="K78" s="314">
        <f>SUMIF(안전재고!A:A,표11[[#This Row],[SKU코드]],안전재고!I:I)</f>
        <v>37</v>
      </c>
      <c r="L78" s="314">
        <f>SUMIF(재고!C:C,공급물량!B78,재고!I:I)</f>
        <v>190</v>
      </c>
      <c r="M78" s="352">
        <f>H78*I78*VLOOKUP(F78&amp;G78,{"AX",1;"AY",0.95;"AZ",0.85;"BX",0.95;"BY",0.85;"BZ",0.75;"CX",0.85;"CY",0.75;"CZ",0.65},2,0)+K78</f>
        <v>433.09999999999997</v>
      </c>
      <c r="N78" s="329">
        <f>MAX(0,(표11[[#This Row],[적정재고]]-표11[[#This Row],[현재고]]))</f>
        <v>243.09999999999997</v>
      </c>
      <c r="O78" s="314">
        <v>500</v>
      </c>
      <c r="P78" s="352">
        <f>CEILING(표11[[#This Row],[발주량]],표11[[#This Row],[MOQ]])</f>
        <v>500</v>
      </c>
    </row>
    <row r="79" spans="2:16">
      <c r="B79" s="158" t="s">
        <v>658</v>
      </c>
      <c r="C79" s="327"/>
      <c r="D79" s="327"/>
      <c r="E79" s="328" t="str">
        <f>_xlfn.XLOOKUP(표11[[#This Row],[SKU코드]],'ABC-XYZ분석 (2)'!C:C,'ABC-XYZ분석 (2)'!I:I)</f>
        <v>사계절</v>
      </c>
      <c r="F79" s="328" t="str">
        <f>_xlfn.XLOOKUP(표11[[#This Row],[SKU코드]],'ABC-XYZ분석 (2)'!C:C,'ABC-XYZ분석 (2)'!AC:AC)</f>
        <v>C</v>
      </c>
      <c r="G79" s="312" t="str">
        <f>_xlfn.XLOOKUP(표11[[#This Row],[SKU코드]],'ABC-XYZ분석 (2)'!C:C,'ABC-XYZ분석 (2)'!AG:AG)</f>
        <v>X</v>
      </c>
      <c r="H79" s="311">
        <f>SUMIF('ABC-XYZ분석 (2)'!C:C,표11[[#This Row],[SKU코드]],'ABC-XYZ분석 (2)'!X:X)/30</f>
        <v>1.9555555555555555</v>
      </c>
      <c r="I79" s="314">
        <v>30</v>
      </c>
      <c r="J79" s="314">
        <v>30</v>
      </c>
      <c r="K79" s="314">
        <f>SUMIF(안전재고!A:A,표11[[#This Row],[SKU코드]],안전재고!I:I)</f>
        <v>4</v>
      </c>
      <c r="L79" s="314">
        <f>SUMIF(재고!C:C,공급물량!B79,재고!I:I)</f>
        <v>37</v>
      </c>
      <c r="M79" s="352">
        <f>H79*I79*VLOOKUP(F79&amp;G79,{"AX",1;"AY",0.95;"AZ",0.85;"BX",0.95;"BY",0.85;"BZ",0.75;"CX",0.85;"CY",0.75;"CZ",0.65},2,0)+K79</f>
        <v>53.86666666666666</v>
      </c>
      <c r="N79" s="329">
        <f>MAX(0,(표11[[#This Row],[적정재고]]-표11[[#This Row],[현재고]]))</f>
        <v>16.86666666666666</v>
      </c>
      <c r="O79" s="314">
        <v>500</v>
      </c>
      <c r="P79" s="352">
        <f>CEILING(표11[[#This Row],[발주량]],표11[[#This Row],[MOQ]])</f>
        <v>500</v>
      </c>
    </row>
    <row r="80" spans="2:16">
      <c r="B80" s="158" t="s">
        <v>659</v>
      </c>
      <c r="C80" s="327"/>
      <c r="D80" s="327"/>
      <c r="E80" s="328" t="str">
        <f>_xlfn.XLOOKUP(표11[[#This Row],[SKU코드]],'ABC-XYZ분석 (2)'!C:C,'ABC-XYZ분석 (2)'!I:I)</f>
        <v>사계절</v>
      </c>
      <c r="F80" s="328" t="str">
        <f>_xlfn.XLOOKUP(표11[[#This Row],[SKU코드]],'ABC-XYZ분석 (2)'!C:C,'ABC-XYZ분석 (2)'!AC:AC)</f>
        <v>C</v>
      </c>
      <c r="G80" s="312" t="str">
        <f>_xlfn.XLOOKUP(표11[[#This Row],[SKU코드]],'ABC-XYZ분석 (2)'!C:C,'ABC-XYZ분석 (2)'!AG:AG)</f>
        <v>Y</v>
      </c>
      <c r="H80" s="311">
        <f>SUMIF('ABC-XYZ분석 (2)'!C:C,표11[[#This Row],[SKU코드]],'ABC-XYZ분석 (2)'!X:X)/30</f>
        <v>23.87777777777778</v>
      </c>
      <c r="I80" s="314">
        <v>30</v>
      </c>
      <c r="J80" s="314">
        <v>30</v>
      </c>
      <c r="K80" s="314">
        <f>SUMIF(안전재고!A:A,표11[[#This Row],[SKU코드]],안전재고!I:I)</f>
        <v>65</v>
      </c>
      <c r="L80" s="314">
        <f>SUMIF(재고!C:C,공급물량!B80,재고!I:I)</f>
        <v>2</v>
      </c>
      <c r="M80" s="352">
        <f>H80*I80*VLOOKUP(F80&amp;G80,{"AX",1;"AY",0.95;"AZ",0.85;"BX",0.95;"BY",0.85;"BZ",0.75;"CX",0.85;"CY",0.75;"CZ",0.65},2,0)+K80</f>
        <v>602.25</v>
      </c>
      <c r="N80" s="329">
        <f>MAX(0,(표11[[#This Row],[적정재고]]-표11[[#This Row],[현재고]]))</f>
        <v>600.25</v>
      </c>
      <c r="O80" s="314">
        <v>500</v>
      </c>
      <c r="P80" s="352">
        <f>CEILING(표11[[#This Row],[발주량]],표11[[#This Row],[MOQ]])</f>
        <v>1000</v>
      </c>
    </row>
    <row r="81" spans="2:16">
      <c r="B81" s="158" t="s">
        <v>660</v>
      </c>
      <c r="C81" s="327"/>
      <c r="D81" s="327"/>
      <c r="E81" s="328" t="str">
        <f>_xlfn.XLOOKUP(표11[[#This Row],[SKU코드]],'ABC-XYZ분석 (2)'!C:C,'ABC-XYZ분석 (2)'!I:I)</f>
        <v>사계절</v>
      </c>
      <c r="F81" s="328" t="str">
        <f>_xlfn.XLOOKUP(표11[[#This Row],[SKU코드]],'ABC-XYZ분석 (2)'!C:C,'ABC-XYZ분석 (2)'!AC:AC)</f>
        <v>C</v>
      </c>
      <c r="G81" s="312" t="str">
        <f>_xlfn.XLOOKUP(표11[[#This Row],[SKU코드]],'ABC-XYZ분석 (2)'!C:C,'ABC-XYZ분석 (2)'!AG:AG)</f>
        <v>Z</v>
      </c>
      <c r="H81" s="311">
        <f>SUMIF('ABC-XYZ분석 (2)'!C:C,표11[[#This Row],[SKU코드]],'ABC-XYZ분석 (2)'!X:X)/30</f>
        <v>4.177777777777778</v>
      </c>
      <c r="I81" s="314">
        <v>30</v>
      </c>
      <c r="J81" s="314">
        <v>30</v>
      </c>
      <c r="K81" s="314">
        <f>SUMIF(안전재고!A:A,표11[[#This Row],[SKU코드]],안전재고!I:I)</f>
        <v>15</v>
      </c>
      <c r="L81" s="314">
        <f>SUMIF(재고!C:C,공급물량!B81,재고!I:I)</f>
        <v>0</v>
      </c>
      <c r="M81" s="352">
        <f>H81*I81*VLOOKUP(F81&amp;G81,{"AX",1;"AY",0.95;"AZ",0.85;"BX",0.95;"BY",0.85;"BZ",0.75;"CX",0.85;"CY",0.75;"CZ",0.65},2,0)+K81</f>
        <v>96.466666666666669</v>
      </c>
      <c r="N81" s="329">
        <f>MAX(0,(표11[[#This Row],[적정재고]]-표11[[#This Row],[현재고]]))</f>
        <v>96.466666666666669</v>
      </c>
      <c r="O81" s="314">
        <v>500</v>
      </c>
      <c r="P81" s="352">
        <f>CEILING(표11[[#This Row],[발주량]],표11[[#This Row],[MOQ]])</f>
        <v>500</v>
      </c>
    </row>
    <row r="82" spans="2:16">
      <c r="B82" s="158" t="s">
        <v>661</v>
      </c>
      <c r="C82" s="327"/>
      <c r="D82" s="327"/>
      <c r="E82" s="328" t="str">
        <f>_xlfn.XLOOKUP(표11[[#This Row],[SKU코드]],'ABC-XYZ분석 (2)'!C:C,'ABC-XYZ분석 (2)'!I:I)</f>
        <v>사계절</v>
      </c>
      <c r="F82" s="328" t="str">
        <f>_xlfn.XLOOKUP(표11[[#This Row],[SKU코드]],'ABC-XYZ분석 (2)'!C:C,'ABC-XYZ분석 (2)'!AC:AC)</f>
        <v>C</v>
      </c>
      <c r="G82" s="312" t="str">
        <f>_xlfn.XLOOKUP(표11[[#This Row],[SKU코드]],'ABC-XYZ분석 (2)'!C:C,'ABC-XYZ분석 (2)'!AG:AG)</f>
        <v>Y</v>
      </c>
      <c r="H82" s="311">
        <f>SUMIF('ABC-XYZ분석 (2)'!C:C,표11[[#This Row],[SKU코드]],'ABC-XYZ분석 (2)'!X:X)/30</f>
        <v>2.7444444444444445</v>
      </c>
      <c r="I82" s="314">
        <v>30</v>
      </c>
      <c r="J82" s="314">
        <v>30</v>
      </c>
      <c r="K82" s="314">
        <f>SUMIF(안전재고!A:A,표11[[#This Row],[SKU코드]],안전재고!I:I)</f>
        <v>12</v>
      </c>
      <c r="L82" s="314">
        <f>SUMIF(재고!C:C,공급물량!B82,재고!I:I)</f>
        <v>1</v>
      </c>
      <c r="M82" s="352">
        <f>H82*I82*VLOOKUP(F82&amp;G82,{"AX",1;"AY",0.95;"AZ",0.85;"BX",0.95;"BY",0.85;"BZ",0.75;"CX",0.85;"CY",0.75;"CZ",0.65},2,0)+K82</f>
        <v>73.75</v>
      </c>
      <c r="N82" s="329">
        <f>MAX(0,(표11[[#This Row],[적정재고]]-표11[[#This Row],[현재고]]))</f>
        <v>72.75</v>
      </c>
      <c r="O82" s="314">
        <v>500</v>
      </c>
      <c r="P82" s="352">
        <f>CEILING(표11[[#This Row],[발주량]],표11[[#This Row],[MOQ]])</f>
        <v>500</v>
      </c>
    </row>
    <row r="83" spans="2:16">
      <c r="B83" s="158" t="s">
        <v>662</v>
      </c>
      <c r="C83" s="327"/>
      <c r="D83" s="327"/>
      <c r="E83" s="328" t="str">
        <f>_xlfn.XLOOKUP(표11[[#This Row],[SKU코드]],'ABC-XYZ분석 (2)'!C:C,'ABC-XYZ분석 (2)'!I:I)</f>
        <v>사계절</v>
      </c>
      <c r="F83" s="328" t="str">
        <f>_xlfn.XLOOKUP(표11[[#This Row],[SKU코드]],'ABC-XYZ분석 (2)'!C:C,'ABC-XYZ분석 (2)'!AC:AC)</f>
        <v>C</v>
      </c>
      <c r="G83" s="312" t="str">
        <f>_xlfn.XLOOKUP(표11[[#This Row],[SKU코드]],'ABC-XYZ분석 (2)'!C:C,'ABC-XYZ분석 (2)'!AG:AG)</f>
        <v>Y</v>
      </c>
      <c r="H83" s="311">
        <f>SUMIF('ABC-XYZ분석 (2)'!C:C,표11[[#This Row],[SKU코드]],'ABC-XYZ분석 (2)'!X:X)/30</f>
        <v>20.888888888888889</v>
      </c>
      <c r="I83" s="314">
        <v>30</v>
      </c>
      <c r="J83" s="314">
        <v>30</v>
      </c>
      <c r="K83" s="314">
        <f>SUMIF(안전재고!A:A,표11[[#This Row],[SKU코드]],안전재고!I:I)</f>
        <v>81</v>
      </c>
      <c r="L83" s="314">
        <f>SUMIF(재고!C:C,공급물량!B83,재고!I:I)</f>
        <v>504</v>
      </c>
      <c r="M83" s="352">
        <f>H83*I83*VLOOKUP(F83&amp;G83,{"AX",1;"AY",0.95;"AZ",0.85;"BX",0.95;"BY",0.85;"BZ",0.75;"CX",0.85;"CY",0.75;"CZ",0.65},2,0)+K83</f>
        <v>551</v>
      </c>
      <c r="N83" s="329">
        <f>MAX(0,(표11[[#This Row],[적정재고]]-표11[[#This Row],[현재고]]))</f>
        <v>47</v>
      </c>
      <c r="O83" s="314">
        <v>500</v>
      </c>
      <c r="P83" s="352">
        <f>CEILING(표11[[#This Row],[발주량]],표11[[#This Row],[MOQ]])</f>
        <v>500</v>
      </c>
    </row>
    <row r="84" spans="2:16">
      <c r="B84" s="158" t="s">
        <v>663</v>
      </c>
      <c r="C84" s="327"/>
      <c r="D84" s="327"/>
      <c r="E84" s="328" t="str">
        <f>_xlfn.XLOOKUP(표11[[#This Row],[SKU코드]],'ABC-XYZ분석 (2)'!C:C,'ABC-XYZ분석 (2)'!I:I)</f>
        <v>사계절</v>
      </c>
      <c r="F84" s="328" t="str">
        <f>_xlfn.XLOOKUP(표11[[#This Row],[SKU코드]],'ABC-XYZ분석 (2)'!C:C,'ABC-XYZ분석 (2)'!AC:AC)</f>
        <v>C</v>
      </c>
      <c r="G84" s="312" t="str">
        <f>_xlfn.XLOOKUP(표11[[#This Row],[SKU코드]],'ABC-XYZ분석 (2)'!C:C,'ABC-XYZ분석 (2)'!AG:AG)</f>
        <v>Z</v>
      </c>
      <c r="H84" s="311">
        <f>SUMIF('ABC-XYZ분석 (2)'!C:C,표11[[#This Row],[SKU코드]],'ABC-XYZ분석 (2)'!X:X)/30</f>
        <v>2.2555555555555555</v>
      </c>
      <c r="I84" s="314">
        <v>30</v>
      </c>
      <c r="J84" s="314">
        <v>30</v>
      </c>
      <c r="K84" s="314">
        <f>SUMIF(안전재고!A:A,표11[[#This Row],[SKU코드]],안전재고!I:I)</f>
        <v>7</v>
      </c>
      <c r="L84" s="314">
        <f>SUMIF(재고!C:C,공급물량!B84,재고!I:I)</f>
        <v>231</v>
      </c>
      <c r="M84" s="352">
        <f>H84*I84*VLOOKUP(F84&amp;G84,{"AX",1;"AY",0.95;"AZ",0.85;"BX",0.95;"BY",0.85;"BZ",0.75;"CX",0.85;"CY",0.75;"CZ",0.65},2,0)+K84</f>
        <v>50.983333333333341</v>
      </c>
      <c r="N84" s="329">
        <f>MAX(0,(표11[[#This Row],[적정재고]]-표11[[#This Row],[현재고]]))</f>
        <v>0</v>
      </c>
      <c r="O84" s="314">
        <v>500</v>
      </c>
      <c r="P84" s="352">
        <f>CEILING(표11[[#This Row],[발주량]],표11[[#This Row],[MOQ]])</f>
        <v>0</v>
      </c>
    </row>
    <row r="85" spans="2:16">
      <c r="B85" s="158" t="s">
        <v>664</v>
      </c>
      <c r="C85" s="327"/>
      <c r="D85" s="327"/>
      <c r="E85" s="328" t="str">
        <f>_xlfn.XLOOKUP(표11[[#This Row],[SKU코드]],'ABC-XYZ분석 (2)'!C:C,'ABC-XYZ분석 (2)'!I:I)</f>
        <v>사계절</v>
      </c>
      <c r="F85" s="328" t="str">
        <f>_xlfn.XLOOKUP(표11[[#This Row],[SKU코드]],'ABC-XYZ분석 (2)'!C:C,'ABC-XYZ분석 (2)'!AC:AC)</f>
        <v>C</v>
      </c>
      <c r="G85" s="312" t="str">
        <f>_xlfn.XLOOKUP(표11[[#This Row],[SKU코드]],'ABC-XYZ분석 (2)'!C:C,'ABC-XYZ분석 (2)'!AG:AG)</f>
        <v>Z</v>
      </c>
      <c r="H85" s="311">
        <f>SUMIF('ABC-XYZ분석 (2)'!C:C,표11[[#This Row],[SKU코드]],'ABC-XYZ분석 (2)'!X:X)/30</f>
        <v>3.9777777777777774</v>
      </c>
      <c r="I85" s="314">
        <v>30</v>
      </c>
      <c r="J85" s="314">
        <v>30</v>
      </c>
      <c r="K85" s="314">
        <f>SUMIF(안전재고!A:A,표11[[#This Row],[SKU코드]],안전재고!I:I)</f>
        <v>12</v>
      </c>
      <c r="L85" s="314">
        <f>SUMIF(재고!C:C,공급물량!B85,재고!I:I)</f>
        <v>102</v>
      </c>
      <c r="M85" s="352">
        <f>H85*I85*VLOOKUP(F85&amp;G85,{"AX",1;"AY",0.95;"AZ",0.85;"BX",0.95;"BY",0.85;"BZ",0.75;"CX",0.85;"CY",0.75;"CZ",0.65},2,0)+K85</f>
        <v>89.566666666666663</v>
      </c>
      <c r="N85" s="329">
        <f>MAX(0,(표11[[#This Row],[적정재고]]-표11[[#This Row],[현재고]]))</f>
        <v>0</v>
      </c>
      <c r="O85" s="314">
        <v>500</v>
      </c>
      <c r="P85" s="352">
        <f>CEILING(표11[[#This Row],[발주량]],표11[[#This Row],[MOQ]])</f>
        <v>0</v>
      </c>
    </row>
    <row r="86" spans="2:16">
      <c r="B86" s="158" t="s">
        <v>665</v>
      </c>
      <c r="C86" s="327"/>
      <c r="D86" s="327"/>
      <c r="E86" s="328" t="str">
        <f>_xlfn.XLOOKUP(표11[[#This Row],[SKU코드]],'ABC-XYZ분석 (2)'!C:C,'ABC-XYZ분석 (2)'!I:I)</f>
        <v>사계절</v>
      </c>
      <c r="F86" s="328" t="str">
        <f>_xlfn.XLOOKUP(표11[[#This Row],[SKU코드]],'ABC-XYZ분석 (2)'!C:C,'ABC-XYZ분석 (2)'!AC:AC)</f>
        <v>C</v>
      </c>
      <c r="G86" s="312" t="str">
        <f>_xlfn.XLOOKUP(표11[[#This Row],[SKU코드]],'ABC-XYZ분석 (2)'!C:C,'ABC-XYZ분석 (2)'!AG:AG)</f>
        <v>Y</v>
      </c>
      <c r="H86" s="311">
        <f>SUMIF('ABC-XYZ분석 (2)'!C:C,표11[[#This Row],[SKU코드]],'ABC-XYZ분석 (2)'!X:X)/30</f>
        <v>3.0222222222222226</v>
      </c>
      <c r="I86" s="314">
        <v>30</v>
      </c>
      <c r="J86" s="314">
        <v>30</v>
      </c>
      <c r="K86" s="314">
        <f>SUMIF(안전재고!A:A,표11[[#This Row],[SKU코드]],안전재고!I:I)</f>
        <v>7</v>
      </c>
      <c r="L86" s="314">
        <f>SUMIF(재고!C:C,공급물량!B86,재고!I:I)</f>
        <v>201</v>
      </c>
      <c r="M86" s="352">
        <f>H86*I86*VLOOKUP(F86&amp;G86,{"AX",1;"AY",0.95;"AZ",0.85;"BX",0.95;"BY",0.85;"BZ",0.75;"CX",0.85;"CY",0.75;"CZ",0.65},2,0)+K86</f>
        <v>75</v>
      </c>
      <c r="N86" s="329">
        <f>MAX(0,(표11[[#This Row],[적정재고]]-표11[[#This Row],[현재고]]))</f>
        <v>0</v>
      </c>
      <c r="O86" s="314">
        <v>500</v>
      </c>
      <c r="P86" s="352">
        <f>CEILING(표11[[#This Row],[발주량]],표11[[#This Row],[MOQ]])</f>
        <v>0</v>
      </c>
    </row>
    <row r="87" spans="2:16">
      <c r="B87" s="158" t="s">
        <v>666</v>
      </c>
      <c r="C87" s="327"/>
      <c r="D87" s="327"/>
      <c r="E87" s="328" t="str">
        <f>_xlfn.XLOOKUP(표11[[#This Row],[SKU코드]],'ABC-XYZ분석 (2)'!C:C,'ABC-XYZ분석 (2)'!I:I)</f>
        <v>사계절</v>
      </c>
      <c r="F87" s="328" t="str">
        <f>_xlfn.XLOOKUP(표11[[#This Row],[SKU코드]],'ABC-XYZ분석 (2)'!C:C,'ABC-XYZ분석 (2)'!AC:AC)</f>
        <v>C</v>
      </c>
      <c r="G87" s="312" t="str">
        <f>_xlfn.XLOOKUP(표11[[#This Row],[SKU코드]],'ABC-XYZ분석 (2)'!C:C,'ABC-XYZ분석 (2)'!AG:AG)</f>
        <v>Y</v>
      </c>
      <c r="H87" s="311">
        <f>SUMIF('ABC-XYZ분석 (2)'!C:C,표11[[#This Row],[SKU코드]],'ABC-XYZ분석 (2)'!X:X)/30</f>
        <v>1.6444444444444446</v>
      </c>
      <c r="I87" s="314">
        <v>30</v>
      </c>
      <c r="J87" s="314">
        <v>30</v>
      </c>
      <c r="K87" s="314">
        <f>SUMIF(안전재고!A:A,표11[[#This Row],[SKU코드]],안전재고!I:I)</f>
        <v>8</v>
      </c>
      <c r="L87" s="314">
        <f>SUMIF(재고!C:C,공급물량!B87,재고!I:I)</f>
        <v>224</v>
      </c>
      <c r="M87" s="352">
        <f>H87*I87*VLOOKUP(F87&amp;G87,{"AX",1;"AY",0.95;"AZ",0.85;"BX",0.95;"BY",0.85;"BZ",0.75;"CX",0.85;"CY",0.75;"CZ",0.65},2,0)+K87</f>
        <v>45</v>
      </c>
      <c r="N87" s="329">
        <f>MAX(0,(표11[[#This Row],[적정재고]]-표11[[#This Row],[현재고]]))</f>
        <v>0</v>
      </c>
      <c r="O87" s="314">
        <v>500</v>
      </c>
      <c r="P87" s="352">
        <f>CEILING(표11[[#This Row],[발주량]],표11[[#This Row],[MOQ]])</f>
        <v>0</v>
      </c>
    </row>
    <row r="88" spans="2:16">
      <c r="B88" s="158" t="s">
        <v>667</v>
      </c>
      <c r="C88" s="327"/>
      <c r="D88" s="327"/>
      <c r="E88" s="328" t="str">
        <f>_xlfn.XLOOKUP(표11[[#This Row],[SKU코드]],'ABC-XYZ분석 (2)'!C:C,'ABC-XYZ분석 (2)'!I:I)</f>
        <v>사계절</v>
      </c>
      <c r="F88" s="328" t="str">
        <f>_xlfn.XLOOKUP(표11[[#This Row],[SKU코드]],'ABC-XYZ분석 (2)'!C:C,'ABC-XYZ분석 (2)'!AC:AC)</f>
        <v>C</v>
      </c>
      <c r="G88" s="312" t="str">
        <f>_xlfn.XLOOKUP(표11[[#This Row],[SKU코드]],'ABC-XYZ분석 (2)'!C:C,'ABC-XYZ분석 (2)'!AG:AG)</f>
        <v>Y</v>
      </c>
      <c r="H88" s="311">
        <f>SUMIF('ABC-XYZ분석 (2)'!C:C,표11[[#This Row],[SKU코드]],'ABC-XYZ분석 (2)'!X:X)/30</f>
        <v>18.2</v>
      </c>
      <c r="I88" s="314">
        <v>30</v>
      </c>
      <c r="J88" s="314">
        <v>30</v>
      </c>
      <c r="K88" s="314">
        <f>SUMIF(안전재고!A:A,표11[[#This Row],[SKU코드]],안전재고!I:I)</f>
        <v>75</v>
      </c>
      <c r="L88" s="314">
        <f>SUMIF(재고!C:C,공급물량!B88,재고!I:I)</f>
        <v>31</v>
      </c>
      <c r="M88" s="352">
        <f>H88*I88*VLOOKUP(F88&amp;G88,{"AX",1;"AY",0.95;"AZ",0.85;"BX",0.95;"BY",0.85;"BZ",0.75;"CX",0.85;"CY",0.75;"CZ",0.65},2,0)+K88</f>
        <v>484.5</v>
      </c>
      <c r="N88" s="329">
        <f>MAX(0,(표11[[#This Row],[적정재고]]-표11[[#This Row],[현재고]]))</f>
        <v>453.5</v>
      </c>
      <c r="O88" s="314">
        <v>500</v>
      </c>
      <c r="P88" s="352">
        <f>CEILING(표11[[#This Row],[발주량]],표11[[#This Row],[MOQ]])</f>
        <v>500</v>
      </c>
    </row>
    <row r="89" spans="2:16">
      <c r="B89" s="158" t="s">
        <v>668</v>
      </c>
      <c r="C89" s="327"/>
      <c r="D89" s="327"/>
      <c r="E89" s="328" t="str">
        <f>_xlfn.XLOOKUP(표11[[#This Row],[SKU코드]],'ABC-XYZ분석 (2)'!C:C,'ABC-XYZ분석 (2)'!I:I)</f>
        <v>사계절</v>
      </c>
      <c r="F89" s="328" t="str">
        <f>_xlfn.XLOOKUP(표11[[#This Row],[SKU코드]],'ABC-XYZ분석 (2)'!C:C,'ABC-XYZ분석 (2)'!AC:AC)</f>
        <v>C</v>
      </c>
      <c r="G89" s="312" t="str">
        <f>_xlfn.XLOOKUP(표11[[#This Row],[SKU코드]],'ABC-XYZ분석 (2)'!C:C,'ABC-XYZ분석 (2)'!AG:AG)</f>
        <v>X</v>
      </c>
      <c r="H89" s="311">
        <f>SUMIF('ABC-XYZ분석 (2)'!C:C,표11[[#This Row],[SKU코드]],'ABC-XYZ분석 (2)'!X:X)/30</f>
        <v>0.73333333333333328</v>
      </c>
      <c r="I89" s="314">
        <v>30</v>
      </c>
      <c r="J89" s="314">
        <v>30</v>
      </c>
      <c r="K89" s="314">
        <f>SUMIF(안전재고!A:A,표11[[#This Row],[SKU코드]],안전재고!I:I)</f>
        <v>2</v>
      </c>
      <c r="L89" s="314">
        <f>SUMIF(재고!C:C,공급물량!B89,재고!I:I)</f>
        <v>157</v>
      </c>
      <c r="M89" s="352">
        <f>H89*I89*VLOOKUP(F89&amp;G89,{"AX",1;"AY",0.95;"AZ",0.85;"BX",0.95;"BY",0.85;"BZ",0.75;"CX",0.85;"CY",0.75;"CZ",0.65},2,0)+K89</f>
        <v>20.7</v>
      </c>
      <c r="N89" s="329">
        <f>MAX(0,(표11[[#This Row],[적정재고]]-표11[[#This Row],[현재고]]))</f>
        <v>0</v>
      </c>
      <c r="O89" s="314">
        <v>500</v>
      </c>
      <c r="P89" s="352">
        <f>CEILING(표11[[#This Row],[발주량]],표11[[#This Row],[MOQ]])</f>
        <v>0</v>
      </c>
    </row>
    <row r="90" spans="2:16">
      <c r="B90" s="158" t="s">
        <v>669</v>
      </c>
      <c r="C90" s="327"/>
      <c r="D90" s="327"/>
      <c r="E90" s="328" t="str">
        <f>_xlfn.XLOOKUP(표11[[#This Row],[SKU코드]],'ABC-XYZ분석 (2)'!C:C,'ABC-XYZ분석 (2)'!I:I)</f>
        <v>사계절</v>
      </c>
      <c r="F90" s="328" t="str">
        <f>_xlfn.XLOOKUP(표11[[#This Row],[SKU코드]],'ABC-XYZ분석 (2)'!C:C,'ABC-XYZ분석 (2)'!AC:AC)</f>
        <v>C</v>
      </c>
      <c r="G90" s="312" t="str">
        <f>_xlfn.XLOOKUP(표11[[#This Row],[SKU코드]],'ABC-XYZ분석 (2)'!C:C,'ABC-XYZ분석 (2)'!AG:AG)</f>
        <v>Y</v>
      </c>
      <c r="H90" s="311">
        <f>SUMIF('ABC-XYZ분석 (2)'!C:C,표11[[#This Row],[SKU코드]],'ABC-XYZ분석 (2)'!X:X)/30</f>
        <v>1.6111111111111112</v>
      </c>
      <c r="I90" s="314">
        <v>30</v>
      </c>
      <c r="J90" s="314">
        <v>30</v>
      </c>
      <c r="K90" s="314">
        <f>SUMIF(안전재고!A:A,표11[[#This Row],[SKU코드]],안전재고!I:I)</f>
        <v>4</v>
      </c>
      <c r="L90" s="314">
        <f>SUMIF(재고!C:C,공급물량!B90,재고!I:I)</f>
        <v>176</v>
      </c>
      <c r="M90" s="352">
        <f>H90*I90*VLOOKUP(F90&amp;G90,{"AX",1;"AY",0.95;"AZ",0.85;"BX",0.95;"BY",0.85;"BZ",0.75;"CX",0.85;"CY",0.75;"CZ",0.65},2,0)+K90</f>
        <v>40.25</v>
      </c>
      <c r="N90" s="329">
        <f>MAX(0,(표11[[#This Row],[적정재고]]-표11[[#This Row],[현재고]]))</f>
        <v>0</v>
      </c>
      <c r="O90" s="314">
        <v>500</v>
      </c>
      <c r="P90" s="352">
        <f>CEILING(표11[[#This Row],[발주량]],표11[[#This Row],[MOQ]])</f>
        <v>0</v>
      </c>
    </row>
    <row r="91" spans="2:16">
      <c r="B91" s="158" t="s">
        <v>670</v>
      </c>
      <c r="C91" s="327"/>
      <c r="D91" s="327"/>
      <c r="E91" s="328" t="str">
        <f>_xlfn.XLOOKUP(표11[[#This Row],[SKU코드]],'ABC-XYZ분석 (2)'!C:C,'ABC-XYZ분석 (2)'!I:I)</f>
        <v>겨울</v>
      </c>
      <c r="F91" s="328" t="str">
        <f>_xlfn.XLOOKUP(표11[[#This Row],[SKU코드]],'ABC-XYZ분석 (2)'!C:C,'ABC-XYZ분석 (2)'!AC:AC)</f>
        <v>C</v>
      </c>
      <c r="G91" s="312" t="str">
        <f>_xlfn.XLOOKUP(표11[[#This Row],[SKU코드]],'ABC-XYZ분석 (2)'!C:C,'ABC-XYZ분석 (2)'!AG:AG)</f>
        <v>Z</v>
      </c>
      <c r="H91" s="311">
        <f>SUMIF('ABC-XYZ분석 (2)'!C:C,표11[[#This Row],[SKU코드]],'ABC-XYZ분석 (2)'!X:X)/30</f>
        <v>6.666666666666667</v>
      </c>
      <c r="I91" s="314">
        <v>30</v>
      </c>
      <c r="J91" s="314">
        <v>30</v>
      </c>
      <c r="K91" s="314">
        <f>SUMIF(안전재고!A:A,표11[[#This Row],[SKU코드]],안전재고!I:I)</f>
        <v>32</v>
      </c>
      <c r="L91" s="314">
        <f>SUMIF(재고!C:C,공급물량!B91,재고!I:I)</f>
        <v>25</v>
      </c>
      <c r="M91" s="352">
        <f>H91*I91*VLOOKUP(F91&amp;G91,{"AX",1;"AY",0.95;"AZ",0.85;"BX",0.95;"BY",0.85;"BZ",0.75;"CX",0.85;"CY",0.75;"CZ",0.65},2,0)+K91</f>
        <v>162</v>
      </c>
      <c r="N91" s="329">
        <f>MAX(0,(표11[[#This Row],[적정재고]]-표11[[#This Row],[현재고]]))</f>
        <v>137</v>
      </c>
      <c r="O91" s="314">
        <v>500</v>
      </c>
      <c r="P91" s="352">
        <f>CEILING(표11[[#This Row],[발주량]],표11[[#This Row],[MOQ]])</f>
        <v>500</v>
      </c>
    </row>
    <row r="92" spans="2:16">
      <c r="B92" s="158" t="s">
        <v>671</v>
      </c>
      <c r="C92" s="327"/>
      <c r="D92" s="327"/>
      <c r="E92" s="328" t="str">
        <f>_xlfn.XLOOKUP(표11[[#This Row],[SKU코드]],'ABC-XYZ분석 (2)'!C:C,'ABC-XYZ분석 (2)'!I:I)</f>
        <v>사계절</v>
      </c>
      <c r="F92" s="328" t="str">
        <f>_xlfn.XLOOKUP(표11[[#This Row],[SKU코드]],'ABC-XYZ분석 (2)'!C:C,'ABC-XYZ분석 (2)'!AC:AC)</f>
        <v>C</v>
      </c>
      <c r="G92" s="312" t="str">
        <f>_xlfn.XLOOKUP(표11[[#This Row],[SKU코드]],'ABC-XYZ분석 (2)'!C:C,'ABC-XYZ분석 (2)'!AG:AG)</f>
        <v>Y</v>
      </c>
      <c r="H92" s="311">
        <f>SUMIF('ABC-XYZ분석 (2)'!C:C,표11[[#This Row],[SKU코드]],'ABC-XYZ분석 (2)'!X:X)/30</f>
        <v>3.0666666666666669</v>
      </c>
      <c r="I92" s="314">
        <v>30</v>
      </c>
      <c r="J92" s="314">
        <v>30</v>
      </c>
      <c r="K92" s="314">
        <f>SUMIF(안전재고!A:A,표11[[#This Row],[SKU코드]],안전재고!I:I)</f>
        <v>7</v>
      </c>
      <c r="L92" s="314">
        <f>SUMIF(재고!C:C,공급물량!B92,재고!I:I)</f>
        <v>0</v>
      </c>
      <c r="M92" s="352">
        <f>H92*I92*VLOOKUP(F92&amp;G92,{"AX",1;"AY",0.95;"AZ",0.85;"BX",0.95;"BY",0.85;"BZ",0.75;"CX",0.85;"CY",0.75;"CZ",0.65},2,0)+K92</f>
        <v>76</v>
      </c>
      <c r="N92" s="329">
        <f>MAX(0,(표11[[#This Row],[적정재고]]-표11[[#This Row],[현재고]]))</f>
        <v>76</v>
      </c>
      <c r="O92" s="314">
        <v>500</v>
      </c>
      <c r="P92" s="352">
        <f>CEILING(표11[[#This Row],[발주량]],표11[[#This Row],[MOQ]])</f>
        <v>500</v>
      </c>
    </row>
    <row r="93" spans="2:16">
      <c r="B93" s="158" t="s">
        <v>672</v>
      </c>
      <c r="C93" s="327"/>
      <c r="D93" s="327"/>
      <c r="E93" s="328" t="str">
        <f>_xlfn.XLOOKUP(표11[[#This Row],[SKU코드]],'ABC-XYZ분석 (2)'!C:C,'ABC-XYZ분석 (2)'!I:I)</f>
        <v>사계절</v>
      </c>
      <c r="F93" s="328" t="str">
        <f>_xlfn.XLOOKUP(표11[[#This Row],[SKU코드]],'ABC-XYZ분석 (2)'!C:C,'ABC-XYZ분석 (2)'!AC:AC)</f>
        <v>C</v>
      </c>
      <c r="G93" s="312" t="str">
        <f>_xlfn.XLOOKUP(표11[[#This Row],[SKU코드]],'ABC-XYZ분석 (2)'!C:C,'ABC-XYZ분석 (2)'!AG:AG)</f>
        <v>Z</v>
      </c>
      <c r="H93" s="311">
        <f>SUMIF('ABC-XYZ분석 (2)'!C:C,표11[[#This Row],[SKU코드]],'ABC-XYZ분석 (2)'!X:X)/30</f>
        <v>2.5555555555555558</v>
      </c>
      <c r="I93" s="314">
        <v>30</v>
      </c>
      <c r="J93" s="314">
        <v>30</v>
      </c>
      <c r="K93" s="314">
        <f>SUMIF(안전재고!A:A,표11[[#This Row],[SKU코드]],안전재고!I:I)</f>
        <v>11</v>
      </c>
      <c r="L93" s="314">
        <f>SUMIF(재고!C:C,공급물량!B93,재고!I:I)</f>
        <v>1</v>
      </c>
      <c r="M93" s="352">
        <f>H93*I93*VLOOKUP(F93&amp;G93,{"AX",1;"AY",0.95;"AZ",0.85;"BX",0.95;"BY",0.85;"BZ",0.75;"CX",0.85;"CY",0.75;"CZ",0.65},2,0)+K93</f>
        <v>60.833333333333336</v>
      </c>
      <c r="N93" s="329">
        <f>MAX(0,(표11[[#This Row],[적정재고]]-표11[[#This Row],[현재고]]))</f>
        <v>59.833333333333336</v>
      </c>
      <c r="O93" s="314">
        <v>500</v>
      </c>
      <c r="P93" s="352">
        <f>CEILING(표11[[#This Row],[발주량]],표11[[#This Row],[MOQ]])</f>
        <v>500</v>
      </c>
    </row>
    <row r="94" spans="2:16">
      <c r="B94" s="158" t="s">
        <v>673</v>
      </c>
      <c r="C94" s="327"/>
      <c r="D94" s="327"/>
      <c r="E94" s="328" t="str">
        <f>_xlfn.XLOOKUP(표11[[#This Row],[SKU코드]],'ABC-XYZ분석 (2)'!C:C,'ABC-XYZ분석 (2)'!I:I)</f>
        <v>사계절</v>
      </c>
      <c r="F94" s="328" t="str">
        <f>_xlfn.XLOOKUP(표11[[#This Row],[SKU코드]],'ABC-XYZ분석 (2)'!C:C,'ABC-XYZ분석 (2)'!AC:AC)</f>
        <v>C</v>
      </c>
      <c r="G94" s="312" t="str">
        <f>_xlfn.XLOOKUP(표11[[#This Row],[SKU코드]],'ABC-XYZ분석 (2)'!C:C,'ABC-XYZ분석 (2)'!AG:AG)</f>
        <v>Z</v>
      </c>
      <c r="H94" s="311">
        <f>SUMIF('ABC-XYZ분석 (2)'!C:C,표11[[#This Row],[SKU코드]],'ABC-XYZ분석 (2)'!X:X)/30</f>
        <v>1.7777777777777779</v>
      </c>
      <c r="I94" s="314">
        <v>30</v>
      </c>
      <c r="J94" s="314">
        <v>30</v>
      </c>
      <c r="K94" s="314">
        <f>SUMIF(안전재고!A:A,표11[[#This Row],[SKU코드]],안전재고!I:I)</f>
        <v>5</v>
      </c>
      <c r="L94" s="314">
        <f>SUMIF(재고!C:C,공급물량!B94,재고!I:I)</f>
        <v>1</v>
      </c>
      <c r="M94" s="352">
        <f>H94*I94*VLOOKUP(F94&amp;G94,{"AX",1;"AY",0.95;"AZ",0.85;"BX",0.95;"BY",0.85;"BZ",0.75;"CX",0.85;"CY",0.75;"CZ",0.65},2,0)+K94</f>
        <v>39.666666666666671</v>
      </c>
      <c r="N94" s="329">
        <f>MAX(0,(표11[[#This Row],[적정재고]]-표11[[#This Row],[현재고]]))</f>
        <v>38.666666666666671</v>
      </c>
      <c r="O94" s="314">
        <v>500</v>
      </c>
      <c r="P94" s="352">
        <f>CEILING(표11[[#This Row],[발주량]],표11[[#This Row],[MOQ]])</f>
        <v>500</v>
      </c>
    </row>
    <row r="95" spans="2:16">
      <c r="B95" s="158" t="s">
        <v>674</v>
      </c>
      <c r="C95" s="327"/>
      <c r="D95" s="327"/>
      <c r="E95" s="328" t="str">
        <f>_xlfn.XLOOKUP(표11[[#This Row],[SKU코드]],'ABC-XYZ분석 (2)'!C:C,'ABC-XYZ분석 (2)'!I:I)</f>
        <v>사계절</v>
      </c>
      <c r="F95" s="328" t="str">
        <f>_xlfn.XLOOKUP(표11[[#This Row],[SKU코드]],'ABC-XYZ분석 (2)'!C:C,'ABC-XYZ분석 (2)'!AC:AC)</f>
        <v>C</v>
      </c>
      <c r="G95" s="312" t="str">
        <f>_xlfn.XLOOKUP(표11[[#This Row],[SKU코드]],'ABC-XYZ분석 (2)'!C:C,'ABC-XYZ분석 (2)'!AG:AG)</f>
        <v>Z</v>
      </c>
      <c r="H95" s="311">
        <f>SUMIF('ABC-XYZ분석 (2)'!C:C,표11[[#This Row],[SKU코드]],'ABC-XYZ분석 (2)'!X:X)/30</f>
        <v>2.8888888888888888</v>
      </c>
      <c r="I95" s="314">
        <v>30</v>
      </c>
      <c r="J95" s="314">
        <v>30</v>
      </c>
      <c r="K95" s="314">
        <f>SUMIF(안전재고!A:A,표11[[#This Row],[SKU코드]],안전재고!I:I)</f>
        <v>12</v>
      </c>
      <c r="L95" s="314">
        <f>SUMIF(재고!C:C,공급물량!B95,재고!I:I)</f>
        <v>2649</v>
      </c>
      <c r="M95" s="352">
        <f>H95*I95*VLOOKUP(F95&amp;G95,{"AX",1;"AY",0.95;"AZ",0.85;"BX",0.95;"BY",0.85;"BZ",0.75;"CX",0.85;"CY",0.75;"CZ",0.65},2,0)+K95</f>
        <v>68.333333333333343</v>
      </c>
      <c r="N95" s="329">
        <f>MAX(0,(표11[[#This Row],[적정재고]]-표11[[#This Row],[현재고]]))</f>
        <v>0</v>
      </c>
      <c r="O95" s="314">
        <v>500</v>
      </c>
      <c r="P95" s="352">
        <f>CEILING(표11[[#This Row],[발주량]],표11[[#This Row],[MOQ]])</f>
        <v>0</v>
      </c>
    </row>
    <row r="96" spans="2:16">
      <c r="B96" s="158" t="s">
        <v>675</v>
      </c>
      <c r="C96" s="327"/>
      <c r="D96" s="327"/>
      <c r="E96" s="328" t="str">
        <f>_xlfn.XLOOKUP(표11[[#This Row],[SKU코드]],'ABC-XYZ분석 (2)'!C:C,'ABC-XYZ분석 (2)'!I:I)</f>
        <v>사계절</v>
      </c>
      <c r="F96" s="328" t="str">
        <f>_xlfn.XLOOKUP(표11[[#This Row],[SKU코드]],'ABC-XYZ분석 (2)'!C:C,'ABC-XYZ분석 (2)'!AC:AC)</f>
        <v>C</v>
      </c>
      <c r="G96" s="312" t="str">
        <f>_xlfn.XLOOKUP(표11[[#This Row],[SKU코드]],'ABC-XYZ분석 (2)'!C:C,'ABC-XYZ분석 (2)'!AG:AG)</f>
        <v>Z</v>
      </c>
      <c r="H96" s="311">
        <f>SUMIF('ABC-XYZ분석 (2)'!C:C,표11[[#This Row],[SKU코드]],'ABC-XYZ분석 (2)'!X:X)/30</f>
        <v>1.2</v>
      </c>
      <c r="I96" s="314">
        <v>30</v>
      </c>
      <c r="J96" s="314">
        <v>30</v>
      </c>
      <c r="K96" s="314">
        <f>SUMIF(안전재고!A:A,표11[[#This Row],[SKU코드]],안전재고!I:I)</f>
        <v>5</v>
      </c>
      <c r="L96" s="314">
        <f>SUMIF(재고!C:C,공급물량!B96,재고!I:I)</f>
        <v>796</v>
      </c>
      <c r="M96" s="352">
        <f>H96*I96*VLOOKUP(F96&amp;G96,{"AX",1;"AY",0.95;"AZ",0.85;"BX",0.95;"BY",0.85;"BZ",0.75;"CX",0.85;"CY",0.75;"CZ",0.65},2,0)+K96</f>
        <v>28.400000000000002</v>
      </c>
      <c r="N96" s="329">
        <f>MAX(0,(표11[[#This Row],[적정재고]]-표11[[#This Row],[현재고]]))</f>
        <v>0</v>
      </c>
      <c r="O96" s="314">
        <v>500</v>
      </c>
      <c r="P96" s="352">
        <f>CEILING(표11[[#This Row],[발주량]],표11[[#This Row],[MOQ]])</f>
        <v>0</v>
      </c>
    </row>
    <row r="97" spans="2:16">
      <c r="B97" s="158" t="s">
        <v>676</v>
      </c>
      <c r="C97" s="327"/>
      <c r="D97" s="327"/>
      <c r="E97" s="328" t="str">
        <f>_xlfn.XLOOKUP(표11[[#This Row],[SKU코드]],'ABC-XYZ분석 (2)'!C:C,'ABC-XYZ분석 (2)'!I:I)</f>
        <v>사계절</v>
      </c>
      <c r="F97" s="328" t="str">
        <f>_xlfn.XLOOKUP(표11[[#This Row],[SKU코드]],'ABC-XYZ분석 (2)'!C:C,'ABC-XYZ분석 (2)'!AC:AC)</f>
        <v>C</v>
      </c>
      <c r="G97" s="312" t="str">
        <f>_xlfn.XLOOKUP(표11[[#This Row],[SKU코드]],'ABC-XYZ분석 (2)'!C:C,'ABC-XYZ분석 (2)'!AG:AG)</f>
        <v>Z</v>
      </c>
      <c r="H97" s="311">
        <f>SUMIF('ABC-XYZ분석 (2)'!C:C,표11[[#This Row],[SKU코드]],'ABC-XYZ분석 (2)'!X:X)/30</f>
        <v>5.1222222222222218</v>
      </c>
      <c r="I97" s="314">
        <v>30</v>
      </c>
      <c r="J97" s="314">
        <v>30</v>
      </c>
      <c r="K97" s="314">
        <f>SUMIF(안전재고!A:A,표11[[#This Row],[SKU코드]],안전재고!I:I)</f>
        <v>18</v>
      </c>
      <c r="L97" s="314">
        <f>SUMIF(재고!C:C,공급물량!B97,재고!I:I)</f>
        <v>527</v>
      </c>
      <c r="M97" s="352">
        <f>H97*I97*VLOOKUP(F97&amp;G97,{"AX",1;"AY",0.95;"AZ",0.85;"BX",0.95;"BY",0.85;"BZ",0.75;"CX",0.85;"CY",0.75;"CZ",0.65},2,0)+K97</f>
        <v>117.88333333333333</v>
      </c>
      <c r="N97" s="329">
        <f>MAX(0,(표11[[#This Row],[적정재고]]-표11[[#This Row],[현재고]]))</f>
        <v>0</v>
      </c>
      <c r="O97" s="314">
        <v>500</v>
      </c>
      <c r="P97" s="352">
        <f>CEILING(표11[[#This Row],[발주량]],표11[[#This Row],[MOQ]])</f>
        <v>0</v>
      </c>
    </row>
    <row r="98" spans="2:16">
      <c r="B98" s="158" t="s">
        <v>677</v>
      </c>
      <c r="C98" s="327"/>
      <c r="D98" s="327"/>
      <c r="E98" s="328" t="str">
        <f>_xlfn.XLOOKUP(표11[[#This Row],[SKU코드]],'ABC-XYZ분석 (2)'!C:C,'ABC-XYZ분석 (2)'!I:I)</f>
        <v>겨울</v>
      </c>
      <c r="F98" s="328" t="str">
        <f>_xlfn.XLOOKUP(표11[[#This Row],[SKU코드]],'ABC-XYZ분석 (2)'!C:C,'ABC-XYZ분석 (2)'!AC:AC)</f>
        <v>C</v>
      </c>
      <c r="G98" s="312" t="str">
        <f>_xlfn.XLOOKUP(표11[[#This Row],[SKU코드]],'ABC-XYZ분석 (2)'!C:C,'ABC-XYZ분석 (2)'!AG:AG)</f>
        <v>Z</v>
      </c>
      <c r="H98" s="311">
        <f>SUMIF('ABC-XYZ분석 (2)'!C:C,표11[[#This Row],[SKU코드]],'ABC-XYZ분석 (2)'!X:X)/30</f>
        <v>1.4333333333333333</v>
      </c>
      <c r="I98" s="314">
        <v>30</v>
      </c>
      <c r="J98" s="314">
        <v>30</v>
      </c>
      <c r="K98" s="314">
        <f>SUMIF(안전재고!A:A,표11[[#This Row],[SKU코드]],안전재고!I:I)</f>
        <v>8</v>
      </c>
      <c r="L98" s="314">
        <f>SUMIF(재고!C:C,공급물량!B98,재고!I:I)</f>
        <v>99</v>
      </c>
      <c r="M98" s="352">
        <f>H98*I98*VLOOKUP(F98&amp;G98,{"AX",1;"AY",0.95;"AZ",0.85;"BX",0.95;"BY",0.85;"BZ",0.75;"CX",0.85;"CY",0.75;"CZ",0.65},2,0)+K98</f>
        <v>35.950000000000003</v>
      </c>
      <c r="N98" s="329">
        <f>MAX(0,(표11[[#This Row],[적정재고]]-표11[[#This Row],[현재고]]))</f>
        <v>0</v>
      </c>
      <c r="O98" s="314">
        <v>500</v>
      </c>
      <c r="P98" s="352">
        <f>CEILING(표11[[#This Row],[발주량]],표11[[#This Row],[MOQ]])</f>
        <v>0</v>
      </c>
    </row>
    <row r="99" spans="2:16">
      <c r="B99" s="158" t="s">
        <v>678</v>
      </c>
      <c r="C99" s="327"/>
      <c r="D99" s="327"/>
      <c r="E99" s="328" t="str">
        <f>_xlfn.XLOOKUP(표11[[#This Row],[SKU코드]],'ABC-XYZ분석 (2)'!C:C,'ABC-XYZ분석 (2)'!I:I)</f>
        <v>사계절</v>
      </c>
      <c r="F99" s="328" t="str">
        <f>_xlfn.XLOOKUP(표11[[#This Row],[SKU코드]],'ABC-XYZ분석 (2)'!C:C,'ABC-XYZ분석 (2)'!AC:AC)</f>
        <v>C</v>
      </c>
      <c r="G99" s="312" t="str">
        <f>_xlfn.XLOOKUP(표11[[#This Row],[SKU코드]],'ABC-XYZ분석 (2)'!C:C,'ABC-XYZ분석 (2)'!AG:AG)</f>
        <v>Z</v>
      </c>
      <c r="H99" s="311">
        <f>SUMIF('ABC-XYZ분석 (2)'!C:C,표11[[#This Row],[SKU코드]],'ABC-XYZ분석 (2)'!X:X)/30</f>
        <v>2.0111111111111111</v>
      </c>
      <c r="I99" s="314">
        <v>30</v>
      </c>
      <c r="J99" s="314">
        <v>30</v>
      </c>
      <c r="K99" s="314">
        <f>SUMIF(안전재고!A:A,표11[[#This Row],[SKU코드]],안전재고!I:I)</f>
        <v>6</v>
      </c>
      <c r="L99" s="314">
        <f>SUMIF(재고!C:C,공급물량!B99,재고!I:I)</f>
        <v>300</v>
      </c>
      <c r="M99" s="352">
        <f>H99*I99*VLOOKUP(F99&amp;G99,{"AX",1;"AY",0.95;"AZ",0.85;"BX",0.95;"BY",0.85;"BZ",0.75;"CX",0.85;"CY",0.75;"CZ",0.65},2,0)+K99</f>
        <v>45.216666666666661</v>
      </c>
      <c r="N99" s="329">
        <f>MAX(0,(표11[[#This Row],[적정재고]]-표11[[#This Row],[현재고]]))</f>
        <v>0</v>
      </c>
      <c r="O99" s="314">
        <v>500</v>
      </c>
      <c r="P99" s="352">
        <f>CEILING(표11[[#This Row],[발주량]],표11[[#This Row],[MOQ]])</f>
        <v>0</v>
      </c>
    </row>
    <row r="100" spans="2:16">
      <c r="B100" s="158" t="s">
        <v>679</v>
      </c>
      <c r="C100" s="327"/>
      <c r="D100" s="327"/>
      <c r="E100" s="328" t="str">
        <f>_xlfn.XLOOKUP(표11[[#This Row],[SKU코드]],'ABC-XYZ분석 (2)'!C:C,'ABC-XYZ분석 (2)'!I:I)</f>
        <v>사계절</v>
      </c>
      <c r="F100" s="328" t="str">
        <f>_xlfn.XLOOKUP(표11[[#This Row],[SKU코드]],'ABC-XYZ분석 (2)'!C:C,'ABC-XYZ분석 (2)'!AC:AC)</f>
        <v>C</v>
      </c>
      <c r="G100" s="312" t="str">
        <f>_xlfn.XLOOKUP(표11[[#This Row],[SKU코드]],'ABC-XYZ분석 (2)'!C:C,'ABC-XYZ분석 (2)'!AG:AG)</f>
        <v>Y</v>
      </c>
      <c r="H100" s="311">
        <f>SUMIF('ABC-XYZ분석 (2)'!C:C,표11[[#This Row],[SKU코드]],'ABC-XYZ분석 (2)'!X:X)/30</f>
        <v>1.1333333333333333</v>
      </c>
      <c r="I100" s="314">
        <v>30</v>
      </c>
      <c r="J100" s="314">
        <v>30</v>
      </c>
      <c r="K100" s="314">
        <f>SUMIF(안전재고!A:A,표11[[#This Row],[SKU코드]],안전재고!I:I)</f>
        <v>7</v>
      </c>
      <c r="L100" s="314">
        <f>SUMIF(재고!C:C,공급물량!B100,재고!I:I)</f>
        <v>500</v>
      </c>
      <c r="M100" s="352">
        <f>H100*I100*VLOOKUP(F100&amp;G100,{"AX",1;"AY",0.95;"AZ",0.85;"BX",0.95;"BY",0.85;"BZ",0.75;"CX",0.85;"CY",0.75;"CZ",0.65},2,0)+K100</f>
        <v>32.5</v>
      </c>
      <c r="N100" s="329">
        <f>MAX(0,(표11[[#This Row],[적정재고]]-표11[[#This Row],[현재고]]))</f>
        <v>0</v>
      </c>
      <c r="O100" s="314">
        <v>500</v>
      </c>
      <c r="P100" s="352">
        <f>CEILING(표11[[#This Row],[발주량]],표11[[#This Row],[MOQ]])</f>
        <v>0</v>
      </c>
    </row>
  </sheetData>
  <phoneticPr fontId="15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103D6-F830-4EF0-8D41-F00B982AFDC6}">
  <dimension ref="A1:J2"/>
  <sheetViews>
    <sheetView showGridLines="0" tabSelected="1" workbookViewId="0">
      <selection activeCell="K24" sqref="K24"/>
    </sheetView>
  </sheetViews>
  <sheetFormatPr defaultRowHeight="16.5"/>
  <cols>
    <col min="1" max="1" width="11.125" bestFit="1" customWidth="1"/>
    <col min="2" max="2" width="7.5" customWidth="1"/>
    <col min="3" max="3" width="8.375" customWidth="1"/>
    <col min="4" max="4" width="11" customWidth="1"/>
    <col min="5" max="6" width="8.375" customWidth="1"/>
    <col min="7" max="7" width="10.25" customWidth="1"/>
    <col min="8" max="9" width="19" customWidth="1"/>
    <col min="10" max="10" width="12.125" customWidth="1"/>
  </cols>
  <sheetData>
    <row r="1" spans="1:10">
      <c r="A1" s="477" t="s">
        <v>712</v>
      </c>
      <c r="B1" s="478" t="s">
        <v>323</v>
      </c>
      <c r="C1" s="478" t="s">
        <v>715</v>
      </c>
      <c r="D1" s="478" t="s">
        <v>411</v>
      </c>
      <c r="E1" s="478" t="s">
        <v>521</v>
      </c>
      <c r="F1" s="478" t="s">
        <v>522</v>
      </c>
      <c r="G1" s="478" t="s">
        <v>713</v>
      </c>
      <c r="H1" s="478" t="s">
        <v>717</v>
      </c>
      <c r="I1" s="478" t="s">
        <v>716</v>
      </c>
      <c r="J1" s="478" t="s">
        <v>714</v>
      </c>
    </row>
    <row r="2" spans="1:10">
      <c r="A2" s="256">
        <v>46058</v>
      </c>
      <c r="B2" t="s">
        <v>581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BFH120"/>
  <sheetViews>
    <sheetView zoomScaleNormal="100" workbookViewId="0">
      <pane xSplit="1" ySplit="2" topLeftCell="B3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F19" sqref="F19"/>
    </sheetView>
  </sheetViews>
  <sheetFormatPr defaultRowHeight="13.5"/>
  <cols>
    <col min="1" max="1" width="12.75" style="101" bestFit="1" customWidth="1"/>
    <col min="2" max="2" width="8" style="100" bestFit="1" customWidth="1"/>
    <col min="3" max="3" width="7.25" style="101" bestFit="1" customWidth="1"/>
    <col min="4" max="4" width="6" style="102" bestFit="1" customWidth="1"/>
    <col min="5" max="5" width="15.375" style="101" bestFit="1" customWidth="1"/>
    <col min="6" max="6" width="7.5" style="101" customWidth="1"/>
    <col min="7" max="7" width="10.625" style="103" customWidth="1"/>
    <col min="8" max="8" width="8.875" style="104" customWidth="1"/>
    <col min="9" max="9" width="10.625" style="117" customWidth="1"/>
    <col min="10" max="177" width="9" style="116" customWidth="1"/>
    <col min="178" max="178" width="25.375" style="116" customWidth="1"/>
    <col min="179" max="179" width="22.125" style="116" customWidth="1"/>
    <col min="180" max="433" width="9" style="116" customWidth="1"/>
    <col min="434" max="434" width="25.375" style="116" customWidth="1"/>
    <col min="435" max="435" width="22.125" style="116" customWidth="1"/>
    <col min="436" max="689" width="9" style="116" customWidth="1"/>
    <col min="690" max="690" width="25.375" style="116" customWidth="1"/>
    <col min="691" max="691" width="22.125" style="116" customWidth="1"/>
    <col min="692" max="945" width="9" style="116" customWidth="1"/>
    <col min="946" max="946" width="25.375" style="116" customWidth="1"/>
    <col min="947" max="947" width="22.125" style="116" customWidth="1"/>
    <col min="948" max="1201" width="9" style="116" customWidth="1"/>
    <col min="1202" max="1202" width="25.375" style="116" customWidth="1"/>
    <col min="1203" max="1203" width="22.125" style="116" customWidth="1"/>
    <col min="1204" max="1457" width="9" style="116" customWidth="1"/>
    <col min="1458" max="1458" width="25.375" style="116" customWidth="1"/>
    <col min="1459" max="1459" width="22.125" style="116" customWidth="1"/>
    <col min="1460" max="1515" width="9" style="116" customWidth="1"/>
    <col min="1516" max="1516" width="9" style="115" customWidth="1"/>
    <col min="1517" max="1713" width="9" style="116" customWidth="1"/>
    <col min="1714" max="1714" width="25.375" style="116" customWidth="1"/>
    <col min="1715" max="1715" width="22.125" style="116" customWidth="1"/>
    <col min="1716" max="1969" width="9" style="116" customWidth="1"/>
    <col min="1970" max="1970" width="25.375" style="116" customWidth="1"/>
    <col min="1971" max="1971" width="22.125" style="116" customWidth="1"/>
    <col min="1972" max="2225" width="9" style="116" customWidth="1"/>
    <col min="2226" max="2226" width="25.375" style="116" customWidth="1"/>
    <col min="2227" max="2227" width="22.125" style="116" customWidth="1"/>
    <col min="2228" max="2481" width="9" style="116" customWidth="1"/>
    <col min="2482" max="2482" width="25.375" style="116" customWidth="1"/>
    <col min="2483" max="2483" width="22.125" style="116" customWidth="1"/>
    <col min="2484" max="2737" width="9" style="116" customWidth="1"/>
    <col min="2738" max="2738" width="25.375" style="116" customWidth="1"/>
    <col min="2739" max="2739" width="22.125" style="116" customWidth="1"/>
    <col min="2740" max="2993" width="9" style="116" customWidth="1"/>
    <col min="2994" max="2994" width="25.375" style="116" customWidth="1"/>
    <col min="2995" max="2995" width="22.125" style="116" customWidth="1"/>
    <col min="2996" max="3249" width="9" style="116" customWidth="1"/>
    <col min="3250" max="3250" width="25.375" style="116" customWidth="1"/>
    <col min="3251" max="3251" width="22.125" style="116" customWidth="1"/>
    <col min="3252" max="3505" width="9" style="116" customWidth="1"/>
    <col min="3506" max="3506" width="25.375" style="116" customWidth="1"/>
    <col min="3507" max="3507" width="22.125" style="116" customWidth="1"/>
    <col min="3508" max="3761" width="9" style="116" customWidth="1"/>
    <col min="3762" max="3762" width="25.375" style="116" customWidth="1"/>
    <col min="3763" max="3763" width="22.125" style="116" customWidth="1"/>
    <col min="3764" max="4017" width="9" style="116" customWidth="1"/>
    <col min="4018" max="4018" width="25.375" style="116" customWidth="1"/>
    <col min="4019" max="4019" width="22.125" style="116" customWidth="1"/>
    <col min="4020" max="4273" width="9" style="116" customWidth="1"/>
    <col min="4274" max="4274" width="25.375" style="116" customWidth="1"/>
    <col min="4275" max="4275" width="22.125" style="116" customWidth="1"/>
    <col min="4276" max="4529" width="9" style="116" customWidth="1"/>
    <col min="4530" max="4530" width="25.375" style="116" customWidth="1"/>
    <col min="4531" max="4531" width="22.125" style="116" customWidth="1"/>
    <col min="4532" max="4785" width="9" style="116" customWidth="1"/>
    <col min="4786" max="4786" width="25.375" style="116" customWidth="1"/>
    <col min="4787" max="4787" width="22.125" style="116" customWidth="1"/>
    <col min="4788" max="5041" width="9" style="116" customWidth="1"/>
    <col min="5042" max="5042" width="25.375" style="116" customWidth="1"/>
    <col min="5043" max="5043" width="22.125" style="116" customWidth="1"/>
    <col min="5044" max="5297" width="9" style="116" customWidth="1"/>
    <col min="5298" max="5298" width="25.375" style="116" customWidth="1"/>
    <col min="5299" max="5299" width="22.125" style="116" customWidth="1"/>
    <col min="5300" max="5553" width="9" style="116" customWidth="1"/>
    <col min="5554" max="5554" width="25.375" style="116" customWidth="1"/>
    <col min="5555" max="5555" width="22.125" style="116" customWidth="1"/>
    <col min="5556" max="5809" width="9" style="116" customWidth="1"/>
    <col min="5810" max="5810" width="25.375" style="116" customWidth="1"/>
    <col min="5811" max="5811" width="22.125" style="116" customWidth="1"/>
    <col min="5812" max="6065" width="9" style="116" customWidth="1"/>
    <col min="6066" max="6066" width="25.375" style="116" customWidth="1"/>
    <col min="6067" max="6067" width="22.125" style="116" customWidth="1"/>
    <col min="6068" max="6321" width="9" style="116" customWidth="1"/>
    <col min="6322" max="6322" width="25.375" style="116" customWidth="1"/>
    <col min="6323" max="6323" width="22.125" style="116" customWidth="1"/>
    <col min="6324" max="6577" width="9" style="116" customWidth="1"/>
    <col min="6578" max="6578" width="25.375" style="116" customWidth="1"/>
    <col min="6579" max="6579" width="22.125" style="116" customWidth="1"/>
    <col min="6580" max="6833" width="9" style="116" customWidth="1"/>
    <col min="6834" max="6834" width="25.375" style="116" customWidth="1"/>
    <col min="6835" max="6835" width="22.125" style="116" customWidth="1"/>
    <col min="6836" max="7089" width="9" style="116" customWidth="1"/>
    <col min="7090" max="7090" width="25.375" style="116" customWidth="1"/>
    <col min="7091" max="7091" width="22.125" style="116" customWidth="1"/>
    <col min="7092" max="7345" width="9" style="116" customWidth="1"/>
    <col min="7346" max="7346" width="25.375" style="116" customWidth="1"/>
    <col min="7347" max="7347" width="22.125" style="116" customWidth="1"/>
    <col min="7348" max="7601" width="9" style="116" customWidth="1"/>
    <col min="7602" max="7602" width="25.375" style="116" customWidth="1"/>
    <col min="7603" max="7603" width="22.125" style="116" customWidth="1"/>
    <col min="7604" max="7857" width="9" style="116" customWidth="1"/>
    <col min="7858" max="7858" width="25.375" style="116" customWidth="1"/>
    <col min="7859" max="7859" width="22.125" style="116" customWidth="1"/>
    <col min="7860" max="8113" width="9" style="116" customWidth="1"/>
    <col min="8114" max="8114" width="25.375" style="116" customWidth="1"/>
    <col min="8115" max="8115" width="22.125" style="116" customWidth="1"/>
    <col min="8116" max="8369" width="9" style="116" customWidth="1"/>
    <col min="8370" max="8370" width="25.375" style="116" customWidth="1"/>
    <col min="8371" max="8371" width="22.125" style="116" customWidth="1"/>
    <col min="8372" max="8625" width="9" style="116" customWidth="1"/>
    <col min="8626" max="8626" width="25.375" style="116" customWidth="1"/>
    <col min="8627" max="8627" width="22.125" style="116" customWidth="1"/>
    <col min="8628" max="8881" width="9" style="116" customWidth="1"/>
    <col min="8882" max="8882" width="25.375" style="116" customWidth="1"/>
    <col min="8883" max="8883" width="22.125" style="116" customWidth="1"/>
    <col min="8884" max="9137" width="9" style="116" customWidth="1"/>
    <col min="9138" max="9138" width="25.375" style="116" customWidth="1"/>
    <col min="9139" max="9139" width="22.125" style="116" customWidth="1"/>
    <col min="9140" max="9393" width="9" style="116" customWidth="1"/>
    <col min="9394" max="9394" width="25.375" style="116" customWidth="1"/>
    <col min="9395" max="9395" width="22.125" style="116" customWidth="1"/>
    <col min="9396" max="9649" width="9" style="116" customWidth="1"/>
    <col min="9650" max="9650" width="25.375" style="116" customWidth="1"/>
    <col min="9651" max="9651" width="22.125" style="116" customWidth="1"/>
    <col min="9652" max="9905" width="9" style="116" customWidth="1"/>
    <col min="9906" max="9906" width="25.375" style="116" customWidth="1"/>
    <col min="9907" max="9907" width="22.125" style="116" customWidth="1"/>
    <col min="9908" max="10161" width="9" style="116" customWidth="1"/>
    <col min="10162" max="10162" width="25.375" style="116" customWidth="1"/>
    <col min="10163" max="10163" width="22.125" style="116" customWidth="1"/>
    <col min="10164" max="10417" width="9" style="116" customWidth="1"/>
    <col min="10418" max="10418" width="25.375" style="116" customWidth="1"/>
    <col min="10419" max="10419" width="22.125" style="116" customWidth="1"/>
    <col min="10420" max="10673" width="9" style="116" customWidth="1"/>
    <col min="10674" max="10674" width="25.375" style="116" customWidth="1"/>
    <col min="10675" max="10675" width="22.125" style="116" customWidth="1"/>
    <col min="10676" max="10929" width="9" style="116" customWidth="1"/>
    <col min="10930" max="10930" width="25.375" style="116" customWidth="1"/>
    <col min="10931" max="10931" width="22.125" style="116" customWidth="1"/>
    <col min="10932" max="11185" width="9" style="116" customWidth="1"/>
    <col min="11186" max="11186" width="25.375" style="116" customWidth="1"/>
    <col min="11187" max="11187" width="22.125" style="116" customWidth="1"/>
    <col min="11188" max="11441" width="9" style="116" customWidth="1"/>
    <col min="11442" max="11442" width="25.375" style="116" customWidth="1"/>
    <col min="11443" max="11443" width="22.125" style="116" customWidth="1"/>
    <col min="11444" max="11697" width="9" style="116" customWidth="1"/>
    <col min="11698" max="11698" width="25.375" style="116" customWidth="1"/>
    <col min="11699" max="11699" width="22.125" style="116" customWidth="1"/>
    <col min="11700" max="11953" width="9" style="116" customWidth="1"/>
    <col min="11954" max="11954" width="25.375" style="116" customWidth="1"/>
    <col min="11955" max="11955" width="22.125" style="116" customWidth="1"/>
    <col min="11956" max="12209" width="9" style="116" customWidth="1"/>
    <col min="12210" max="12210" width="25.375" style="116" customWidth="1"/>
    <col min="12211" max="12211" width="22.125" style="116" customWidth="1"/>
    <col min="12212" max="12465" width="9" style="116" customWidth="1"/>
    <col min="12466" max="12466" width="25.375" style="116" customWidth="1"/>
    <col min="12467" max="12467" width="22.125" style="116" customWidth="1"/>
    <col min="12468" max="12721" width="9" style="116" customWidth="1"/>
    <col min="12722" max="12722" width="25.375" style="116" customWidth="1"/>
    <col min="12723" max="12723" width="22.125" style="116" customWidth="1"/>
    <col min="12724" max="12977" width="9" style="116" customWidth="1"/>
    <col min="12978" max="12978" width="25.375" style="116" customWidth="1"/>
    <col min="12979" max="12979" width="22.125" style="116" customWidth="1"/>
    <col min="12980" max="13233" width="9" style="116" customWidth="1"/>
    <col min="13234" max="13234" width="25.375" style="116" customWidth="1"/>
    <col min="13235" max="13235" width="22.125" style="116" customWidth="1"/>
    <col min="13236" max="13489" width="9" style="116" customWidth="1"/>
    <col min="13490" max="13490" width="25.375" style="116" customWidth="1"/>
    <col min="13491" max="13491" width="22.125" style="116" customWidth="1"/>
    <col min="13492" max="13745" width="9" style="116" customWidth="1"/>
    <col min="13746" max="13746" width="25.375" style="116" customWidth="1"/>
    <col min="13747" max="13747" width="22.125" style="116" customWidth="1"/>
    <col min="13748" max="14001" width="9" style="116" customWidth="1"/>
    <col min="14002" max="14002" width="25.375" style="116" customWidth="1"/>
    <col min="14003" max="14003" width="22.125" style="116" customWidth="1"/>
    <col min="14004" max="14257" width="9" style="116" customWidth="1"/>
    <col min="14258" max="14258" width="25.375" style="116" customWidth="1"/>
    <col min="14259" max="14259" width="22.125" style="116" customWidth="1"/>
    <col min="14260" max="14513" width="9" style="116" customWidth="1"/>
    <col min="14514" max="14514" width="25.375" style="116" customWidth="1"/>
    <col min="14515" max="14515" width="22.125" style="116" customWidth="1"/>
    <col min="14516" max="14769" width="9" style="116" customWidth="1"/>
    <col min="14770" max="14770" width="25.375" style="116" customWidth="1"/>
    <col min="14771" max="14771" width="22.125" style="116" customWidth="1"/>
    <col min="14772" max="15025" width="9" style="116" customWidth="1"/>
    <col min="15026" max="15026" width="25.375" style="116" customWidth="1"/>
    <col min="15027" max="15027" width="22.125" style="116" customWidth="1"/>
    <col min="15028" max="15281" width="9" style="116" customWidth="1"/>
    <col min="15282" max="15282" width="25.375" style="116" customWidth="1"/>
    <col min="15283" max="15283" width="22.125" style="116" customWidth="1"/>
    <col min="15284" max="15537" width="9" style="116" customWidth="1"/>
    <col min="15538" max="15538" width="25.375" style="116" customWidth="1"/>
    <col min="15539" max="15539" width="22.125" style="116" customWidth="1"/>
    <col min="15540" max="15793" width="9" style="116" customWidth="1"/>
    <col min="15794" max="15794" width="25.375" style="116" customWidth="1"/>
    <col min="15795" max="15795" width="22.125" style="116" customWidth="1"/>
    <col min="15796" max="16049" width="9" style="116" customWidth="1"/>
    <col min="16050" max="16050" width="25.375" style="116" customWidth="1"/>
    <col min="16051" max="16051" width="22.125" style="116" customWidth="1"/>
    <col min="16052" max="16374" width="9" style="116" customWidth="1"/>
    <col min="16375" max="16384" width="9" style="116"/>
  </cols>
  <sheetData>
    <row r="1" spans="1:9 1516:1516" s="106" customFormat="1" ht="15" customHeight="1">
      <c r="A1" s="381" t="s">
        <v>680</v>
      </c>
      <c r="B1" s="100" t="s">
        <v>681</v>
      </c>
      <c r="C1" s="101" t="s">
        <v>682</v>
      </c>
      <c r="D1" s="102" t="s">
        <v>683</v>
      </c>
      <c r="E1" s="101" t="s">
        <v>684</v>
      </c>
      <c r="F1" s="101" t="s">
        <v>685</v>
      </c>
      <c r="G1" s="103" t="s">
        <v>686</v>
      </c>
      <c r="H1" s="104" t="s">
        <v>687</v>
      </c>
      <c r="I1" s="105" t="s">
        <v>688</v>
      </c>
      <c r="BFH1" s="107"/>
    </row>
    <row r="2" spans="1:9 1516:1516" s="114" customFormat="1" ht="16.5" customHeight="1">
      <c r="A2" s="108" t="s">
        <v>271</v>
      </c>
      <c r="B2" s="109" t="s">
        <v>141</v>
      </c>
      <c r="C2" s="109" t="s">
        <v>272</v>
      </c>
      <c r="D2" s="110" t="s">
        <v>142</v>
      </c>
      <c r="E2" s="110" t="s">
        <v>273</v>
      </c>
      <c r="F2" s="111" t="s">
        <v>143</v>
      </c>
      <c r="G2" s="111" t="s">
        <v>144</v>
      </c>
      <c r="H2" s="112" t="s">
        <v>145</v>
      </c>
      <c r="I2" s="113" t="s">
        <v>12</v>
      </c>
      <c r="BFH2" s="115"/>
    </row>
    <row r="3" spans="1:9 1516:1516" s="114" customFormat="1" ht="16.5" customHeight="1">
      <c r="A3" s="413"/>
      <c r="B3" s="407"/>
      <c r="C3" s="408" t="s">
        <v>581</v>
      </c>
      <c r="D3" s="414"/>
      <c r="E3" s="415"/>
      <c r="F3" s="416"/>
      <c r="G3" s="416"/>
      <c r="H3" s="417">
        <v>9680</v>
      </c>
      <c r="I3" s="418">
        <v>1233</v>
      </c>
      <c r="BFH3" s="115"/>
    </row>
    <row r="4" spans="1:9 1516:1516" s="114" customFormat="1" ht="16.5" customHeight="1">
      <c r="A4" s="413"/>
      <c r="B4" s="407"/>
      <c r="C4" s="408" t="s">
        <v>582</v>
      </c>
      <c r="D4" s="414"/>
      <c r="E4" s="415"/>
      <c r="F4" s="416"/>
      <c r="G4" s="416"/>
      <c r="H4" s="417">
        <v>12300</v>
      </c>
      <c r="I4" s="418">
        <v>1865</v>
      </c>
      <c r="BFH4" s="115"/>
    </row>
    <row r="5" spans="1:9 1516:1516" s="114" customFormat="1" ht="16.5" customHeight="1">
      <c r="A5" s="409"/>
      <c r="B5" s="409"/>
      <c r="C5" s="408" t="s">
        <v>583</v>
      </c>
      <c r="D5" s="419"/>
      <c r="E5" s="420"/>
      <c r="F5" s="421"/>
      <c r="G5" s="421"/>
      <c r="H5" s="417">
        <v>2700</v>
      </c>
      <c r="I5" s="418">
        <v>0</v>
      </c>
      <c r="BFH5" s="115"/>
    </row>
    <row r="6" spans="1:9 1516:1516" s="114" customFormat="1" ht="16.5" customHeight="1">
      <c r="A6" s="409"/>
      <c r="B6" s="409"/>
      <c r="C6" s="408" t="s">
        <v>584</v>
      </c>
      <c r="D6" s="419"/>
      <c r="E6" s="420"/>
      <c r="F6" s="421"/>
      <c r="G6" s="421"/>
      <c r="H6" s="417">
        <v>2700</v>
      </c>
      <c r="I6" s="418">
        <v>0</v>
      </c>
      <c r="BFH6" s="115"/>
    </row>
    <row r="7" spans="1:9 1516:1516" s="114" customFormat="1" ht="16.5" customHeight="1">
      <c r="A7" s="409"/>
      <c r="B7" s="409"/>
      <c r="C7" s="408" t="s">
        <v>585</v>
      </c>
      <c r="D7" s="419"/>
      <c r="E7" s="420"/>
      <c r="F7" s="421"/>
      <c r="G7" s="421"/>
      <c r="H7" s="417">
        <v>2700</v>
      </c>
      <c r="I7" s="418">
        <v>0</v>
      </c>
      <c r="BFH7" s="115"/>
    </row>
    <row r="8" spans="1:9 1516:1516" s="114" customFormat="1" ht="16.5" customHeight="1">
      <c r="A8" s="409"/>
      <c r="B8" s="409"/>
      <c r="C8" s="408" t="s">
        <v>586</v>
      </c>
      <c r="D8" s="419"/>
      <c r="E8" s="420"/>
      <c r="F8" s="421"/>
      <c r="G8" s="421"/>
      <c r="H8" s="417">
        <v>3700</v>
      </c>
      <c r="I8" s="418">
        <v>0</v>
      </c>
      <c r="BFH8" s="115"/>
    </row>
    <row r="9" spans="1:9 1516:1516" s="114" customFormat="1" ht="16.5" customHeight="1">
      <c r="A9" s="409"/>
      <c r="B9" s="409"/>
      <c r="C9" s="408" t="s">
        <v>587</v>
      </c>
      <c r="D9" s="419"/>
      <c r="E9" s="420"/>
      <c r="F9" s="421"/>
      <c r="G9" s="421"/>
      <c r="H9" s="417">
        <v>3700</v>
      </c>
      <c r="I9" s="418">
        <v>0</v>
      </c>
      <c r="BFH9" s="115"/>
    </row>
    <row r="10" spans="1:9 1516:1516" s="114" customFormat="1" ht="16.5" customHeight="1">
      <c r="A10" s="409"/>
      <c r="B10" s="409"/>
      <c r="C10" s="408" t="s">
        <v>588</v>
      </c>
      <c r="D10" s="419"/>
      <c r="E10" s="420"/>
      <c r="F10" s="421"/>
      <c r="G10" s="421"/>
      <c r="H10" s="417">
        <v>3700</v>
      </c>
      <c r="I10" s="418">
        <v>0</v>
      </c>
      <c r="BFH10" s="115"/>
    </row>
    <row r="11" spans="1:9 1516:1516" s="114" customFormat="1" ht="16.5" customHeight="1">
      <c r="A11" s="409"/>
      <c r="B11" s="409"/>
      <c r="C11" s="408" t="s">
        <v>589</v>
      </c>
      <c r="D11" s="419"/>
      <c r="E11" s="420"/>
      <c r="F11" s="421"/>
      <c r="G11" s="421"/>
      <c r="H11" s="417">
        <v>4100</v>
      </c>
      <c r="I11" s="418">
        <v>0</v>
      </c>
      <c r="BFH11" s="115"/>
    </row>
    <row r="12" spans="1:9 1516:1516" s="114" customFormat="1" ht="16.5" customHeight="1">
      <c r="A12" s="409"/>
      <c r="B12" s="409"/>
      <c r="C12" s="408" t="s">
        <v>590</v>
      </c>
      <c r="D12" s="419"/>
      <c r="E12" s="420"/>
      <c r="F12" s="421"/>
      <c r="G12" s="421"/>
      <c r="H12" s="417">
        <v>4100</v>
      </c>
      <c r="I12" s="418">
        <v>0</v>
      </c>
      <c r="BFH12" s="115"/>
    </row>
    <row r="13" spans="1:9 1516:1516" s="114" customFormat="1" ht="16.5" customHeight="1">
      <c r="A13" s="409"/>
      <c r="B13" s="409"/>
      <c r="C13" s="408" t="s">
        <v>591</v>
      </c>
      <c r="D13" s="419"/>
      <c r="E13" s="420"/>
      <c r="F13" s="421"/>
      <c r="G13" s="421"/>
      <c r="H13" s="417">
        <v>4100</v>
      </c>
      <c r="I13" s="418">
        <v>0</v>
      </c>
      <c r="BFH13" s="115"/>
    </row>
    <row r="14" spans="1:9 1516:1516" s="114" customFormat="1" ht="16.5" customHeight="1">
      <c r="A14" s="413"/>
      <c r="B14" s="407"/>
      <c r="C14" s="408" t="s">
        <v>592</v>
      </c>
      <c r="D14" s="414"/>
      <c r="E14" s="420"/>
      <c r="F14" s="421"/>
      <c r="G14" s="416"/>
      <c r="H14" s="417">
        <v>4954</v>
      </c>
      <c r="I14" s="418">
        <v>2800</v>
      </c>
      <c r="BFH14" s="115"/>
    </row>
    <row r="15" spans="1:9 1516:1516" s="114" customFormat="1" ht="16.5" customHeight="1">
      <c r="A15" s="413"/>
      <c r="B15" s="410"/>
      <c r="C15" s="408" t="s">
        <v>593</v>
      </c>
      <c r="D15" s="414"/>
      <c r="E15" s="420"/>
      <c r="F15" s="421"/>
      <c r="G15" s="421"/>
      <c r="H15" s="417">
        <v>32100</v>
      </c>
      <c r="I15" s="418">
        <v>1</v>
      </c>
      <c r="BFH15" s="115"/>
    </row>
    <row r="16" spans="1:9 1516:1516" s="114" customFormat="1" ht="16.5" customHeight="1">
      <c r="A16" s="413"/>
      <c r="B16" s="410"/>
      <c r="C16" s="408" t="s">
        <v>594</v>
      </c>
      <c r="D16" s="414"/>
      <c r="E16" s="420"/>
      <c r="F16" s="421"/>
      <c r="G16" s="421"/>
      <c r="H16" s="417">
        <v>32100</v>
      </c>
      <c r="I16" s="418">
        <v>2</v>
      </c>
      <c r="BFH16" s="115"/>
    </row>
    <row r="17" spans="1:9 1516:1516" s="114" customFormat="1" ht="16.5" customHeight="1">
      <c r="A17" s="413"/>
      <c r="B17" s="410"/>
      <c r="C17" s="408" t="s">
        <v>595</v>
      </c>
      <c r="D17" s="414"/>
      <c r="E17" s="420"/>
      <c r="F17" s="421"/>
      <c r="G17" s="421"/>
      <c r="H17" s="417">
        <v>32100</v>
      </c>
      <c r="I17" s="418">
        <v>0</v>
      </c>
      <c r="BFH17" s="115"/>
    </row>
    <row r="18" spans="1:9 1516:1516" s="114" customFormat="1" ht="16.5" customHeight="1">
      <c r="A18" s="413"/>
      <c r="B18" s="410"/>
      <c r="C18" s="408" t="s">
        <v>596</v>
      </c>
      <c r="D18" s="414"/>
      <c r="E18" s="420"/>
      <c r="F18" s="421"/>
      <c r="G18" s="421"/>
      <c r="H18" s="417">
        <v>42700</v>
      </c>
      <c r="I18" s="418">
        <v>24</v>
      </c>
      <c r="BFH18" s="115"/>
    </row>
    <row r="19" spans="1:9 1516:1516" s="114" customFormat="1" ht="16.5" customHeight="1">
      <c r="A19" s="413"/>
      <c r="B19" s="410"/>
      <c r="C19" s="408" t="s">
        <v>597</v>
      </c>
      <c r="D19" s="414"/>
      <c r="E19" s="420"/>
      <c r="F19" s="421"/>
      <c r="G19" s="421"/>
      <c r="H19" s="417">
        <v>42700</v>
      </c>
      <c r="I19" s="418">
        <v>10</v>
      </c>
      <c r="BFH19" s="115"/>
    </row>
    <row r="20" spans="1:9 1516:1516" s="114" customFormat="1" ht="16.5" customHeight="1">
      <c r="A20" s="413"/>
      <c r="B20" s="410"/>
      <c r="C20" s="408" t="s">
        <v>598</v>
      </c>
      <c r="D20" s="414"/>
      <c r="E20" s="420"/>
      <c r="F20" s="421"/>
      <c r="G20" s="421"/>
      <c r="H20" s="417">
        <v>42700</v>
      </c>
      <c r="I20" s="418">
        <v>47</v>
      </c>
      <c r="BFH20" s="115"/>
    </row>
    <row r="21" spans="1:9 1516:1516" s="114" customFormat="1" ht="16.5" customHeight="1">
      <c r="A21" s="413"/>
      <c r="B21" s="410"/>
      <c r="C21" s="408" t="s">
        <v>599</v>
      </c>
      <c r="D21" s="414"/>
      <c r="E21" s="420"/>
      <c r="F21" s="421"/>
      <c r="G21" s="421"/>
      <c r="H21" s="417">
        <v>39000</v>
      </c>
      <c r="I21" s="418">
        <v>15</v>
      </c>
      <c r="BFH21" s="115"/>
    </row>
    <row r="22" spans="1:9 1516:1516" s="114" customFormat="1" ht="16.5" customHeight="1">
      <c r="A22" s="413"/>
      <c r="B22" s="410"/>
      <c r="C22" s="408" t="s">
        <v>600</v>
      </c>
      <c r="D22" s="414"/>
      <c r="E22" s="420"/>
      <c r="F22" s="421"/>
      <c r="G22" s="421"/>
      <c r="H22" s="417">
        <v>39000</v>
      </c>
      <c r="I22" s="418">
        <v>3</v>
      </c>
      <c r="BFH22" s="115"/>
    </row>
    <row r="23" spans="1:9 1516:1516" s="114" customFormat="1" ht="16.5" customHeight="1">
      <c r="A23" s="413"/>
      <c r="B23" s="410"/>
      <c r="C23" s="408" t="s">
        <v>601</v>
      </c>
      <c r="D23" s="414"/>
      <c r="E23" s="420"/>
      <c r="F23" s="421"/>
      <c r="G23" s="421"/>
      <c r="H23" s="417">
        <v>39000</v>
      </c>
      <c r="I23" s="418">
        <v>6</v>
      </c>
      <c r="BFH23" s="115"/>
    </row>
    <row r="24" spans="1:9 1516:1516" s="114" customFormat="1" ht="16.5" customHeight="1">
      <c r="A24" s="413"/>
      <c r="B24" s="410"/>
      <c r="C24" s="408" t="s">
        <v>602</v>
      </c>
      <c r="D24" s="414"/>
      <c r="E24" s="420"/>
      <c r="F24" s="421"/>
      <c r="G24" s="421"/>
      <c r="H24" s="417">
        <v>19800</v>
      </c>
      <c r="I24" s="418">
        <v>12</v>
      </c>
      <c r="BFH24" s="115"/>
    </row>
    <row r="25" spans="1:9 1516:1516" s="114" customFormat="1" ht="16.5" customHeight="1">
      <c r="A25" s="413"/>
      <c r="B25" s="410"/>
      <c r="C25" s="408" t="s">
        <v>603</v>
      </c>
      <c r="D25" s="414"/>
      <c r="E25" s="420"/>
      <c r="F25" s="421"/>
      <c r="G25" s="421"/>
      <c r="H25" s="417">
        <v>19800</v>
      </c>
      <c r="I25" s="418">
        <v>17</v>
      </c>
      <c r="BFH25" s="115"/>
    </row>
    <row r="26" spans="1:9 1516:1516" s="114" customFormat="1" ht="16.5" customHeight="1">
      <c r="A26" s="413"/>
      <c r="B26" s="410"/>
      <c r="C26" s="408" t="s">
        <v>604</v>
      </c>
      <c r="D26" s="414"/>
      <c r="E26" s="420"/>
      <c r="F26" s="421"/>
      <c r="G26" s="421"/>
      <c r="H26" s="417">
        <v>19800</v>
      </c>
      <c r="I26" s="418">
        <v>58</v>
      </c>
      <c r="BFH26" s="115"/>
    </row>
    <row r="27" spans="1:9 1516:1516" s="114" customFormat="1" ht="16.5" customHeight="1">
      <c r="A27" s="413"/>
      <c r="B27" s="410"/>
      <c r="C27" s="408" t="s">
        <v>605</v>
      </c>
      <c r="D27" s="414"/>
      <c r="E27" s="420"/>
      <c r="F27" s="421"/>
      <c r="G27" s="421"/>
      <c r="H27" s="417">
        <v>31100</v>
      </c>
      <c r="I27" s="418">
        <v>3</v>
      </c>
      <c r="BFH27" s="115"/>
    </row>
    <row r="28" spans="1:9 1516:1516" s="114" customFormat="1" ht="16.5" customHeight="1">
      <c r="A28" s="413"/>
      <c r="B28" s="410"/>
      <c r="C28" s="408" t="s">
        <v>606</v>
      </c>
      <c r="D28" s="414"/>
      <c r="E28" s="420"/>
      <c r="F28" s="421"/>
      <c r="G28" s="421"/>
      <c r="H28" s="417">
        <v>31100</v>
      </c>
      <c r="I28" s="418">
        <v>4</v>
      </c>
      <c r="BFH28" s="115"/>
    </row>
    <row r="29" spans="1:9 1516:1516" s="114" customFormat="1" ht="16.5" customHeight="1">
      <c r="A29" s="413"/>
      <c r="B29" s="410"/>
      <c r="C29" s="408" t="s">
        <v>607</v>
      </c>
      <c r="D29" s="414"/>
      <c r="E29" s="420"/>
      <c r="F29" s="421"/>
      <c r="G29" s="421"/>
      <c r="H29" s="417">
        <v>31100</v>
      </c>
      <c r="I29" s="418">
        <v>5</v>
      </c>
      <c r="BFH29" s="115"/>
    </row>
    <row r="30" spans="1:9 1516:1516" s="114" customFormat="1" ht="16.5" customHeight="1">
      <c r="A30" s="413"/>
      <c r="B30" s="410"/>
      <c r="C30" s="408" t="s">
        <v>608</v>
      </c>
      <c r="D30" s="414"/>
      <c r="E30" s="420"/>
      <c r="F30" s="421"/>
      <c r="G30" s="421"/>
      <c r="H30" s="417">
        <v>27800</v>
      </c>
      <c r="I30" s="418">
        <v>15</v>
      </c>
      <c r="BFH30" s="115"/>
    </row>
    <row r="31" spans="1:9 1516:1516" s="114" customFormat="1" ht="16.5" customHeight="1">
      <c r="A31" s="413"/>
      <c r="B31" s="410"/>
      <c r="C31" s="408" t="s">
        <v>609</v>
      </c>
      <c r="D31" s="414"/>
      <c r="E31" s="420"/>
      <c r="F31" s="421"/>
      <c r="G31" s="421"/>
      <c r="H31" s="417">
        <v>27800</v>
      </c>
      <c r="I31" s="418">
        <v>11</v>
      </c>
      <c r="BFH31" s="115"/>
    </row>
    <row r="32" spans="1:9 1516:1516" s="114" customFormat="1" ht="16.5" customHeight="1">
      <c r="A32" s="413"/>
      <c r="B32" s="410"/>
      <c r="C32" s="408" t="s">
        <v>610</v>
      </c>
      <c r="D32" s="414"/>
      <c r="E32" s="420"/>
      <c r="F32" s="421"/>
      <c r="G32" s="421"/>
      <c r="H32" s="417">
        <v>27800</v>
      </c>
      <c r="I32" s="418">
        <v>17</v>
      </c>
      <c r="BFH32" s="115"/>
    </row>
    <row r="33" spans="1:9 1516:1516" s="114" customFormat="1" ht="16.5" customHeight="1">
      <c r="A33" s="413"/>
      <c r="B33" s="410"/>
      <c r="C33" s="408" t="s">
        <v>611</v>
      </c>
      <c r="D33" s="414"/>
      <c r="E33" s="420"/>
      <c r="F33" s="421"/>
      <c r="G33" s="421"/>
      <c r="H33" s="417">
        <v>55000</v>
      </c>
      <c r="I33" s="418">
        <v>0</v>
      </c>
      <c r="BFH33" s="115"/>
    </row>
    <row r="34" spans="1:9 1516:1516" s="114" customFormat="1" ht="16.5" customHeight="1">
      <c r="A34" s="413"/>
      <c r="B34" s="410"/>
      <c r="C34" s="408" t="s">
        <v>612</v>
      </c>
      <c r="D34" s="414"/>
      <c r="E34" s="420"/>
      <c r="F34" s="421"/>
      <c r="G34" s="421"/>
      <c r="H34" s="417">
        <v>55000</v>
      </c>
      <c r="I34" s="418">
        <v>0</v>
      </c>
      <c r="BFH34" s="115"/>
    </row>
    <row r="35" spans="1:9 1516:1516" s="114" customFormat="1" ht="16.5" customHeight="1">
      <c r="A35" s="413"/>
      <c r="B35" s="410"/>
      <c r="C35" s="408" t="s">
        <v>613</v>
      </c>
      <c r="D35" s="414"/>
      <c r="E35" s="420"/>
      <c r="F35" s="421"/>
      <c r="G35" s="421"/>
      <c r="H35" s="417">
        <v>55000</v>
      </c>
      <c r="I35" s="418">
        <v>0</v>
      </c>
      <c r="BFH35" s="115"/>
    </row>
    <row r="36" spans="1:9 1516:1516" s="114" customFormat="1" ht="16.5" customHeight="1">
      <c r="A36" s="413"/>
      <c r="B36" s="410"/>
      <c r="C36" s="408" t="s">
        <v>614</v>
      </c>
      <c r="D36" s="414"/>
      <c r="E36" s="420"/>
      <c r="F36" s="421"/>
      <c r="G36" s="421"/>
      <c r="H36" s="417">
        <v>80000</v>
      </c>
      <c r="I36" s="418">
        <v>0</v>
      </c>
      <c r="BFH36" s="115"/>
    </row>
    <row r="37" spans="1:9 1516:1516" s="114" customFormat="1" ht="16.5" customHeight="1">
      <c r="A37" s="413"/>
      <c r="B37" s="410"/>
      <c r="C37" s="408" t="s">
        <v>615</v>
      </c>
      <c r="D37" s="414"/>
      <c r="E37" s="420"/>
      <c r="F37" s="421"/>
      <c r="G37" s="421"/>
      <c r="H37" s="417">
        <v>80000</v>
      </c>
      <c r="I37" s="418">
        <v>0</v>
      </c>
      <c r="BFH37" s="115"/>
    </row>
    <row r="38" spans="1:9 1516:1516" s="114" customFormat="1" ht="16.5" customHeight="1">
      <c r="A38" s="413"/>
      <c r="B38" s="410"/>
      <c r="C38" s="408" t="s">
        <v>616</v>
      </c>
      <c r="D38" s="414"/>
      <c r="E38" s="420"/>
      <c r="F38" s="421"/>
      <c r="G38" s="421"/>
      <c r="H38" s="417">
        <v>80000</v>
      </c>
      <c r="I38" s="418">
        <v>0</v>
      </c>
      <c r="BFH38" s="115"/>
    </row>
    <row r="39" spans="1:9 1516:1516" s="114" customFormat="1" ht="16.5" customHeight="1">
      <c r="A39" s="413"/>
      <c r="B39" s="410"/>
      <c r="C39" s="408" t="s">
        <v>617</v>
      </c>
      <c r="D39" s="414"/>
      <c r="E39" s="420"/>
      <c r="F39" s="421"/>
      <c r="G39" s="421"/>
      <c r="H39" s="417">
        <v>73000</v>
      </c>
      <c r="I39" s="418">
        <v>0</v>
      </c>
      <c r="BFH39" s="115"/>
    </row>
    <row r="40" spans="1:9 1516:1516" s="114" customFormat="1" ht="16.5" customHeight="1">
      <c r="A40" s="413"/>
      <c r="B40" s="410"/>
      <c r="C40" s="408" t="s">
        <v>618</v>
      </c>
      <c r="D40" s="414"/>
      <c r="E40" s="420"/>
      <c r="F40" s="421"/>
      <c r="G40" s="421"/>
      <c r="H40" s="417">
        <v>73000</v>
      </c>
      <c r="I40" s="418">
        <v>0</v>
      </c>
      <c r="BFH40" s="115"/>
    </row>
    <row r="41" spans="1:9 1516:1516" s="114" customFormat="1" ht="16.5" customHeight="1">
      <c r="A41" s="413"/>
      <c r="B41" s="410"/>
      <c r="C41" s="408" t="s">
        <v>619</v>
      </c>
      <c r="D41" s="414"/>
      <c r="E41" s="420"/>
      <c r="F41" s="421"/>
      <c r="G41" s="421"/>
      <c r="H41" s="417">
        <v>73000</v>
      </c>
      <c r="I41" s="418">
        <v>0</v>
      </c>
      <c r="BFH41" s="115"/>
    </row>
    <row r="42" spans="1:9 1516:1516" s="114" customFormat="1" ht="16.5" customHeight="1">
      <c r="A42" s="413"/>
      <c r="B42" s="410"/>
      <c r="C42" s="408" t="s">
        <v>620</v>
      </c>
      <c r="D42" s="414"/>
      <c r="E42" s="420"/>
      <c r="F42" s="421"/>
      <c r="G42" s="421"/>
      <c r="H42" s="417">
        <v>3100</v>
      </c>
      <c r="I42" s="418">
        <v>608</v>
      </c>
      <c r="BFH42" s="115"/>
    </row>
    <row r="43" spans="1:9 1516:1516" s="114" customFormat="1" ht="16.5" customHeight="1">
      <c r="A43" s="413"/>
      <c r="B43" s="410"/>
      <c r="C43" s="408" t="s">
        <v>621</v>
      </c>
      <c r="D43" s="414"/>
      <c r="E43" s="420"/>
      <c r="F43" s="421"/>
      <c r="G43" s="421"/>
      <c r="H43" s="417">
        <v>3100</v>
      </c>
      <c r="I43" s="418">
        <v>1180</v>
      </c>
      <c r="BFH43" s="115"/>
    </row>
    <row r="44" spans="1:9 1516:1516" s="114" customFormat="1" ht="16.5" customHeight="1">
      <c r="A44" s="413"/>
      <c r="B44" s="410"/>
      <c r="C44" s="408" t="s">
        <v>622</v>
      </c>
      <c r="D44" s="414"/>
      <c r="E44" s="420"/>
      <c r="F44" s="421"/>
      <c r="G44" s="421"/>
      <c r="H44" s="417">
        <v>3100</v>
      </c>
      <c r="I44" s="418">
        <v>1643</v>
      </c>
      <c r="BFH44" s="115"/>
    </row>
    <row r="45" spans="1:9 1516:1516" s="114" customFormat="1" ht="16.5" customHeight="1">
      <c r="A45" s="413"/>
      <c r="B45" s="410"/>
      <c r="C45" s="408" t="s">
        <v>623</v>
      </c>
      <c r="D45" s="414"/>
      <c r="E45" s="420"/>
      <c r="F45" s="421"/>
      <c r="G45" s="421"/>
      <c r="H45" s="417">
        <v>32200</v>
      </c>
      <c r="I45" s="418">
        <v>0</v>
      </c>
      <c r="BFH45" s="115"/>
    </row>
    <row r="46" spans="1:9 1516:1516" s="114" customFormat="1" ht="16.5" customHeight="1">
      <c r="A46" s="413"/>
      <c r="B46" s="410"/>
      <c r="C46" s="408" t="s">
        <v>624</v>
      </c>
      <c r="D46" s="414"/>
      <c r="E46" s="420"/>
      <c r="F46" s="421"/>
      <c r="G46" s="421"/>
      <c r="H46" s="417">
        <v>32200</v>
      </c>
      <c r="I46" s="418">
        <v>0</v>
      </c>
      <c r="BFH46" s="115"/>
    </row>
    <row r="47" spans="1:9 1516:1516" s="114" customFormat="1" ht="16.5" customHeight="1">
      <c r="A47" s="413"/>
      <c r="B47" s="410"/>
      <c r="C47" s="408" t="s">
        <v>625</v>
      </c>
      <c r="D47" s="414"/>
      <c r="E47" s="420"/>
      <c r="F47" s="421"/>
      <c r="G47" s="421"/>
      <c r="H47" s="417">
        <v>32200</v>
      </c>
      <c r="I47" s="418">
        <v>0</v>
      </c>
      <c r="BFH47" s="115"/>
    </row>
    <row r="48" spans="1:9 1516:1516" s="114" customFormat="1" ht="16.5" customHeight="1">
      <c r="A48" s="413"/>
      <c r="B48" s="410"/>
      <c r="C48" s="408" t="s">
        <v>626</v>
      </c>
      <c r="D48" s="414"/>
      <c r="E48" s="420"/>
      <c r="F48" s="421"/>
      <c r="G48" s="421"/>
      <c r="H48" s="417">
        <v>44900</v>
      </c>
      <c r="I48" s="418">
        <v>0</v>
      </c>
      <c r="BFH48" s="115"/>
    </row>
    <row r="49" spans="1:9 1516:1516" s="114" customFormat="1" ht="16.5" customHeight="1">
      <c r="A49" s="413"/>
      <c r="B49" s="410"/>
      <c r="C49" s="408" t="s">
        <v>627</v>
      </c>
      <c r="D49" s="414"/>
      <c r="E49" s="420"/>
      <c r="F49" s="421"/>
      <c r="G49" s="421"/>
      <c r="H49" s="417">
        <v>44900</v>
      </c>
      <c r="I49" s="418">
        <v>0</v>
      </c>
      <c r="BFH49" s="115"/>
    </row>
    <row r="50" spans="1:9 1516:1516" s="114" customFormat="1" ht="16.5" customHeight="1">
      <c r="A50" s="413"/>
      <c r="B50" s="410"/>
      <c r="C50" s="408" t="s">
        <v>628</v>
      </c>
      <c r="D50" s="414"/>
      <c r="E50" s="420"/>
      <c r="F50" s="421"/>
      <c r="G50" s="421"/>
      <c r="H50" s="417">
        <v>44900</v>
      </c>
      <c r="I50" s="418">
        <v>6</v>
      </c>
      <c r="BFH50" s="115"/>
    </row>
    <row r="51" spans="1:9 1516:1516" s="114" customFormat="1" ht="16.5" customHeight="1">
      <c r="A51" s="413"/>
      <c r="B51" s="410"/>
      <c r="C51" s="408" t="s">
        <v>629</v>
      </c>
      <c r="D51" s="414"/>
      <c r="E51" s="420"/>
      <c r="F51" s="421"/>
      <c r="G51" s="421"/>
      <c r="H51" s="417">
        <v>40000</v>
      </c>
      <c r="I51" s="418">
        <v>0</v>
      </c>
      <c r="BFH51" s="115"/>
    </row>
    <row r="52" spans="1:9 1516:1516" s="114" customFormat="1" ht="16.5" customHeight="1">
      <c r="A52" s="413"/>
      <c r="B52" s="410"/>
      <c r="C52" s="408" t="s">
        <v>630</v>
      </c>
      <c r="D52" s="414"/>
      <c r="E52" s="420"/>
      <c r="F52" s="421"/>
      <c r="G52" s="421"/>
      <c r="H52" s="417">
        <v>40000</v>
      </c>
      <c r="I52" s="418">
        <v>0</v>
      </c>
      <c r="BFH52" s="115"/>
    </row>
    <row r="53" spans="1:9 1516:1516" s="114" customFormat="1" ht="16.5" customHeight="1">
      <c r="A53" s="413"/>
      <c r="B53" s="410"/>
      <c r="C53" s="408" t="s">
        <v>631</v>
      </c>
      <c r="D53" s="414"/>
      <c r="E53" s="420"/>
      <c r="F53" s="421"/>
      <c r="G53" s="421"/>
      <c r="H53" s="417">
        <v>40000</v>
      </c>
      <c r="I53" s="418">
        <v>0</v>
      </c>
      <c r="BFH53" s="115"/>
    </row>
    <row r="54" spans="1:9 1516:1516" s="114" customFormat="1" ht="16.5" customHeight="1">
      <c r="A54" s="413"/>
      <c r="B54" s="410"/>
      <c r="C54" s="408" t="s">
        <v>632</v>
      </c>
      <c r="D54" s="414"/>
      <c r="E54" s="420"/>
      <c r="F54" s="421"/>
      <c r="G54" s="421"/>
      <c r="H54" s="417">
        <v>22200</v>
      </c>
      <c r="I54" s="418">
        <v>199</v>
      </c>
      <c r="BFH54" s="115"/>
    </row>
    <row r="55" spans="1:9 1516:1516" s="114" customFormat="1" ht="16.5" customHeight="1">
      <c r="A55" s="413"/>
      <c r="B55" s="410"/>
      <c r="C55" s="408" t="s">
        <v>633</v>
      </c>
      <c r="D55" s="414"/>
      <c r="E55" s="420"/>
      <c r="F55" s="421"/>
      <c r="G55" s="421"/>
      <c r="H55" s="417">
        <v>22200</v>
      </c>
      <c r="I55" s="418">
        <v>200</v>
      </c>
      <c r="BFH55" s="115"/>
    </row>
    <row r="56" spans="1:9 1516:1516" s="114" customFormat="1" ht="16.5" customHeight="1">
      <c r="A56" s="413"/>
      <c r="B56" s="410"/>
      <c r="C56" s="408" t="s">
        <v>634</v>
      </c>
      <c r="D56" s="414"/>
      <c r="E56" s="420"/>
      <c r="F56" s="421"/>
      <c r="G56" s="421"/>
      <c r="H56" s="417">
        <v>22200</v>
      </c>
      <c r="I56" s="418">
        <v>158</v>
      </c>
      <c r="BFH56" s="115"/>
    </row>
    <row r="57" spans="1:9 1516:1516" s="114" customFormat="1" ht="16.5" customHeight="1">
      <c r="A57" s="413"/>
      <c r="B57" s="410"/>
      <c r="C57" s="408" t="s">
        <v>635</v>
      </c>
      <c r="D57" s="414"/>
      <c r="E57" s="420"/>
      <c r="F57" s="421"/>
      <c r="G57" s="421"/>
      <c r="H57" s="417">
        <v>33500</v>
      </c>
      <c r="I57" s="418">
        <v>3</v>
      </c>
      <c r="BFH57" s="115"/>
    </row>
    <row r="58" spans="1:9 1516:1516" s="114" customFormat="1" ht="16.5" customHeight="1">
      <c r="A58" s="413"/>
      <c r="B58" s="410"/>
      <c r="C58" s="408" t="s">
        <v>636</v>
      </c>
      <c r="D58" s="414"/>
      <c r="E58" s="420"/>
      <c r="F58" s="421"/>
      <c r="G58" s="421"/>
      <c r="H58" s="417">
        <v>33500</v>
      </c>
      <c r="I58" s="418">
        <v>7</v>
      </c>
      <c r="BFH58" s="115"/>
    </row>
    <row r="59" spans="1:9 1516:1516" s="114" customFormat="1" ht="16.5" customHeight="1">
      <c r="A59" s="413"/>
      <c r="B59" s="410"/>
      <c r="C59" s="408" t="s">
        <v>637</v>
      </c>
      <c r="D59" s="414"/>
      <c r="E59" s="420"/>
      <c r="F59" s="421"/>
      <c r="G59" s="421"/>
      <c r="H59" s="417">
        <v>33500</v>
      </c>
      <c r="I59" s="418">
        <v>40</v>
      </c>
      <c r="BFH59" s="115"/>
    </row>
    <row r="60" spans="1:9 1516:1516" s="114" customFormat="1" ht="16.5" customHeight="1">
      <c r="A60" s="413"/>
      <c r="B60" s="410"/>
      <c r="C60" s="408" t="s">
        <v>638</v>
      </c>
      <c r="D60" s="414"/>
      <c r="E60" s="420"/>
      <c r="F60" s="421"/>
      <c r="G60" s="421"/>
      <c r="H60" s="417">
        <v>29600</v>
      </c>
      <c r="I60" s="418">
        <v>129</v>
      </c>
      <c r="BFH60" s="115"/>
    </row>
    <row r="61" spans="1:9 1516:1516" s="114" customFormat="1" ht="16.5" customHeight="1">
      <c r="A61" s="413"/>
      <c r="B61" s="410"/>
      <c r="C61" s="408" t="s">
        <v>639</v>
      </c>
      <c r="D61" s="414"/>
      <c r="E61" s="420"/>
      <c r="F61" s="421"/>
      <c r="G61" s="421"/>
      <c r="H61" s="417">
        <v>29600</v>
      </c>
      <c r="I61" s="418">
        <v>60</v>
      </c>
      <c r="BFH61" s="115"/>
    </row>
    <row r="62" spans="1:9 1516:1516" s="114" customFormat="1" ht="16.5" customHeight="1">
      <c r="A62" s="413"/>
      <c r="B62" s="410"/>
      <c r="C62" s="408" t="s">
        <v>640</v>
      </c>
      <c r="D62" s="414"/>
      <c r="E62" s="420"/>
      <c r="F62" s="421"/>
      <c r="G62" s="421"/>
      <c r="H62" s="417">
        <v>29600</v>
      </c>
      <c r="I62" s="418">
        <v>115</v>
      </c>
      <c r="BFH62" s="115"/>
    </row>
    <row r="63" spans="1:9 1516:1516" s="114" customFormat="1" ht="16.5" customHeight="1">
      <c r="A63" s="413"/>
      <c r="B63" s="410"/>
      <c r="C63" s="408" t="s">
        <v>641</v>
      </c>
      <c r="D63" s="414"/>
      <c r="E63" s="420"/>
      <c r="F63" s="421"/>
      <c r="G63" s="421"/>
      <c r="H63" s="417">
        <v>57500</v>
      </c>
      <c r="I63" s="418">
        <v>0</v>
      </c>
      <c r="BFH63" s="115"/>
    </row>
    <row r="64" spans="1:9 1516:1516" s="114" customFormat="1" ht="16.5" customHeight="1">
      <c r="A64" s="413"/>
      <c r="B64" s="410"/>
      <c r="C64" s="408" t="s">
        <v>642</v>
      </c>
      <c r="D64" s="414"/>
      <c r="E64" s="420"/>
      <c r="F64" s="421"/>
      <c r="G64" s="421"/>
      <c r="H64" s="417">
        <v>57500</v>
      </c>
      <c r="I64" s="418">
        <v>0</v>
      </c>
      <c r="BFH64" s="115"/>
    </row>
    <row r="65" spans="1:9 1516:1516" s="114" customFormat="1" ht="16.5" customHeight="1">
      <c r="A65" s="413"/>
      <c r="B65" s="410"/>
      <c r="C65" s="408" t="s">
        <v>643</v>
      </c>
      <c r="D65" s="414"/>
      <c r="E65" s="420"/>
      <c r="F65" s="421"/>
      <c r="G65" s="421"/>
      <c r="H65" s="417">
        <v>57500</v>
      </c>
      <c r="I65" s="418">
        <v>0</v>
      </c>
      <c r="BFH65" s="115"/>
    </row>
    <row r="66" spans="1:9 1516:1516" s="114" customFormat="1" ht="16.5" customHeight="1">
      <c r="A66" s="413"/>
      <c r="B66" s="410"/>
      <c r="C66" s="408" t="s">
        <v>644</v>
      </c>
      <c r="D66" s="414"/>
      <c r="E66" s="420"/>
      <c r="F66" s="421"/>
      <c r="G66" s="421"/>
      <c r="H66" s="417">
        <v>84600</v>
      </c>
      <c r="I66" s="418">
        <v>0</v>
      </c>
      <c r="BFH66" s="115"/>
    </row>
    <row r="67" spans="1:9 1516:1516" s="114" customFormat="1" ht="16.5" customHeight="1">
      <c r="A67" s="413"/>
      <c r="B67" s="410"/>
      <c r="C67" s="408" t="s">
        <v>645</v>
      </c>
      <c r="D67" s="414"/>
      <c r="E67" s="420"/>
      <c r="F67" s="421"/>
      <c r="G67" s="421"/>
      <c r="H67" s="417">
        <v>84600</v>
      </c>
      <c r="I67" s="418">
        <v>0</v>
      </c>
      <c r="BFH67" s="115"/>
    </row>
    <row r="68" spans="1:9 1516:1516" s="114" customFormat="1" ht="16.5" customHeight="1">
      <c r="A68" s="413"/>
      <c r="B68" s="410"/>
      <c r="C68" s="408" t="s">
        <v>646</v>
      </c>
      <c r="D68" s="414"/>
      <c r="E68" s="420"/>
      <c r="F68" s="421"/>
      <c r="G68" s="421"/>
      <c r="H68" s="417">
        <v>84600</v>
      </c>
      <c r="I68" s="418">
        <v>0</v>
      </c>
      <c r="BFH68" s="115"/>
    </row>
    <row r="69" spans="1:9 1516:1516" s="114" customFormat="1" ht="16.5" customHeight="1">
      <c r="A69" s="413"/>
      <c r="B69" s="410"/>
      <c r="C69" s="408" t="s">
        <v>647</v>
      </c>
      <c r="D69" s="414"/>
      <c r="E69" s="420"/>
      <c r="F69" s="421"/>
      <c r="G69" s="421"/>
      <c r="H69" s="417">
        <v>75800</v>
      </c>
      <c r="I69" s="418">
        <v>0</v>
      </c>
      <c r="BFH69" s="115"/>
    </row>
    <row r="70" spans="1:9 1516:1516" s="114" customFormat="1" ht="16.5" customHeight="1">
      <c r="A70" s="413"/>
      <c r="B70" s="410"/>
      <c r="C70" s="408" t="s">
        <v>648</v>
      </c>
      <c r="D70" s="414"/>
      <c r="E70" s="420"/>
      <c r="F70" s="421"/>
      <c r="G70" s="421"/>
      <c r="H70" s="417">
        <v>75800</v>
      </c>
      <c r="I70" s="418">
        <v>0</v>
      </c>
      <c r="BFH70" s="115"/>
    </row>
    <row r="71" spans="1:9 1516:1516" ht="16.5" customHeight="1">
      <c r="A71" s="413"/>
      <c r="B71" s="410"/>
      <c r="C71" s="408" t="s">
        <v>649</v>
      </c>
      <c r="D71" s="414"/>
      <c r="E71" s="420"/>
      <c r="F71" s="421"/>
      <c r="G71" s="421"/>
      <c r="H71" s="417">
        <v>75800</v>
      </c>
      <c r="I71" s="418">
        <v>0</v>
      </c>
    </row>
    <row r="72" spans="1:9 1516:1516" ht="16.5" customHeight="1">
      <c r="A72" s="422"/>
      <c r="B72" s="411"/>
      <c r="C72" s="408" t="s">
        <v>650</v>
      </c>
      <c r="D72" s="423"/>
      <c r="E72" s="424"/>
      <c r="F72" s="425"/>
      <c r="G72" s="425"/>
      <c r="H72" s="417">
        <v>37246</v>
      </c>
      <c r="I72" s="418">
        <v>7</v>
      </c>
    </row>
    <row r="73" spans="1:9 1516:1516" ht="16.5" customHeight="1">
      <c r="A73" s="422"/>
      <c r="B73" s="411"/>
      <c r="C73" s="408" t="s">
        <v>651</v>
      </c>
      <c r="D73" s="423"/>
      <c r="E73" s="424"/>
      <c r="F73" s="425"/>
      <c r="G73" s="425"/>
      <c r="H73" s="417">
        <v>48084</v>
      </c>
      <c r="I73" s="418">
        <v>197</v>
      </c>
    </row>
    <row r="74" spans="1:9 1516:1516" ht="16.5" customHeight="1">
      <c r="A74" s="422"/>
      <c r="B74" s="411"/>
      <c r="C74" s="408" t="s">
        <v>652</v>
      </c>
      <c r="D74" s="423"/>
      <c r="E74" s="424"/>
      <c r="F74" s="425"/>
      <c r="G74" s="425"/>
      <c r="H74" s="417">
        <v>53713</v>
      </c>
      <c r="I74" s="418">
        <v>101</v>
      </c>
    </row>
    <row r="75" spans="1:9 1516:1516" ht="16.5" customHeight="1">
      <c r="A75" s="422"/>
      <c r="B75" s="411"/>
      <c r="C75" s="408" t="s">
        <v>653</v>
      </c>
      <c r="D75" s="423"/>
      <c r="E75" s="424"/>
      <c r="F75" s="425"/>
      <c r="G75" s="425"/>
      <c r="H75" s="417">
        <v>37246</v>
      </c>
      <c r="I75" s="418">
        <v>138</v>
      </c>
    </row>
    <row r="76" spans="1:9 1516:1516" ht="16.5" customHeight="1">
      <c r="A76" s="422"/>
      <c r="B76" s="411"/>
      <c r="C76" s="408" t="s">
        <v>654</v>
      </c>
      <c r="D76" s="423"/>
      <c r="E76" s="424"/>
      <c r="F76" s="425"/>
      <c r="G76" s="425"/>
      <c r="H76" s="417">
        <v>48084</v>
      </c>
      <c r="I76" s="418">
        <v>150</v>
      </c>
    </row>
    <row r="77" spans="1:9 1516:1516" ht="16.5" customHeight="1">
      <c r="A77" s="422"/>
      <c r="B77" s="411"/>
      <c r="C77" s="408" t="s">
        <v>655</v>
      </c>
      <c r="D77" s="423"/>
      <c r="E77" s="424"/>
      <c r="F77" s="425"/>
      <c r="G77" s="425"/>
      <c r="H77" s="417">
        <v>53713</v>
      </c>
      <c r="I77" s="418">
        <v>34</v>
      </c>
    </row>
    <row r="78" spans="1:9 1516:1516" ht="16.5" customHeight="1">
      <c r="A78" s="422"/>
      <c r="B78" s="411"/>
      <c r="C78" s="408" t="s">
        <v>656</v>
      </c>
      <c r="D78" s="423"/>
      <c r="E78" s="424"/>
      <c r="F78" s="425"/>
      <c r="G78" s="425"/>
      <c r="H78" s="417">
        <v>37246</v>
      </c>
      <c r="I78" s="418">
        <v>45</v>
      </c>
    </row>
    <row r="79" spans="1:9 1516:1516" ht="16.5" customHeight="1">
      <c r="A79" s="422"/>
      <c r="B79" s="411"/>
      <c r="C79" s="408" t="s">
        <v>657</v>
      </c>
      <c r="D79" s="423"/>
      <c r="E79" s="424"/>
      <c r="F79" s="425"/>
      <c r="G79" s="425"/>
      <c r="H79" s="417">
        <v>48084</v>
      </c>
      <c r="I79" s="418">
        <v>190</v>
      </c>
    </row>
    <row r="80" spans="1:9 1516:1516" ht="16.5" customHeight="1">
      <c r="A80" s="422"/>
      <c r="B80" s="411"/>
      <c r="C80" s="408" t="s">
        <v>658</v>
      </c>
      <c r="D80" s="423"/>
      <c r="E80" s="424"/>
      <c r="F80" s="425"/>
      <c r="G80" s="425"/>
      <c r="H80" s="417">
        <v>53713</v>
      </c>
      <c r="I80" s="418">
        <v>37</v>
      </c>
    </row>
    <row r="81" spans="1:9" ht="16.5" customHeight="1">
      <c r="A81" s="422"/>
      <c r="B81" s="411"/>
      <c r="C81" s="408" t="s">
        <v>659</v>
      </c>
      <c r="D81" s="423"/>
      <c r="E81" s="424"/>
      <c r="F81" s="425"/>
      <c r="G81" s="425"/>
      <c r="H81" s="417">
        <v>37246</v>
      </c>
      <c r="I81" s="418">
        <v>2</v>
      </c>
    </row>
    <row r="82" spans="1:9" ht="16.5" customHeight="1">
      <c r="A82" s="422"/>
      <c r="B82" s="411"/>
      <c r="C82" s="408" t="s">
        <v>660</v>
      </c>
      <c r="D82" s="423"/>
      <c r="E82" s="424"/>
      <c r="F82" s="425"/>
      <c r="G82" s="425"/>
      <c r="H82" s="417">
        <v>48084</v>
      </c>
      <c r="I82" s="418">
        <v>0</v>
      </c>
    </row>
    <row r="83" spans="1:9" ht="16.5" customHeight="1">
      <c r="A83" s="422"/>
      <c r="B83" s="411"/>
      <c r="C83" s="408" t="s">
        <v>661</v>
      </c>
      <c r="D83" s="423"/>
      <c r="E83" s="424"/>
      <c r="F83" s="425"/>
      <c r="G83" s="425"/>
      <c r="H83" s="417">
        <v>53713</v>
      </c>
      <c r="I83" s="418">
        <v>1</v>
      </c>
    </row>
    <row r="84" spans="1:9" ht="16.5" customHeight="1">
      <c r="A84" s="422"/>
      <c r="B84" s="411"/>
      <c r="C84" s="408" t="s">
        <v>662</v>
      </c>
      <c r="D84" s="423"/>
      <c r="E84" s="424"/>
      <c r="F84" s="425"/>
      <c r="G84" s="425"/>
      <c r="H84" s="417">
        <v>22887</v>
      </c>
      <c r="I84" s="418">
        <v>504</v>
      </c>
    </row>
    <row r="85" spans="1:9" ht="16.5" customHeight="1">
      <c r="A85" s="422"/>
      <c r="B85" s="411"/>
      <c r="C85" s="408" t="s">
        <v>663</v>
      </c>
      <c r="D85" s="423"/>
      <c r="E85" s="424"/>
      <c r="F85" s="425"/>
      <c r="G85" s="425"/>
      <c r="H85" s="417">
        <v>34528</v>
      </c>
      <c r="I85" s="418">
        <v>231</v>
      </c>
    </row>
    <row r="86" spans="1:9" ht="16.5" customHeight="1">
      <c r="A86" s="422"/>
      <c r="B86" s="411"/>
      <c r="C86" s="408" t="s">
        <v>664</v>
      </c>
      <c r="D86" s="423"/>
      <c r="E86" s="424"/>
      <c r="F86" s="425"/>
      <c r="G86" s="425"/>
      <c r="H86" s="417">
        <v>38348</v>
      </c>
      <c r="I86" s="418">
        <v>102</v>
      </c>
    </row>
    <row r="87" spans="1:9" ht="16.5" customHeight="1">
      <c r="A87" s="422"/>
      <c r="B87" s="411"/>
      <c r="C87" s="408" t="s">
        <v>665</v>
      </c>
      <c r="D87" s="423"/>
      <c r="E87" s="424"/>
      <c r="F87" s="425"/>
      <c r="G87" s="425"/>
      <c r="H87" s="417">
        <v>22887</v>
      </c>
      <c r="I87" s="418">
        <v>201</v>
      </c>
    </row>
    <row r="88" spans="1:9" ht="16.5" customHeight="1">
      <c r="A88" s="422"/>
      <c r="B88" s="411"/>
      <c r="C88" s="408" t="s">
        <v>666</v>
      </c>
      <c r="D88" s="423"/>
      <c r="E88" s="424"/>
      <c r="F88" s="425"/>
      <c r="G88" s="425"/>
      <c r="H88" s="417">
        <v>34528</v>
      </c>
      <c r="I88" s="418">
        <v>224</v>
      </c>
    </row>
    <row r="89" spans="1:9" ht="16.5" customHeight="1">
      <c r="A89" s="422"/>
      <c r="B89" s="411"/>
      <c r="C89" s="408" t="s">
        <v>667</v>
      </c>
      <c r="D89" s="423"/>
      <c r="E89" s="424"/>
      <c r="F89" s="425"/>
      <c r="G89" s="425"/>
      <c r="H89" s="417">
        <v>38348</v>
      </c>
      <c r="I89" s="418">
        <v>31</v>
      </c>
    </row>
    <row r="90" spans="1:9" ht="16.5" customHeight="1">
      <c r="A90" s="422"/>
      <c r="B90" s="411"/>
      <c r="C90" s="408" t="s">
        <v>668</v>
      </c>
      <c r="D90" s="423"/>
      <c r="E90" s="424"/>
      <c r="F90" s="425"/>
      <c r="G90" s="425"/>
      <c r="H90" s="417">
        <v>22887</v>
      </c>
      <c r="I90" s="418">
        <v>157</v>
      </c>
    </row>
    <row r="91" spans="1:9" ht="16.5" customHeight="1">
      <c r="A91" s="422"/>
      <c r="B91" s="411"/>
      <c r="C91" s="408" t="s">
        <v>669</v>
      </c>
      <c r="D91" s="423"/>
      <c r="E91" s="424"/>
      <c r="F91" s="425"/>
      <c r="G91" s="425"/>
      <c r="H91" s="417">
        <v>34528</v>
      </c>
      <c r="I91" s="418">
        <v>176</v>
      </c>
    </row>
    <row r="92" spans="1:9" ht="16.5" customHeight="1">
      <c r="A92" s="422"/>
      <c r="B92" s="411"/>
      <c r="C92" s="408" t="s">
        <v>670</v>
      </c>
      <c r="D92" s="423"/>
      <c r="E92" s="424"/>
      <c r="F92" s="425"/>
      <c r="G92" s="425"/>
      <c r="H92" s="417">
        <v>38348</v>
      </c>
      <c r="I92" s="418">
        <v>25</v>
      </c>
    </row>
    <row r="93" spans="1:9" ht="16.5" customHeight="1">
      <c r="A93" s="422"/>
      <c r="B93" s="411"/>
      <c r="C93" s="408" t="s">
        <v>671</v>
      </c>
      <c r="D93" s="423"/>
      <c r="E93" s="424"/>
      <c r="F93" s="425"/>
      <c r="G93" s="425"/>
      <c r="H93" s="417">
        <v>22887</v>
      </c>
      <c r="I93" s="418">
        <v>0</v>
      </c>
    </row>
    <row r="94" spans="1:9" ht="16.5" customHeight="1">
      <c r="A94" s="422"/>
      <c r="B94" s="411"/>
      <c r="C94" s="408" t="s">
        <v>672</v>
      </c>
      <c r="D94" s="423"/>
      <c r="E94" s="424"/>
      <c r="F94" s="425"/>
      <c r="G94" s="425"/>
      <c r="H94" s="417">
        <v>34528</v>
      </c>
      <c r="I94" s="418">
        <v>1</v>
      </c>
    </row>
    <row r="95" spans="1:9" ht="16.5" customHeight="1">
      <c r="A95" s="422"/>
      <c r="B95" s="411"/>
      <c r="C95" s="408" t="s">
        <v>673</v>
      </c>
      <c r="D95" s="423"/>
      <c r="E95" s="424"/>
      <c r="F95" s="425"/>
      <c r="G95" s="425"/>
      <c r="H95" s="417">
        <v>38348</v>
      </c>
      <c r="I95" s="418">
        <v>1</v>
      </c>
    </row>
    <row r="96" spans="1:9" ht="16.5" customHeight="1">
      <c r="A96" s="422"/>
      <c r="B96" s="411"/>
      <c r="C96" s="408" t="s">
        <v>674</v>
      </c>
      <c r="D96" s="423"/>
      <c r="E96" s="424"/>
      <c r="F96" s="425"/>
      <c r="G96" s="425"/>
      <c r="H96" s="417">
        <v>3802</v>
      </c>
      <c r="I96" s="418">
        <v>2649</v>
      </c>
    </row>
    <row r="97" spans="1:9" ht="16.5" customHeight="1">
      <c r="A97" s="422"/>
      <c r="B97" s="411"/>
      <c r="C97" s="408" t="s">
        <v>675</v>
      </c>
      <c r="D97" s="423"/>
      <c r="E97" s="424"/>
      <c r="F97" s="425"/>
      <c r="G97" s="425"/>
      <c r="H97" s="417">
        <v>3802</v>
      </c>
      <c r="I97" s="418">
        <v>796</v>
      </c>
    </row>
    <row r="98" spans="1:9" ht="16.5" customHeight="1">
      <c r="A98" s="422"/>
      <c r="B98" s="411"/>
      <c r="C98" s="408" t="s">
        <v>676</v>
      </c>
      <c r="D98" s="423"/>
      <c r="E98" s="424"/>
      <c r="F98" s="425"/>
      <c r="G98" s="425"/>
      <c r="H98" s="417">
        <v>3802</v>
      </c>
      <c r="I98" s="418">
        <v>527</v>
      </c>
    </row>
    <row r="99" spans="1:9" ht="16.5" customHeight="1">
      <c r="A99" s="422"/>
      <c r="B99" s="411"/>
      <c r="C99" s="408" t="s">
        <v>677</v>
      </c>
      <c r="D99" s="423"/>
      <c r="E99" s="424"/>
      <c r="F99" s="425"/>
      <c r="G99" s="425"/>
      <c r="H99" s="417">
        <v>3802</v>
      </c>
      <c r="I99" s="418">
        <v>99</v>
      </c>
    </row>
    <row r="100" spans="1:9" ht="16.5" customHeight="1">
      <c r="A100" s="422"/>
      <c r="B100" s="411"/>
      <c r="C100" s="408" t="s">
        <v>678</v>
      </c>
      <c r="D100" s="423"/>
      <c r="E100" s="424"/>
      <c r="F100" s="425"/>
      <c r="G100" s="425"/>
      <c r="H100" s="417">
        <v>11570</v>
      </c>
      <c r="I100" s="418">
        <v>300</v>
      </c>
    </row>
    <row r="101" spans="1:9">
      <c r="A101" s="422"/>
      <c r="B101" s="412"/>
      <c r="C101" s="408" t="s">
        <v>679</v>
      </c>
      <c r="D101" s="426"/>
      <c r="E101" s="424"/>
      <c r="F101" s="427"/>
      <c r="G101" s="427"/>
      <c r="H101" s="428">
        <v>30000</v>
      </c>
      <c r="I101" s="429">
        <v>500</v>
      </c>
    </row>
    <row r="102" spans="1:9">
      <c r="H102" s="103"/>
    </row>
    <row r="103" spans="1:9">
      <c r="H103" s="103"/>
    </row>
    <row r="104" spans="1:9">
      <c r="H104" s="103"/>
    </row>
    <row r="105" spans="1:9">
      <c r="H105" s="103"/>
    </row>
    <row r="106" spans="1:9">
      <c r="H106" s="103"/>
    </row>
    <row r="107" spans="1:9">
      <c r="H107" s="103"/>
    </row>
    <row r="108" spans="1:9">
      <c r="H108" s="103"/>
    </row>
    <row r="109" spans="1:9">
      <c r="H109" s="103"/>
    </row>
    <row r="110" spans="1:9">
      <c r="H110" s="103"/>
    </row>
    <row r="111" spans="1:9">
      <c r="H111" s="103"/>
    </row>
    <row r="112" spans="1:9">
      <c r="H112" s="103"/>
    </row>
    <row r="113" spans="8:8">
      <c r="H113" s="103"/>
    </row>
    <row r="114" spans="8:8">
      <c r="H114" s="103"/>
    </row>
    <row r="115" spans="8:8">
      <c r="H115" s="103"/>
    </row>
    <row r="116" spans="8:8">
      <c r="H116" s="103"/>
    </row>
    <row r="117" spans="8:8">
      <c r="H117" s="103"/>
    </row>
    <row r="118" spans="8:8">
      <c r="H118" s="103"/>
    </row>
    <row r="119" spans="8:8">
      <c r="H119" s="103"/>
    </row>
    <row r="120" spans="8:8">
      <c r="H120" s="103"/>
    </row>
  </sheetData>
  <sheetProtection selectLockedCells="1" selectUnlockedCells="1"/>
  <phoneticPr fontId="15" type="noConversion"/>
  <conditionalFormatting sqref="D3">
    <cfRule type="duplicateValues" dxfId="40" priority="4"/>
  </conditionalFormatting>
  <conditionalFormatting sqref="D4">
    <cfRule type="duplicateValues" dxfId="39" priority="3"/>
  </conditionalFormatting>
  <conditionalFormatting sqref="D5:D13">
    <cfRule type="duplicateValues" dxfId="38" priority="36"/>
  </conditionalFormatting>
  <conditionalFormatting sqref="D14:D32">
    <cfRule type="duplicateValues" dxfId="37" priority="33"/>
  </conditionalFormatting>
  <conditionalFormatting sqref="D33:D41 D63:D71">
    <cfRule type="duplicateValues" dxfId="36" priority="34"/>
  </conditionalFormatting>
  <conditionalFormatting sqref="D42:D62">
    <cfRule type="duplicateValues" dxfId="35" priority="32"/>
  </conditionalFormatting>
  <conditionalFormatting sqref="D43">
    <cfRule type="duplicateValues" dxfId="34" priority="31"/>
  </conditionalFormatting>
  <conditionalFormatting sqref="D44">
    <cfRule type="duplicateValues" dxfId="33" priority="30"/>
  </conditionalFormatting>
  <conditionalFormatting sqref="D45">
    <cfRule type="duplicateValues" dxfId="32" priority="29"/>
  </conditionalFormatting>
  <conditionalFormatting sqref="D46">
    <cfRule type="duplicateValues" dxfId="31" priority="28"/>
  </conditionalFormatting>
  <conditionalFormatting sqref="D47">
    <cfRule type="duplicateValues" dxfId="30" priority="27"/>
  </conditionalFormatting>
  <conditionalFormatting sqref="D48">
    <cfRule type="duplicateValues" dxfId="29" priority="26"/>
  </conditionalFormatting>
  <conditionalFormatting sqref="D49">
    <cfRule type="duplicateValues" dxfId="28" priority="25"/>
  </conditionalFormatting>
  <conditionalFormatting sqref="D50">
    <cfRule type="duplicateValues" dxfId="27" priority="24"/>
  </conditionalFormatting>
  <conditionalFormatting sqref="D51">
    <cfRule type="duplicateValues" dxfId="26" priority="23"/>
  </conditionalFormatting>
  <conditionalFormatting sqref="D52">
    <cfRule type="duplicateValues" dxfId="25" priority="22"/>
  </conditionalFormatting>
  <conditionalFormatting sqref="D53">
    <cfRule type="duplicateValues" dxfId="24" priority="21"/>
  </conditionalFormatting>
  <conditionalFormatting sqref="D54">
    <cfRule type="duplicateValues" dxfId="23" priority="20"/>
  </conditionalFormatting>
  <conditionalFormatting sqref="D55">
    <cfRule type="duplicateValues" dxfId="22" priority="19"/>
  </conditionalFormatting>
  <conditionalFormatting sqref="D56">
    <cfRule type="duplicateValues" dxfId="21" priority="18"/>
  </conditionalFormatting>
  <conditionalFormatting sqref="D57">
    <cfRule type="duplicateValues" dxfId="20" priority="17"/>
  </conditionalFormatting>
  <conditionalFormatting sqref="D58">
    <cfRule type="duplicateValues" dxfId="19" priority="16"/>
  </conditionalFormatting>
  <conditionalFormatting sqref="D59">
    <cfRule type="duplicateValues" dxfId="18" priority="15"/>
  </conditionalFormatting>
  <conditionalFormatting sqref="D60">
    <cfRule type="duplicateValues" dxfId="17" priority="14"/>
  </conditionalFormatting>
  <conditionalFormatting sqref="D61">
    <cfRule type="duplicateValues" dxfId="16" priority="13"/>
  </conditionalFormatting>
  <conditionalFormatting sqref="D62">
    <cfRule type="duplicateValues" dxfId="15" priority="12"/>
  </conditionalFormatting>
  <conditionalFormatting sqref="D72:D101">
    <cfRule type="duplicateValues" dxfId="14" priority="58"/>
  </conditionalFormatting>
  <conditionalFormatting sqref="H121:H1048576">
    <cfRule type="cellIs" dxfId="13" priority="42" operator="lessThanOrEqual">
      <formula>#REF!</formula>
    </cfRule>
  </conditionalFormatting>
  <conditionalFormatting sqref="I1:I1048576">
    <cfRule type="cellIs" dxfId="12" priority="1" operator="lessThan">
      <formula>0</formula>
    </cfRule>
  </conditionalFormatting>
  <conditionalFormatting sqref="I2:I101">
    <cfRule type="cellIs" dxfId="11" priority="35" operator="lessThanOrEqual">
      <formula>#REF!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FT1000"/>
  <sheetViews>
    <sheetView zoomScaleNormal="100" workbookViewId="0">
      <pane xSplit="1" ySplit="1" topLeftCell="B2" activePane="bottomRight" state="frozen"/>
      <selection activeCell="BCC214" sqref="BCC214"/>
      <selection pane="topRight" activeCell="BCC214" sqref="BCC214"/>
      <selection pane="bottomLeft" activeCell="BCC214" sqref="BCC214"/>
      <selection pane="bottomRight" activeCell="T13" sqref="T13"/>
    </sheetView>
  </sheetViews>
  <sheetFormatPr defaultColWidth="9" defaultRowHeight="16.5"/>
  <cols>
    <col min="1" max="1" width="11" style="118" bestFit="1" customWidth="1"/>
    <col min="2" max="2" width="12.5" style="118" bestFit="1" customWidth="1"/>
    <col min="3" max="3" width="10.5" style="118" bestFit="1" customWidth="1"/>
    <col min="4" max="4" width="10.25" style="118" bestFit="1" customWidth="1"/>
    <col min="5" max="5" width="12.25" style="118" bestFit="1" customWidth="1"/>
    <col min="6" max="6" width="9.5" style="118" bestFit="1" customWidth="1"/>
    <col min="7" max="7" width="13.625" style="118" bestFit="1" customWidth="1"/>
    <col min="8" max="8" width="15.75" style="118" customWidth="1"/>
    <col min="9" max="9" width="10.75" style="118" customWidth="1"/>
    <col min="10" max="10" width="8.125" style="118" bestFit="1" customWidth="1"/>
    <col min="11" max="11" width="10.125" style="118" customWidth="1"/>
    <col min="12" max="12" width="13.75" style="118" customWidth="1"/>
    <col min="13" max="13" width="19.25" style="118" customWidth="1"/>
    <col min="14" max="14" width="14.375" style="118" bestFit="1" customWidth="1"/>
    <col min="15" max="15" width="8.125" style="118" customWidth="1"/>
    <col min="16" max="16" width="13.5" style="118" bestFit="1" customWidth="1"/>
    <col min="17" max="17" width="12.125" style="118" customWidth="1"/>
    <col min="18" max="18" width="10.875" style="118" bestFit="1" customWidth="1"/>
    <col min="19" max="19" width="13.25" style="120" bestFit="1" customWidth="1"/>
    <col min="20" max="20" width="14" style="120" customWidth="1"/>
    <col min="21" max="21" width="7.125" style="125" bestFit="1" customWidth="1"/>
    <col min="22" max="1527" width="9" style="118" customWidth="1"/>
    <col min="1528" max="1528" width="9" style="119" customWidth="1"/>
    <col min="1529" max="1531" width="9" style="118" customWidth="1"/>
    <col min="1532" max="16384" width="9" style="118"/>
  </cols>
  <sheetData>
    <row r="1" spans="1:22 1528:1528" s="122" customFormat="1" ht="33" customHeight="1">
      <c r="A1" s="441" t="s">
        <v>274</v>
      </c>
      <c r="B1" s="442" t="s">
        <v>148</v>
      </c>
      <c r="C1" s="442" t="s">
        <v>140</v>
      </c>
      <c r="D1" s="442" t="s">
        <v>275</v>
      </c>
      <c r="E1" s="442" t="s">
        <v>276</v>
      </c>
      <c r="F1" s="442" t="s">
        <v>277</v>
      </c>
      <c r="G1" s="442" t="s">
        <v>680</v>
      </c>
      <c r="H1" s="442" t="s">
        <v>278</v>
      </c>
      <c r="I1" s="442" t="s">
        <v>279</v>
      </c>
      <c r="J1" s="442" t="s">
        <v>280</v>
      </c>
      <c r="K1" s="442" t="s">
        <v>281</v>
      </c>
      <c r="L1" s="442" t="s">
        <v>282</v>
      </c>
      <c r="M1" s="442" t="s">
        <v>283</v>
      </c>
      <c r="N1" s="442" t="s">
        <v>284</v>
      </c>
      <c r="O1" s="442" t="s">
        <v>285</v>
      </c>
      <c r="P1" s="442" t="s">
        <v>286</v>
      </c>
      <c r="Q1" s="442" t="s">
        <v>287</v>
      </c>
      <c r="R1" s="442" t="s">
        <v>288</v>
      </c>
      <c r="S1" s="442" t="s">
        <v>289</v>
      </c>
      <c r="T1" s="442" t="s">
        <v>290</v>
      </c>
      <c r="U1" s="443" t="s">
        <v>706</v>
      </c>
      <c r="V1" s="461" t="s">
        <v>707</v>
      </c>
      <c r="BFT1" s="121"/>
    </row>
    <row r="2" spans="1:22 1528:1528">
      <c r="A2" s="444"/>
      <c r="B2" s="445"/>
      <c r="C2" s="444" t="s">
        <v>690</v>
      </c>
      <c r="D2" s="444"/>
      <c r="E2" s="444"/>
      <c r="F2" s="444"/>
      <c r="G2" s="444"/>
      <c r="H2" s="444">
        <v>7</v>
      </c>
      <c r="I2" s="444">
        <v>62</v>
      </c>
      <c r="J2" s="444">
        <v>434</v>
      </c>
      <c r="K2" s="444"/>
      <c r="L2" s="444"/>
      <c r="M2" s="444"/>
      <c r="N2" s="444"/>
      <c r="O2" s="444"/>
      <c r="P2" s="464"/>
      <c r="Q2" s="465">
        <v>46023</v>
      </c>
      <c r="R2" s="465"/>
      <c r="S2" s="463"/>
      <c r="T2" s="463">
        <v>46028</v>
      </c>
      <c r="U2" s="466" t="str">
        <f>TEXT(Q2,"YYMM")</f>
        <v>2601</v>
      </c>
      <c r="V2" s="466" t="str">
        <f t="shared" ref="V2:V65" si="0">TEXT(T2,"YYMM")</f>
        <v>2601</v>
      </c>
    </row>
    <row r="3" spans="1:22 1528:1528">
      <c r="A3" s="447"/>
      <c r="B3" s="448"/>
      <c r="C3" s="447" t="s">
        <v>691</v>
      </c>
      <c r="D3" s="447"/>
      <c r="E3" s="447"/>
      <c r="F3" s="447"/>
      <c r="G3" s="447"/>
      <c r="H3" s="447">
        <v>5</v>
      </c>
      <c r="I3" s="447">
        <v>55</v>
      </c>
      <c r="J3" s="447">
        <v>275</v>
      </c>
      <c r="K3" s="447"/>
      <c r="L3" s="447"/>
      <c r="M3" s="447"/>
      <c r="N3" s="447"/>
      <c r="O3" s="447"/>
      <c r="P3" s="464"/>
      <c r="Q3" s="465">
        <v>46023</v>
      </c>
      <c r="R3" s="465"/>
      <c r="S3" s="463"/>
      <c r="T3" s="463">
        <v>46056</v>
      </c>
      <c r="U3" s="466" t="str">
        <f t="shared" ref="U3:U66" si="1">TEXT(Q3,"YYMM")</f>
        <v>2601</v>
      </c>
      <c r="V3" s="462" t="str">
        <f t="shared" si="0"/>
        <v>2602</v>
      </c>
    </row>
    <row r="4" spans="1:22 1528:1528">
      <c r="A4" s="444"/>
      <c r="B4" s="445"/>
      <c r="C4" s="446" t="s">
        <v>692</v>
      </c>
      <c r="D4" s="444"/>
      <c r="E4" s="444"/>
      <c r="F4" s="444"/>
      <c r="G4" s="444"/>
      <c r="H4" s="444">
        <v>7</v>
      </c>
      <c r="I4" s="444">
        <v>48</v>
      </c>
      <c r="J4" s="444">
        <v>336</v>
      </c>
      <c r="K4" s="444"/>
      <c r="L4" s="444"/>
      <c r="M4" s="444"/>
      <c r="N4" s="444"/>
      <c r="O4" s="444"/>
      <c r="P4" s="464"/>
      <c r="Q4" s="465">
        <v>46023</v>
      </c>
      <c r="R4" s="465"/>
      <c r="S4" s="463"/>
      <c r="T4" s="463">
        <v>46028</v>
      </c>
      <c r="U4" s="466" t="str">
        <f t="shared" si="1"/>
        <v>2601</v>
      </c>
      <c r="V4" s="462" t="str">
        <f t="shared" si="0"/>
        <v>2601</v>
      </c>
    </row>
    <row r="5" spans="1:22 1528:1528">
      <c r="A5" s="447"/>
      <c r="B5" s="448"/>
      <c r="C5" s="449" t="s">
        <v>693</v>
      </c>
      <c r="D5" s="447"/>
      <c r="E5" s="447"/>
      <c r="F5" s="447"/>
      <c r="G5" s="447"/>
      <c r="H5" s="447">
        <v>5</v>
      </c>
      <c r="I5" s="447">
        <v>35</v>
      </c>
      <c r="J5" s="447">
        <v>175</v>
      </c>
      <c r="K5" s="447"/>
      <c r="L5" s="447"/>
      <c r="M5" s="447"/>
      <c r="N5" s="447"/>
      <c r="O5" s="447"/>
      <c r="P5" s="464"/>
      <c r="Q5" s="465">
        <v>46023</v>
      </c>
      <c r="R5" s="465"/>
      <c r="S5" s="463"/>
      <c r="T5" s="463">
        <v>46028</v>
      </c>
      <c r="U5" s="466" t="str">
        <f t="shared" si="1"/>
        <v>2601</v>
      </c>
      <c r="V5" s="462" t="str">
        <f t="shared" si="0"/>
        <v>2601</v>
      </c>
    </row>
    <row r="6" spans="1:22 1528:1528">
      <c r="A6" s="444"/>
      <c r="B6" s="445"/>
      <c r="C6" s="446" t="s">
        <v>694</v>
      </c>
      <c r="D6" s="444"/>
      <c r="E6" s="444"/>
      <c r="F6" s="444"/>
      <c r="G6" s="444"/>
      <c r="H6" s="444">
        <v>200</v>
      </c>
      <c r="I6" s="444">
        <v>12</v>
      </c>
      <c r="J6" s="444">
        <v>2400</v>
      </c>
      <c r="K6" s="444"/>
      <c r="L6" s="444"/>
      <c r="M6" s="444"/>
      <c r="N6" s="444"/>
      <c r="O6" s="444"/>
      <c r="P6" s="464"/>
      <c r="Q6" s="465">
        <v>46023</v>
      </c>
      <c r="R6" s="465"/>
      <c r="S6" s="463"/>
      <c r="T6" s="463">
        <v>46058</v>
      </c>
      <c r="U6" s="466" t="str">
        <f t="shared" si="1"/>
        <v>2601</v>
      </c>
      <c r="V6" s="462" t="str">
        <f t="shared" si="0"/>
        <v>2602</v>
      </c>
    </row>
    <row r="7" spans="1:22 1528:1528">
      <c r="A7" s="447"/>
      <c r="B7" s="448"/>
      <c r="C7" s="449" t="s">
        <v>695</v>
      </c>
      <c r="D7" s="447"/>
      <c r="E7" s="447"/>
      <c r="F7" s="447"/>
      <c r="G7" s="447"/>
      <c r="H7" s="447">
        <v>8</v>
      </c>
      <c r="I7" s="447">
        <v>17</v>
      </c>
      <c r="J7" s="447">
        <v>136</v>
      </c>
      <c r="K7" s="447"/>
      <c r="L7" s="447"/>
      <c r="M7" s="447"/>
      <c r="N7" s="447"/>
      <c r="O7" s="447"/>
      <c r="P7" s="464"/>
      <c r="Q7" s="465">
        <v>46023</v>
      </c>
      <c r="R7" s="465"/>
      <c r="S7" s="463"/>
      <c r="T7" s="463">
        <v>46028</v>
      </c>
      <c r="U7" s="466" t="str">
        <f t="shared" si="1"/>
        <v>2601</v>
      </c>
      <c r="V7" s="462" t="str">
        <f t="shared" si="0"/>
        <v>2601</v>
      </c>
    </row>
    <row r="8" spans="1:22 1528:1528">
      <c r="A8" s="444"/>
      <c r="B8" s="445"/>
      <c r="C8" s="446" t="s">
        <v>693</v>
      </c>
      <c r="D8" s="444"/>
      <c r="E8" s="444"/>
      <c r="F8" s="444"/>
      <c r="G8" s="444"/>
      <c r="H8" s="444">
        <v>8</v>
      </c>
      <c r="I8" s="444">
        <v>17</v>
      </c>
      <c r="J8" s="444">
        <v>136</v>
      </c>
      <c r="K8" s="444"/>
      <c r="L8" s="444"/>
      <c r="M8" s="444"/>
      <c r="N8" s="444"/>
      <c r="O8" s="444"/>
      <c r="P8" s="464"/>
      <c r="Q8" s="465">
        <v>46055</v>
      </c>
      <c r="R8" s="465"/>
      <c r="S8" s="463"/>
      <c r="T8" s="463">
        <v>46061</v>
      </c>
      <c r="U8" s="466" t="str">
        <f t="shared" si="1"/>
        <v>2602</v>
      </c>
      <c r="V8" s="462" t="str">
        <f t="shared" si="0"/>
        <v>2602</v>
      </c>
    </row>
    <row r="9" spans="1:22 1528:1528">
      <c r="A9" s="447"/>
      <c r="B9" s="448"/>
      <c r="C9" s="449" t="s">
        <v>696</v>
      </c>
      <c r="D9" s="447"/>
      <c r="E9" s="447"/>
      <c r="F9" s="447"/>
      <c r="G9" s="447"/>
      <c r="H9" s="447">
        <v>8</v>
      </c>
      <c r="I9" s="447">
        <v>15</v>
      </c>
      <c r="J9" s="447">
        <v>120</v>
      </c>
      <c r="K9" s="447"/>
      <c r="L9" s="447"/>
      <c r="M9" s="447"/>
      <c r="N9" s="447"/>
      <c r="O9" s="447"/>
      <c r="P9" s="464"/>
      <c r="Q9" s="465">
        <v>46055</v>
      </c>
      <c r="R9" s="465"/>
      <c r="S9" s="463"/>
      <c r="T9" s="463">
        <v>46061</v>
      </c>
      <c r="U9" s="466" t="str">
        <f t="shared" si="1"/>
        <v>2602</v>
      </c>
      <c r="V9" s="462" t="str">
        <f t="shared" si="0"/>
        <v>2602</v>
      </c>
    </row>
    <row r="10" spans="1:22 1528:1528">
      <c r="A10" s="444"/>
      <c r="B10" s="445"/>
      <c r="C10" s="446" t="s">
        <v>697</v>
      </c>
      <c r="D10" s="444"/>
      <c r="E10" s="444"/>
      <c r="F10" s="444"/>
      <c r="G10" s="444"/>
      <c r="H10" s="444">
        <v>8</v>
      </c>
      <c r="I10" s="444">
        <v>4</v>
      </c>
      <c r="J10" s="444">
        <v>32</v>
      </c>
      <c r="K10" s="444"/>
      <c r="L10" s="444"/>
      <c r="M10" s="444"/>
      <c r="N10" s="444"/>
      <c r="O10" s="444"/>
      <c r="P10" s="464"/>
      <c r="Q10" s="465">
        <v>46055</v>
      </c>
      <c r="R10" s="465"/>
      <c r="S10" s="463"/>
      <c r="T10" s="463">
        <v>46061</v>
      </c>
      <c r="U10" s="466" t="str">
        <f t="shared" si="1"/>
        <v>2602</v>
      </c>
      <c r="V10" s="462" t="str">
        <f t="shared" si="0"/>
        <v>2602</v>
      </c>
    </row>
    <row r="11" spans="1:22 1528:1528">
      <c r="A11" s="447"/>
      <c r="B11" s="448"/>
      <c r="C11" s="449" t="s">
        <v>698</v>
      </c>
      <c r="D11" s="447"/>
      <c r="E11" s="447"/>
      <c r="F11" s="447"/>
      <c r="G11" s="447"/>
      <c r="H11" s="447">
        <v>9</v>
      </c>
      <c r="I11" s="447">
        <v>8</v>
      </c>
      <c r="J11" s="447">
        <v>72</v>
      </c>
      <c r="K11" s="447"/>
      <c r="L11" s="447"/>
      <c r="M11" s="447"/>
      <c r="N11" s="447"/>
      <c r="O11" s="447"/>
      <c r="P11" s="464"/>
      <c r="Q11" s="465">
        <v>46055</v>
      </c>
      <c r="R11" s="465"/>
      <c r="S11" s="463"/>
      <c r="T11" s="463">
        <v>46061</v>
      </c>
      <c r="U11" s="466" t="str">
        <f t="shared" si="1"/>
        <v>2602</v>
      </c>
      <c r="V11" s="462" t="str">
        <f t="shared" si="0"/>
        <v>2602</v>
      </c>
    </row>
    <row r="12" spans="1:22 1528:1528">
      <c r="A12" s="444"/>
      <c r="B12" s="445"/>
      <c r="C12" s="446" t="s">
        <v>693</v>
      </c>
      <c r="D12" s="444"/>
      <c r="E12" s="444"/>
      <c r="F12" s="444"/>
      <c r="G12" s="444"/>
      <c r="H12" s="444">
        <v>9</v>
      </c>
      <c r="I12" s="444">
        <v>8</v>
      </c>
      <c r="J12" s="444">
        <v>72</v>
      </c>
      <c r="K12" s="444"/>
      <c r="L12" s="444"/>
      <c r="M12" s="444"/>
      <c r="N12" s="444"/>
      <c r="O12" s="444"/>
      <c r="P12" s="464"/>
      <c r="Q12" s="465">
        <v>46055</v>
      </c>
      <c r="R12" s="465"/>
      <c r="S12" s="463"/>
      <c r="T12" s="463">
        <v>46116</v>
      </c>
      <c r="U12" s="466" t="str">
        <f t="shared" si="1"/>
        <v>2602</v>
      </c>
      <c r="V12" s="462" t="str">
        <f t="shared" si="0"/>
        <v>2604</v>
      </c>
    </row>
    <row r="13" spans="1:22 1528:1528">
      <c r="A13" s="447"/>
      <c r="B13" s="448"/>
      <c r="C13" s="449" t="s">
        <v>696</v>
      </c>
      <c r="D13" s="447"/>
      <c r="E13" s="447"/>
      <c r="F13" s="447"/>
      <c r="G13" s="447"/>
      <c r="H13" s="447">
        <v>9</v>
      </c>
      <c r="I13" s="447">
        <v>7</v>
      </c>
      <c r="J13" s="447">
        <v>63</v>
      </c>
      <c r="K13" s="447"/>
      <c r="L13" s="447"/>
      <c r="M13" s="447"/>
      <c r="N13" s="447"/>
      <c r="O13" s="447"/>
      <c r="P13" s="464"/>
      <c r="Q13" s="457">
        <v>46083</v>
      </c>
      <c r="R13" s="457"/>
      <c r="S13" s="458"/>
      <c r="T13" s="458">
        <v>46086</v>
      </c>
      <c r="U13" s="466" t="str">
        <f t="shared" si="1"/>
        <v>2603</v>
      </c>
      <c r="V13" s="462" t="str">
        <f t="shared" si="0"/>
        <v>2603</v>
      </c>
    </row>
    <row r="14" spans="1:22 1528:1528">
      <c r="A14" s="444"/>
      <c r="B14" s="445"/>
      <c r="C14" s="446" t="s">
        <v>699</v>
      </c>
      <c r="D14" s="444"/>
      <c r="E14" s="444"/>
      <c r="F14" s="444"/>
      <c r="G14" s="444"/>
      <c r="H14" s="444">
        <v>9</v>
      </c>
      <c r="I14" s="444">
        <v>2</v>
      </c>
      <c r="J14" s="444">
        <v>18</v>
      </c>
      <c r="K14" s="444"/>
      <c r="L14" s="444"/>
      <c r="M14" s="444"/>
      <c r="N14" s="444"/>
      <c r="O14" s="444"/>
      <c r="P14" s="464"/>
      <c r="Q14" s="457">
        <v>46083</v>
      </c>
      <c r="R14" s="457"/>
      <c r="S14" s="458"/>
      <c r="T14" s="458">
        <v>46086</v>
      </c>
      <c r="U14" s="466" t="str">
        <f t="shared" si="1"/>
        <v>2603</v>
      </c>
      <c r="V14" s="462" t="str">
        <f t="shared" si="0"/>
        <v>2603</v>
      </c>
    </row>
    <row r="15" spans="1:22 1528:1528">
      <c r="A15" s="447"/>
      <c r="B15" s="448"/>
      <c r="C15" s="449" t="s">
        <v>700</v>
      </c>
      <c r="D15" s="447"/>
      <c r="E15" s="447"/>
      <c r="F15" s="447"/>
      <c r="G15" s="447"/>
      <c r="H15" s="447">
        <v>6</v>
      </c>
      <c r="I15" s="447">
        <v>35</v>
      </c>
      <c r="J15" s="447">
        <v>210</v>
      </c>
      <c r="K15" s="447"/>
      <c r="L15" s="447"/>
      <c r="M15" s="447"/>
      <c r="N15" s="447"/>
      <c r="O15" s="447"/>
      <c r="P15" s="464"/>
      <c r="Q15" s="457">
        <v>46083</v>
      </c>
      <c r="R15" s="457"/>
      <c r="S15" s="458"/>
      <c r="T15" s="458">
        <v>46113</v>
      </c>
      <c r="U15" s="466" t="str">
        <f t="shared" si="1"/>
        <v>2603</v>
      </c>
      <c r="V15" s="462" t="str">
        <f t="shared" si="0"/>
        <v>2604</v>
      </c>
    </row>
    <row r="16" spans="1:22 1528:1528">
      <c r="A16" s="444"/>
      <c r="B16" s="445"/>
      <c r="C16" s="446" t="s">
        <v>701</v>
      </c>
      <c r="D16" s="450"/>
      <c r="E16" s="444"/>
      <c r="F16" s="444"/>
      <c r="G16" s="444"/>
      <c r="H16" s="444">
        <v>6</v>
      </c>
      <c r="I16" s="444">
        <v>35</v>
      </c>
      <c r="J16" s="444">
        <v>210</v>
      </c>
      <c r="K16" s="444"/>
      <c r="L16" s="444"/>
      <c r="M16" s="444"/>
      <c r="N16" s="444"/>
      <c r="O16" s="444"/>
      <c r="P16" s="464"/>
      <c r="Q16" s="457">
        <v>46083</v>
      </c>
      <c r="R16" s="457"/>
      <c r="S16" s="458"/>
      <c r="T16" s="458">
        <v>46086</v>
      </c>
      <c r="U16" s="466" t="str">
        <f t="shared" si="1"/>
        <v>2603</v>
      </c>
      <c r="V16" s="462" t="str">
        <f t="shared" si="0"/>
        <v>2603</v>
      </c>
    </row>
    <row r="17" spans="1:22">
      <c r="A17" s="447"/>
      <c r="B17" s="448"/>
      <c r="C17" s="449" t="s">
        <v>701</v>
      </c>
      <c r="D17" s="451"/>
      <c r="E17" s="447"/>
      <c r="F17" s="447"/>
      <c r="G17" s="447"/>
      <c r="H17" s="447">
        <v>6</v>
      </c>
      <c r="I17" s="447">
        <v>25</v>
      </c>
      <c r="J17" s="447">
        <v>150</v>
      </c>
      <c r="K17" s="447"/>
      <c r="L17" s="447"/>
      <c r="M17" s="447"/>
      <c r="N17" s="447"/>
      <c r="O17" s="447"/>
      <c r="P17" s="464"/>
      <c r="Q17" s="457">
        <v>46083</v>
      </c>
      <c r="R17" s="457"/>
      <c r="S17" s="458"/>
      <c r="T17" s="458">
        <v>46086</v>
      </c>
      <c r="U17" s="466" t="str">
        <f t="shared" si="1"/>
        <v>2603</v>
      </c>
      <c r="V17" s="462" t="str">
        <f t="shared" si="0"/>
        <v>2603</v>
      </c>
    </row>
    <row r="18" spans="1:22">
      <c r="A18" s="452"/>
      <c r="B18" s="453"/>
      <c r="C18" s="454" t="s">
        <v>702</v>
      </c>
      <c r="D18" s="455"/>
      <c r="E18" s="452"/>
      <c r="F18" s="452"/>
      <c r="G18" s="452"/>
      <c r="H18" s="452">
        <v>6</v>
      </c>
      <c r="I18" s="452">
        <v>13</v>
      </c>
      <c r="J18" s="452">
        <v>78</v>
      </c>
      <c r="K18" s="452"/>
      <c r="L18" s="452"/>
      <c r="M18" s="452"/>
      <c r="N18" s="452"/>
      <c r="O18" s="452"/>
      <c r="P18" s="467"/>
      <c r="Q18" s="457">
        <v>46083</v>
      </c>
      <c r="R18" s="457"/>
      <c r="S18" s="458"/>
      <c r="T18" s="458">
        <v>46086</v>
      </c>
      <c r="U18" s="466" t="str">
        <f t="shared" si="1"/>
        <v>2603</v>
      </c>
      <c r="V18" s="462" t="str">
        <f t="shared" si="0"/>
        <v>2603</v>
      </c>
    </row>
    <row r="19" spans="1:22">
      <c r="A19" s="296"/>
      <c r="B19" s="440"/>
      <c r="C19" s="405"/>
      <c r="D19" s="297"/>
      <c r="E19" s="296"/>
      <c r="F19" s="297"/>
      <c r="G19" s="297"/>
      <c r="H19" s="296"/>
      <c r="I19" s="296"/>
      <c r="J19" s="296"/>
      <c r="K19" s="296"/>
      <c r="L19" s="296"/>
      <c r="M19" s="296"/>
      <c r="N19" s="296"/>
      <c r="O19" s="296"/>
      <c r="P19" s="468"/>
      <c r="Q19" s="457"/>
      <c r="R19" s="457"/>
      <c r="S19" s="458"/>
      <c r="T19" s="469"/>
      <c r="U19" s="466" t="str">
        <f t="shared" si="1"/>
        <v>0001</v>
      </c>
      <c r="V19" s="462" t="str">
        <f t="shared" si="0"/>
        <v>0001</v>
      </c>
    </row>
    <row r="20" spans="1:22">
      <c r="A20" s="123"/>
      <c r="B20" s="403"/>
      <c r="C20" s="404"/>
      <c r="D20" s="124"/>
      <c r="E20" s="123"/>
      <c r="F20" s="124"/>
      <c r="G20" s="124"/>
      <c r="H20" s="123"/>
      <c r="I20" s="123"/>
      <c r="J20" s="123"/>
      <c r="K20" s="123"/>
      <c r="L20" s="123"/>
      <c r="M20" s="123"/>
      <c r="N20" s="123"/>
      <c r="O20" s="123"/>
      <c r="P20" s="470"/>
      <c r="Q20" s="457"/>
      <c r="R20" s="457"/>
      <c r="S20" s="458"/>
      <c r="T20" s="471"/>
      <c r="U20" s="466" t="str">
        <f t="shared" si="1"/>
        <v>0001</v>
      </c>
      <c r="V20" s="462" t="str">
        <f t="shared" si="0"/>
        <v>0001</v>
      </c>
    </row>
    <row r="21" spans="1:22">
      <c r="A21" s="123"/>
      <c r="B21" s="403"/>
      <c r="C21" s="456"/>
      <c r="D21" s="124"/>
      <c r="E21" s="123"/>
      <c r="F21" s="124"/>
      <c r="G21" s="124"/>
      <c r="H21" s="123"/>
      <c r="I21" s="123"/>
      <c r="J21" s="123"/>
      <c r="K21" s="123"/>
      <c r="L21" s="123"/>
      <c r="M21" s="123"/>
      <c r="N21" s="123"/>
      <c r="O21" s="123"/>
      <c r="P21" s="470"/>
      <c r="Q21" s="457"/>
      <c r="R21" s="457"/>
      <c r="S21" s="458"/>
      <c r="T21" s="471"/>
      <c r="U21" s="466" t="str">
        <f t="shared" si="1"/>
        <v>0001</v>
      </c>
      <c r="V21" s="462" t="str">
        <f t="shared" si="0"/>
        <v>0001</v>
      </c>
    </row>
    <row r="22" spans="1:22">
      <c r="A22" s="123"/>
      <c r="B22" s="403"/>
      <c r="C22" s="406"/>
      <c r="D22" s="126"/>
      <c r="E22" s="123"/>
      <c r="F22" s="124"/>
      <c r="G22" s="123"/>
      <c r="H22" s="123"/>
      <c r="I22" s="123"/>
      <c r="J22" s="123"/>
      <c r="K22" s="123"/>
      <c r="L22" s="123"/>
      <c r="M22" s="123"/>
      <c r="N22" s="123"/>
      <c r="O22" s="123"/>
      <c r="P22" s="470"/>
      <c r="Q22" s="472"/>
      <c r="R22" s="472"/>
      <c r="S22" s="473"/>
      <c r="T22" s="471"/>
      <c r="U22" s="466" t="str">
        <f t="shared" si="1"/>
        <v>0001</v>
      </c>
      <c r="V22" s="462" t="str">
        <f t="shared" si="0"/>
        <v>0001</v>
      </c>
    </row>
    <row r="23" spans="1:22">
      <c r="A23" s="123"/>
      <c r="B23" s="403"/>
      <c r="C23" s="406"/>
      <c r="D23" s="126"/>
      <c r="E23" s="123"/>
      <c r="F23" s="124"/>
      <c r="G23" s="123"/>
      <c r="H23" s="123"/>
      <c r="I23" s="123"/>
      <c r="J23" s="123"/>
      <c r="K23" s="123"/>
      <c r="L23" s="123"/>
      <c r="M23" s="123"/>
      <c r="N23" s="123"/>
      <c r="O23" s="123"/>
      <c r="P23" s="470"/>
      <c r="Q23" s="472"/>
      <c r="R23" s="472"/>
      <c r="S23" s="473"/>
      <c r="T23" s="471"/>
      <c r="U23" s="466" t="str">
        <f t="shared" si="1"/>
        <v>0001</v>
      </c>
      <c r="V23" s="462" t="str">
        <f t="shared" si="0"/>
        <v>0001</v>
      </c>
    </row>
    <row r="24" spans="1:22">
      <c r="A24" s="123"/>
      <c r="B24" s="403"/>
      <c r="C24" s="406"/>
      <c r="D24" s="126"/>
      <c r="E24" s="123"/>
      <c r="F24" s="124"/>
      <c r="G24" s="123"/>
      <c r="H24" s="123"/>
      <c r="I24" s="123"/>
      <c r="J24" s="123"/>
      <c r="K24" s="123"/>
      <c r="L24" s="123"/>
      <c r="M24" s="123"/>
      <c r="N24" s="123"/>
      <c r="O24" s="123"/>
      <c r="P24" s="470"/>
      <c r="Q24" s="472"/>
      <c r="R24" s="472"/>
      <c r="S24" s="473"/>
      <c r="T24" s="471"/>
      <c r="U24" s="466" t="str">
        <f t="shared" si="1"/>
        <v>0001</v>
      </c>
      <c r="V24" s="462" t="str">
        <f t="shared" si="0"/>
        <v>0001</v>
      </c>
    </row>
    <row r="25" spans="1:22">
      <c r="A25" s="123"/>
      <c r="B25" s="403"/>
      <c r="C25" s="403"/>
      <c r="D25" s="123"/>
      <c r="E25" s="123"/>
      <c r="F25" s="124"/>
      <c r="G25" s="123"/>
      <c r="H25" s="123"/>
      <c r="I25" s="123"/>
      <c r="J25" s="123"/>
      <c r="K25" s="123"/>
      <c r="L25" s="123"/>
      <c r="M25" s="123"/>
      <c r="N25" s="123"/>
      <c r="O25" s="123"/>
      <c r="P25" s="470"/>
      <c r="Q25" s="472"/>
      <c r="R25" s="472"/>
      <c r="S25" s="473"/>
      <c r="T25" s="471"/>
      <c r="U25" s="466" t="str">
        <f t="shared" si="1"/>
        <v>0001</v>
      </c>
      <c r="V25" s="462" t="str">
        <f t="shared" si="0"/>
        <v>0001</v>
      </c>
    </row>
    <row r="26" spans="1:22">
      <c r="A26" s="123"/>
      <c r="B26" s="403"/>
      <c r="C26" s="403"/>
      <c r="D26" s="123"/>
      <c r="E26" s="123"/>
      <c r="F26" s="124"/>
      <c r="G26" s="123"/>
      <c r="H26" s="123"/>
      <c r="I26" s="123"/>
      <c r="J26" s="123"/>
      <c r="K26" s="123"/>
      <c r="L26" s="123"/>
      <c r="M26" s="123"/>
      <c r="N26" s="123"/>
      <c r="O26" s="123"/>
      <c r="P26" s="470"/>
      <c r="Q26" s="472"/>
      <c r="R26" s="472"/>
      <c r="S26" s="473"/>
      <c r="T26" s="471"/>
      <c r="U26" s="466" t="str">
        <f t="shared" si="1"/>
        <v>0001</v>
      </c>
      <c r="V26" s="462" t="str">
        <f t="shared" si="0"/>
        <v>0001</v>
      </c>
    </row>
    <row r="27" spans="1:22">
      <c r="A27" s="123"/>
      <c r="B27" s="403"/>
      <c r="C27" s="404"/>
      <c r="D27" s="124"/>
      <c r="E27" s="123"/>
      <c r="F27" s="124"/>
      <c r="G27" s="124"/>
      <c r="H27" s="123"/>
      <c r="I27" s="123"/>
      <c r="J27" s="123"/>
      <c r="K27" s="123"/>
      <c r="L27" s="123"/>
      <c r="M27" s="123"/>
      <c r="N27" s="123"/>
      <c r="O27" s="123"/>
      <c r="P27" s="470"/>
      <c r="Q27" s="472"/>
      <c r="R27" s="472"/>
      <c r="S27" s="473"/>
      <c r="T27" s="471"/>
      <c r="U27" s="466" t="str">
        <f t="shared" si="1"/>
        <v>0001</v>
      </c>
      <c r="V27" s="462" t="str">
        <f t="shared" si="0"/>
        <v>0001</v>
      </c>
    </row>
    <row r="28" spans="1:22">
      <c r="A28" s="123"/>
      <c r="B28" s="403"/>
      <c r="C28" s="404"/>
      <c r="D28" s="124"/>
      <c r="E28" s="123"/>
      <c r="F28" s="124"/>
      <c r="G28" s="124"/>
      <c r="H28" s="123"/>
      <c r="I28" s="123"/>
      <c r="J28" s="123"/>
      <c r="K28" s="123"/>
      <c r="L28" s="123"/>
      <c r="M28" s="123"/>
      <c r="N28" s="123"/>
      <c r="O28" s="123"/>
      <c r="P28" s="470"/>
      <c r="Q28" s="472"/>
      <c r="R28" s="472"/>
      <c r="S28" s="473"/>
      <c r="T28" s="471"/>
      <c r="U28" s="466" t="str">
        <f t="shared" si="1"/>
        <v>0001</v>
      </c>
      <c r="V28" s="462" t="str">
        <f t="shared" si="0"/>
        <v>0001</v>
      </c>
    </row>
    <row r="29" spans="1:22">
      <c r="A29" s="123"/>
      <c r="B29" s="403"/>
      <c r="C29" s="404"/>
      <c r="D29" s="124"/>
      <c r="E29" s="123"/>
      <c r="F29" s="124"/>
      <c r="G29" s="124"/>
      <c r="H29" s="123"/>
      <c r="I29" s="123"/>
      <c r="J29" s="123"/>
      <c r="K29" s="123"/>
      <c r="L29" s="123"/>
      <c r="M29" s="123"/>
      <c r="N29" s="123"/>
      <c r="O29" s="123"/>
      <c r="P29" s="470"/>
      <c r="Q29" s="472"/>
      <c r="R29" s="472"/>
      <c r="S29" s="473"/>
      <c r="T29" s="471"/>
      <c r="U29" s="466" t="str">
        <f t="shared" si="1"/>
        <v>0001</v>
      </c>
      <c r="V29" s="462" t="str">
        <f t="shared" si="0"/>
        <v>0001</v>
      </c>
    </row>
    <row r="30" spans="1:22">
      <c r="A30" s="123"/>
      <c r="B30" s="403"/>
      <c r="C30" s="404"/>
      <c r="D30" s="124"/>
      <c r="E30" s="123"/>
      <c r="F30" s="124"/>
      <c r="G30" s="124"/>
      <c r="H30" s="123"/>
      <c r="I30" s="123"/>
      <c r="J30" s="123"/>
      <c r="K30" s="123"/>
      <c r="L30" s="123"/>
      <c r="M30" s="123"/>
      <c r="N30" s="123"/>
      <c r="O30" s="123"/>
      <c r="P30" s="470"/>
      <c r="Q30" s="472"/>
      <c r="R30" s="472"/>
      <c r="S30" s="473"/>
      <c r="T30" s="471"/>
      <c r="U30" s="466" t="str">
        <f t="shared" si="1"/>
        <v>0001</v>
      </c>
      <c r="V30" s="462" t="str">
        <f t="shared" si="0"/>
        <v>0001</v>
      </c>
    </row>
    <row r="31" spans="1:22">
      <c r="A31" s="123"/>
      <c r="B31" s="403"/>
      <c r="C31" s="404"/>
      <c r="D31" s="124"/>
      <c r="E31" s="123"/>
      <c r="F31" s="124"/>
      <c r="G31" s="124"/>
      <c r="H31" s="123"/>
      <c r="I31" s="123"/>
      <c r="J31" s="123"/>
      <c r="K31" s="123"/>
      <c r="L31" s="123"/>
      <c r="M31" s="123"/>
      <c r="N31" s="123"/>
      <c r="O31" s="123"/>
      <c r="P31" s="470"/>
      <c r="Q31" s="472"/>
      <c r="R31" s="472"/>
      <c r="S31" s="473"/>
      <c r="T31" s="471"/>
      <c r="U31" s="466" t="str">
        <f t="shared" si="1"/>
        <v>0001</v>
      </c>
      <c r="V31" s="462" t="str">
        <f t="shared" si="0"/>
        <v>0001</v>
      </c>
    </row>
    <row r="32" spans="1:22">
      <c r="A32" s="123"/>
      <c r="B32" s="403"/>
      <c r="C32" s="404"/>
      <c r="D32" s="124"/>
      <c r="E32" s="123"/>
      <c r="F32" s="124"/>
      <c r="G32" s="124"/>
      <c r="H32" s="123"/>
      <c r="I32" s="123"/>
      <c r="J32" s="123"/>
      <c r="K32" s="123"/>
      <c r="L32" s="123"/>
      <c r="M32" s="123"/>
      <c r="N32" s="123"/>
      <c r="O32" s="123"/>
      <c r="P32" s="470"/>
      <c r="Q32" s="472"/>
      <c r="R32" s="472"/>
      <c r="S32" s="473"/>
      <c r="T32" s="471"/>
      <c r="U32" s="466" t="str">
        <f t="shared" si="1"/>
        <v>0001</v>
      </c>
      <c r="V32" s="462" t="str">
        <f t="shared" si="0"/>
        <v>0001</v>
      </c>
    </row>
    <row r="33" spans="1:22" ht="17.25">
      <c r="A33" s="123"/>
      <c r="B33" s="403"/>
      <c r="C33" s="404"/>
      <c r="D33" s="124"/>
      <c r="E33" s="123"/>
      <c r="F33" s="124"/>
      <c r="G33" s="124"/>
      <c r="H33" s="129"/>
      <c r="I33" s="129"/>
      <c r="J33" s="129"/>
      <c r="K33" s="129"/>
      <c r="L33" s="129"/>
      <c r="M33" s="129"/>
      <c r="N33" s="129"/>
      <c r="O33" s="129"/>
      <c r="P33" s="470"/>
      <c r="Q33" s="472"/>
      <c r="R33" s="472"/>
      <c r="S33" s="473"/>
      <c r="T33" s="471"/>
      <c r="U33" s="466" t="str">
        <f t="shared" si="1"/>
        <v>0001</v>
      </c>
      <c r="V33" s="462" t="str">
        <f t="shared" si="0"/>
        <v>0001</v>
      </c>
    </row>
    <row r="34" spans="1:22" ht="17.25">
      <c r="A34" s="123"/>
      <c r="B34" s="403"/>
      <c r="C34" s="404"/>
      <c r="D34" s="124"/>
      <c r="E34" s="123"/>
      <c r="F34" s="124"/>
      <c r="G34" s="124"/>
      <c r="H34" s="129"/>
      <c r="I34" s="129"/>
      <c r="J34" s="129"/>
      <c r="K34" s="129"/>
      <c r="L34" s="129"/>
      <c r="M34" s="129"/>
      <c r="N34" s="129"/>
      <c r="O34" s="129"/>
      <c r="P34" s="470"/>
      <c r="Q34" s="472"/>
      <c r="R34" s="472"/>
      <c r="S34" s="473"/>
      <c r="T34" s="471"/>
      <c r="U34" s="466" t="str">
        <f t="shared" si="1"/>
        <v>0001</v>
      </c>
      <c r="V34" s="462" t="str">
        <f t="shared" si="0"/>
        <v>0001</v>
      </c>
    </row>
    <row r="35" spans="1:22" ht="17.25">
      <c r="A35" s="123"/>
      <c r="B35" s="403"/>
      <c r="C35" s="404"/>
      <c r="D35" s="124"/>
      <c r="E35" s="123"/>
      <c r="F35" s="124"/>
      <c r="G35" s="124"/>
      <c r="H35" s="129"/>
      <c r="I35" s="129"/>
      <c r="J35" s="129"/>
      <c r="K35" s="129"/>
      <c r="L35" s="129"/>
      <c r="M35" s="129"/>
      <c r="N35" s="129"/>
      <c r="O35" s="129"/>
      <c r="P35" s="470"/>
      <c r="Q35" s="472"/>
      <c r="R35" s="472"/>
      <c r="S35" s="473"/>
      <c r="T35" s="471"/>
      <c r="U35" s="466" t="str">
        <f t="shared" si="1"/>
        <v>0001</v>
      </c>
      <c r="V35" s="462" t="str">
        <f t="shared" si="0"/>
        <v>0001</v>
      </c>
    </row>
    <row r="36" spans="1:22" ht="17.25">
      <c r="A36" s="123"/>
      <c r="B36" s="403"/>
      <c r="C36" s="406"/>
      <c r="D36" s="126"/>
      <c r="E36" s="123"/>
      <c r="F36" s="124"/>
      <c r="G36" s="123"/>
      <c r="H36" s="129"/>
      <c r="I36" s="129"/>
      <c r="J36" s="129"/>
      <c r="K36" s="129"/>
      <c r="L36" s="129"/>
      <c r="M36" s="129"/>
      <c r="N36" s="129"/>
      <c r="O36" s="129"/>
      <c r="P36" s="470"/>
      <c r="Q36" s="472"/>
      <c r="R36" s="472"/>
      <c r="S36" s="473"/>
      <c r="T36" s="471"/>
      <c r="U36" s="466" t="str">
        <f t="shared" si="1"/>
        <v>0001</v>
      </c>
      <c r="V36" s="462" t="str">
        <f t="shared" si="0"/>
        <v>0001</v>
      </c>
    </row>
    <row r="37" spans="1:22" ht="17.25">
      <c r="A37" s="123"/>
      <c r="B37" s="403"/>
      <c r="C37" s="406"/>
      <c r="D37" s="126"/>
      <c r="E37" s="123"/>
      <c r="F37" s="124"/>
      <c r="G37" s="123"/>
      <c r="H37" s="129"/>
      <c r="I37" s="129"/>
      <c r="J37" s="129"/>
      <c r="K37" s="129"/>
      <c r="L37" s="129"/>
      <c r="M37" s="129"/>
      <c r="N37" s="129"/>
      <c r="O37" s="129"/>
      <c r="P37" s="470"/>
      <c r="Q37" s="472"/>
      <c r="R37" s="472"/>
      <c r="S37" s="473"/>
      <c r="T37" s="471"/>
      <c r="U37" s="466" t="str">
        <f t="shared" si="1"/>
        <v>0001</v>
      </c>
      <c r="V37" s="462" t="str">
        <f t="shared" si="0"/>
        <v>0001</v>
      </c>
    </row>
    <row r="38" spans="1:22" ht="17.25">
      <c r="A38" s="123"/>
      <c r="B38" s="403"/>
      <c r="C38" s="404"/>
      <c r="D38" s="124"/>
      <c r="E38" s="123"/>
      <c r="F38" s="124"/>
      <c r="G38" s="124"/>
      <c r="H38" s="129"/>
      <c r="I38" s="129"/>
      <c r="J38" s="129"/>
      <c r="K38" s="129"/>
      <c r="L38" s="129"/>
      <c r="M38" s="129"/>
      <c r="N38" s="129"/>
      <c r="O38" s="129"/>
      <c r="P38" s="470"/>
      <c r="Q38" s="472"/>
      <c r="R38" s="472"/>
      <c r="S38" s="473"/>
      <c r="T38" s="471"/>
      <c r="U38" s="466" t="str">
        <f t="shared" si="1"/>
        <v>0001</v>
      </c>
      <c r="V38" s="462" t="str">
        <f t="shared" si="0"/>
        <v>0001</v>
      </c>
    </row>
    <row r="39" spans="1:22" ht="17.25">
      <c r="A39" s="123"/>
      <c r="B39" s="403"/>
      <c r="C39" s="404"/>
      <c r="D39" s="124"/>
      <c r="E39" s="123"/>
      <c r="F39" s="124"/>
      <c r="G39" s="124"/>
      <c r="H39" s="129"/>
      <c r="I39" s="129"/>
      <c r="J39" s="129"/>
      <c r="K39" s="129"/>
      <c r="L39" s="129"/>
      <c r="M39" s="129"/>
      <c r="N39" s="129"/>
      <c r="O39" s="129"/>
      <c r="P39" s="470"/>
      <c r="Q39" s="472"/>
      <c r="R39" s="472"/>
      <c r="S39" s="473"/>
      <c r="T39" s="471"/>
      <c r="U39" s="466" t="str">
        <f t="shared" si="1"/>
        <v>0001</v>
      </c>
      <c r="V39" s="462" t="str">
        <f t="shared" si="0"/>
        <v>0001</v>
      </c>
    </row>
    <row r="40" spans="1:22" ht="17.25">
      <c r="A40" s="123"/>
      <c r="B40" s="403"/>
      <c r="C40" s="404"/>
      <c r="D40" s="124"/>
      <c r="E40" s="123"/>
      <c r="F40" s="124"/>
      <c r="G40" s="124"/>
      <c r="H40" s="129"/>
      <c r="I40" s="129"/>
      <c r="J40" s="129"/>
      <c r="K40" s="129"/>
      <c r="L40" s="129"/>
      <c r="M40" s="129"/>
      <c r="N40" s="129"/>
      <c r="O40" s="129"/>
      <c r="P40" s="470"/>
      <c r="Q40" s="472"/>
      <c r="R40" s="472"/>
      <c r="S40" s="473"/>
      <c r="T40" s="471"/>
      <c r="U40" s="466" t="str">
        <f t="shared" si="1"/>
        <v>0001</v>
      </c>
      <c r="V40" s="462" t="str">
        <f t="shared" si="0"/>
        <v>0001</v>
      </c>
    </row>
    <row r="41" spans="1:22" ht="17.25">
      <c r="A41" s="123"/>
      <c r="B41" s="403"/>
      <c r="C41" s="404"/>
      <c r="D41" s="124"/>
      <c r="E41" s="123"/>
      <c r="F41" s="124"/>
      <c r="G41" s="124"/>
      <c r="H41" s="129"/>
      <c r="I41" s="129"/>
      <c r="J41" s="129"/>
      <c r="K41" s="129"/>
      <c r="L41" s="129"/>
      <c r="M41" s="129"/>
      <c r="N41" s="129"/>
      <c r="O41" s="129"/>
      <c r="P41" s="470"/>
      <c r="Q41" s="472"/>
      <c r="R41" s="472"/>
      <c r="S41" s="473"/>
      <c r="T41" s="471"/>
      <c r="U41" s="466" t="str">
        <f t="shared" si="1"/>
        <v>0001</v>
      </c>
      <c r="V41" s="462" t="str">
        <f t="shared" si="0"/>
        <v>0001</v>
      </c>
    </row>
    <row r="42" spans="1:22" ht="17.25">
      <c r="A42" s="123"/>
      <c r="B42" s="403"/>
      <c r="C42" s="406"/>
      <c r="D42" s="126"/>
      <c r="E42" s="123"/>
      <c r="F42" s="124"/>
      <c r="G42" s="123"/>
      <c r="H42" s="129"/>
      <c r="I42" s="129"/>
      <c r="J42" s="129"/>
      <c r="K42" s="129"/>
      <c r="L42" s="129"/>
      <c r="M42" s="129"/>
      <c r="N42" s="129"/>
      <c r="O42" s="129"/>
      <c r="P42" s="470"/>
      <c r="Q42" s="472"/>
      <c r="R42" s="472"/>
      <c r="S42" s="473"/>
      <c r="T42" s="471"/>
      <c r="U42" s="466" t="str">
        <f t="shared" si="1"/>
        <v>0001</v>
      </c>
      <c r="V42" s="462" t="str">
        <f t="shared" si="0"/>
        <v>0001</v>
      </c>
    </row>
    <row r="43" spans="1:22" ht="17.25">
      <c r="A43" s="123"/>
      <c r="B43" s="403"/>
      <c r="C43" s="406"/>
      <c r="D43" s="126"/>
      <c r="E43" s="123"/>
      <c r="F43" s="124"/>
      <c r="G43" s="123"/>
      <c r="H43" s="129"/>
      <c r="I43" s="129"/>
      <c r="J43" s="129"/>
      <c r="K43" s="129"/>
      <c r="L43" s="129"/>
      <c r="M43" s="129"/>
      <c r="N43" s="129"/>
      <c r="O43" s="129"/>
      <c r="P43" s="470"/>
      <c r="Q43" s="472"/>
      <c r="R43" s="472"/>
      <c r="S43" s="473"/>
      <c r="T43" s="471"/>
      <c r="U43" s="466" t="str">
        <f t="shared" si="1"/>
        <v>0001</v>
      </c>
      <c r="V43" s="462" t="str">
        <f t="shared" si="0"/>
        <v>0001</v>
      </c>
    </row>
    <row r="44" spans="1:22" ht="17.25">
      <c r="A44" s="123"/>
      <c r="B44" s="403"/>
      <c r="C44" s="406"/>
      <c r="D44" s="126"/>
      <c r="E44" s="123"/>
      <c r="F44" s="124"/>
      <c r="G44" s="123"/>
      <c r="H44" s="129"/>
      <c r="I44" s="129"/>
      <c r="J44" s="129"/>
      <c r="K44" s="129"/>
      <c r="L44" s="129"/>
      <c r="M44" s="129"/>
      <c r="N44" s="129"/>
      <c r="O44" s="129"/>
      <c r="P44" s="470"/>
      <c r="Q44" s="472"/>
      <c r="R44" s="472"/>
      <c r="S44" s="473"/>
      <c r="T44" s="471"/>
      <c r="U44" s="466" t="str">
        <f t="shared" si="1"/>
        <v>0001</v>
      </c>
      <c r="V44" s="462" t="str">
        <f t="shared" si="0"/>
        <v>0001</v>
      </c>
    </row>
    <row r="45" spans="1:22" ht="17.25">
      <c r="A45" s="123"/>
      <c r="B45" s="403"/>
      <c r="C45" s="403"/>
      <c r="D45" s="123"/>
      <c r="E45" s="123"/>
      <c r="F45" s="124"/>
      <c r="G45" s="123"/>
      <c r="H45" s="129"/>
      <c r="I45" s="129"/>
      <c r="J45" s="129"/>
      <c r="K45" s="129"/>
      <c r="L45" s="129"/>
      <c r="M45" s="129"/>
      <c r="N45" s="129"/>
      <c r="O45" s="129"/>
      <c r="P45" s="470"/>
      <c r="Q45" s="472"/>
      <c r="R45" s="472"/>
      <c r="S45" s="473"/>
      <c r="T45" s="471"/>
      <c r="U45" s="466" t="str">
        <f t="shared" si="1"/>
        <v>0001</v>
      </c>
      <c r="V45" s="462" t="str">
        <f t="shared" si="0"/>
        <v>0001</v>
      </c>
    </row>
    <row r="46" spans="1:22" ht="17.25">
      <c r="A46" s="123"/>
      <c r="B46" s="403"/>
      <c r="C46" s="403"/>
      <c r="D46" s="123"/>
      <c r="E46" s="123"/>
      <c r="F46" s="123"/>
      <c r="G46" s="123"/>
      <c r="H46" s="129"/>
      <c r="I46" s="129"/>
      <c r="J46" s="129"/>
      <c r="K46" s="129"/>
      <c r="L46" s="129"/>
      <c r="M46" s="129"/>
      <c r="N46" s="129"/>
      <c r="O46" s="129"/>
      <c r="P46" s="470"/>
      <c r="Q46" s="472"/>
      <c r="R46" s="472"/>
      <c r="S46" s="473"/>
      <c r="T46" s="471"/>
      <c r="U46" s="466" t="str">
        <f t="shared" si="1"/>
        <v>0001</v>
      </c>
      <c r="V46" s="462" t="str">
        <f t="shared" si="0"/>
        <v>0001</v>
      </c>
    </row>
    <row r="47" spans="1:22" ht="17.25">
      <c r="A47" s="123"/>
      <c r="B47" s="403"/>
      <c r="C47" s="403"/>
      <c r="D47" s="123"/>
      <c r="E47" s="123"/>
      <c r="F47" s="123"/>
      <c r="G47" s="123"/>
      <c r="H47" s="129"/>
      <c r="I47" s="129"/>
      <c r="J47" s="129"/>
      <c r="K47" s="129"/>
      <c r="L47" s="129"/>
      <c r="M47" s="129"/>
      <c r="N47" s="129"/>
      <c r="O47" s="129"/>
      <c r="P47" s="470"/>
      <c r="Q47" s="472"/>
      <c r="R47" s="472"/>
      <c r="S47" s="473"/>
      <c r="T47" s="471"/>
      <c r="U47" s="466" t="str">
        <f t="shared" si="1"/>
        <v>0001</v>
      </c>
      <c r="V47" s="462" t="str">
        <f t="shared" si="0"/>
        <v>0001</v>
      </c>
    </row>
    <row r="48" spans="1:22">
      <c r="A48" s="123"/>
      <c r="B48" s="403"/>
      <c r="C48" s="403"/>
      <c r="D48" s="123"/>
      <c r="E48" s="123"/>
      <c r="F48" s="123"/>
      <c r="G48" s="127"/>
      <c r="H48" s="123"/>
      <c r="I48" s="123"/>
      <c r="J48" s="123"/>
      <c r="K48" s="123"/>
      <c r="L48" s="123"/>
      <c r="M48" s="123"/>
      <c r="N48" s="123"/>
      <c r="O48" s="123"/>
      <c r="P48" s="470"/>
      <c r="Q48" s="472"/>
      <c r="R48" s="472"/>
      <c r="S48" s="473"/>
      <c r="T48" s="471"/>
      <c r="U48" s="466" t="str">
        <f t="shared" si="1"/>
        <v>0001</v>
      </c>
      <c r="V48" s="462" t="str">
        <f t="shared" si="0"/>
        <v>0001</v>
      </c>
    </row>
    <row r="49" spans="1:22">
      <c r="A49" s="123"/>
      <c r="B49" s="403"/>
      <c r="C49" s="403"/>
      <c r="D49" s="123"/>
      <c r="E49" s="123"/>
      <c r="F49" s="128"/>
      <c r="G49" s="128"/>
      <c r="H49" s="123"/>
      <c r="I49" s="123"/>
      <c r="J49" s="123"/>
      <c r="K49" s="123"/>
      <c r="L49" s="123"/>
      <c r="M49" s="123"/>
      <c r="N49" s="123"/>
      <c r="O49" s="123"/>
      <c r="P49" s="470"/>
      <c r="Q49" s="472"/>
      <c r="R49" s="472"/>
      <c r="S49" s="473"/>
      <c r="T49" s="471"/>
      <c r="U49" s="466" t="str">
        <f t="shared" si="1"/>
        <v>0001</v>
      </c>
      <c r="V49" s="462" t="str">
        <f t="shared" si="0"/>
        <v>0001</v>
      </c>
    </row>
    <row r="50" spans="1:22">
      <c r="A50" s="123"/>
      <c r="B50" s="403"/>
      <c r="C50" s="404"/>
      <c r="D50" s="124"/>
      <c r="E50" s="123"/>
      <c r="F50" s="128"/>
      <c r="G50" s="124"/>
      <c r="H50" s="123"/>
      <c r="I50" s="123"/>
      <c r="J50" s="123"/>
      <c r="K50" s="123"/>
      <c r="L50" s="123"/>
      <c r="M50" s="123"/>
      <c r="N50" s="123"/>
      <c r="O50" s="123"/>
      <c r="P50" s="470"/>
      <c r="Q50" s="472"/>
      <c r="R50" s="472"/>
      <c r="S50" s="473"/>
      <c r="T50" s="471"/>
      <c r="U50" s="466" t="str">
        <f t="shared" si="1"/>
        <v>0001</v>
      </c>
      <c r="V50" s="462" t="str">
        <f t="shared" si="0"/>
        <v>0001</v>
      </c>
    </row>
    <row r="51" spans="1:22">
      <c r="A51" s="123"/>
      <c r="B51" s="403"/>
      <c r="C51" s="404"/>
      <c r="D51" s="124"/>
      <c r="E51" s="123"/>
      <c r="F51" s="128"/>
      <c r="G51" s="124"/>
      <c r="H51" s="123"/>
      <c r="I51" s="123"/>
      <c r="J51" s="123"/>
      <c r="K51" s="123"/>
      <c r="L51" s="123"/>
      <c r="M51" s="123"/>
      <c r="N51" s="123"/>
      <c r="O51" s="123"/>
      <c r="P51" s="470"/>
      <c r="Q51" s="472"/>
      <c r="R51" s="472"/>
      <c r="S51" s="473"/>
      <c r="T51" s="471"/>
      <c r="U51" s="466" t="str">
        <f t="shared" si="1"/>
        <v>0001</v>
      </c>
      <c r="V51" s="462" t="str">
        <f t="shared" si="0"/>
        <v>0001</v>
      </c>
    </row>
    <row r="52" spans="1:22">
      <c r="A52" s="123"/>
      <c r="B52" s="403"/>
      <c r="C52" s="404"/>
      <c r="D52" s="124"/>
      <c r="E52" s="123"/>
      <c r="F52" s="128"/>
      <c r="G52" s="124"/>
      <c r="H52" s="123"/>
      <c r="I52" s="123"/>
      <c r="J52" s="123"/>
      <c r="K52" s="123"/>
      <c r="L52" s="123"/>
      <c r="M52" s="123"/>
      <c r="N52" s="123"/>
      <c r="O52" s="123"/>
      <c r="P52" s="470"/>
      <c r="Q52" s="472"/>
      <c r="R52" s="472"/>
      <c r="S52" s="473"/>
      <c r="T52" s="471"/>
      <c r="U52" s="466" t="str">
        <f t="shared" si="1"/>
        <v>0001</v>
      </c>
      <c r="V52" s="462" t="str">
        <f t="shared" si="0"/>
        <v>0001</v>
      </c>
    </row>
    <row r="53" spans="1:22">
      <c r="A53" s="123"/>
      <c r="B53" s="403"/>
      <c r="C53" s="404"/>
      <c r="D53" s="124"/>
      <c r="E53" s="123"/>
      <c r="F53" s="124"/>
      <c r="G53" s="124"/>
      <c r="H53" s="123"/>
      <c r="I53" s="123"/>
      <c r="J53" s="123"/>
      <c r="K53" s="123"/>
      <c r="L53" s="123"/>
      <c r="M53" s="123"/>
      <c r="N53" s="123"/>
      <c r="O53" s="123"/>
      <c r="P53" s="470"/>
      <c r="Q53" s="472"/>
      <c r="R53" s="472"/>
      <c r="S53" s="473"/>
      <c r="T53" s="471"/>
      <c r="U53" s="466" t="str">
        <f t="shared" si="1"/>
        <v>0001</v>
      </c>
      <c r="V53" s="462" t="str">
        <f t="shared" si="0"/>
        <v>0001</v>
      </c>
    </row>
    <row r="54" spans="1:22">
      <c r="A54" s="123"/>
      <c r="B54" s="403"/>
      <c r="C54" s="404"/>
      <c r="D54" s="124"/>
      <c r="E54" s="123"/>
      <c r="F54" s="124"/>
      <c r="G54" s="124"/>
      <c r="H54" s="123"/>
      <c r="I54" s="123"/>
      <c r="J54" s="123"/>
      <c r="K54" s="123"/>
      <c r="L54" s="123"/>
      <c r="M54" s="123"/>
      <c r="N54" s="123"/>
      <c r="O54" s="123"/>
      <c r="P54" s="470"/>
      <c r="Q54" s="472"/>
      <c r="R54" s="472"/>
      <c r="S54" s="473"/>
      <c r="T54" s="471"/>
      <c r="U54" s="466" t="str">
        <f t="shared" si="1"/>
        <v>0001</v>
      </c>
      <c r="V54" s="462" t="str">
        <f t="shared" si="0"/>
        <v>0001</v>
      </c>
    </row>
    <row r="55" spans="1:22">
      <c r="A55" s="123"/>
      <c r="B55" s="403"/>
      <c r="C55" s="404"/>
      <c r="D55" s="124"/>
      <c r="E55" s="123"/>
      <c r="F55" s="124"/>
      <c r="G55" s="124"/>
      <c r="H55" s="123"/>
      <c r="I55" s="123"/>
      <c r="J55" s="123"/>
      <c r="K55" s="123"/>
      <c r="L55" s="123"/>
      <c r="M55" s="123"/>
      <c r="N55" s="123"/>
      <c r="O55" s="123"/>
      <c r="P55" s="470"/>
      <c r="Q55" s="472"/>
      <c r="R55" s="472"/>
      <c r="S55" s="473"/>
      <c r="T55" s="471"/>
      <c r="U55" s="466" t="str">
        <f t="shared" si="1"/>
        <v>0001</v>
      </c>
      <c r="V55" s="462" t="str">
        <f t="shared" si="0"/>
        <v>0001</v>
      </c>
    </row>
    <row r="56" spans="1:22">
      <c r="A56" s="123"/>
      <c r="B56" s="403"/>
      <c r="C56" s="404"/>
      <c r="D56" s="124"/>
      <c r="E56" s="123"/>
      <c r="F56" s="124"/>
      <c r="G56" s="124"/>
      <c r="H56" s="123"/>
      <c r="I56" s="123"/>
      <c r="J56" s="123"/>
      <c r="K56" s="123"/>
      <c r="L56" s="123"/>
      <c r="M56" s="123"/>
      <c r="N56" s="123"/>
      <c r="O56" s="123"/>
      <c r="P56" s="470"/>
      <c r="Q56" s="472"/>
      <c r="R56" s="472"/>
      <c r="S56" s="473"/>
      <c r="T56" s="471"/>
      <c r="U56" s="466" t="str">
        <f t="shared" si="1"/>
        <v>0001</v>
      </c>
      <c r="V56" s="462" t="str">
        <f t="shared" si="0"/>
        <v>0001</v>
      </c>
    </row>
    <row r="57" spans="1:22">
      <c r="A57" s="123"/>
      <c r="B57" s="403"/>
      <c r="C57" s="404"/>
      <c r="D57" s="124"/>
      <c r="E57" s="123"/>
      <c r="F57" s="124"/>
      <c r="G57" s="124"/>
      <c r="H57" s="123"/>
      <c r="I57" s="123"/>
      <c r="J57" s="123"/>
      <c r="K57" s="123"/>
      <c r="L57" s="123"/>
      <c r="M57" s="123"/>
      <c r="N57" s="123"/>
      <c r="O57" s="123"/>
      <c r="P57" s="470"/>
      <c r="Q57" s="472"/>
      <c r="R57" s="472"/>
      <c r="S57" s="473"/>
      <c r="T57" s="471"/>
      <c r="U57" s="466" t="str">
        <f t="shared" si="1"/>
        <v>0001</v>
      </c>
      <c r="V57" s="462" t="str">
        <f t="shared" si="0"/>
        <v>0001</v>
      </c>
    </row>
    <row r="58" spans="1:22">
      <c r="A58" s="123"/>
      <c r="B58" s="403"/>
      <c r="C58" s="404"/>
      <c r="D58" s="124"/>
      <c r="E58" s="123"/>
      <c r="F58" s="124"/>
      <c r="G58" s="124"/>
      <c r="H58" s="123"/>
      <c r="I58" s="123"/>
      <c r="J58" s="123"/>
      <c r="K58" s="123"/>
      <c r="L58" s="123"/>
      <c r="M58" s="123"/>
      <c r="N58" s="123"/>
      <c r="O58" s="123"/>
      <c r="P58" s="470"/>
      <c r="Q58" s="472"/>
      <c r="R58" s="472"/>
      <c r="S58" s="473"/>
      <c r="T58" s="471"/>
      <c r="U58" s="466" t="str">
        <f t="shared" si="1"/>
        <v>0001</v>
      </c>
      <c r="V58" s="462" t="str">
        <f t="shared" si="0"/>
        <v>0001</v>
      </c>
    </row>
    <row r="59" spans="1:22">
      <c r="A59" s="123"/>
      <c r="B59" s="403"/>
      <c r="C59" s="404"/>
      <c r="D59" s="124"/>
      <c r="E59" s="123"/>
      <c r="F59" s="124"/>
      <c r="G59" s="124"/>
      <c r="H59" s="123"/>
      <c r="I59" s="123"/>
      <c r="J59" s="123"/>
      <c r="K59" s="123"/>
      <c r="L59" s="123"/>
      <c r="M59" s="123"/>
      <c r="N59" s="123"/>
      <c r="O59" s="123"/>
      <c r="P59" s="470"/>
      <c r="Q59" s="472"/>
      <c r="R59" s="472"/>
      <c r="S59" s="473"/>
      <c r="T59" s="471"/>
      <c r="U59" s="466" t="str">
        <f t="shared" si="1"/>
        <v>0001</v>
      </c>
      <c r="V59" s="462" t="str">
        <f t="shared" si="0"/>
        <v>0001</v>
      </c>
    </row>
    <row r="60" spans="1:22">
      <c r="A60" s="123"/>
      <c r="B60" s="403"/>
      <c r="C60" s="406"/>
      <c r="D60" s="126"/>
      <c r="E60" s="123"/>
      <c r="F60" s="124"/>
      <c r="G60" s="123"/>
      <c r="H60" s="123"/>
      <c r="I60" s="123"/>
      <c r="J60" s="123"/>
      <c r="K60" s="123"/>
      <c r="L60" s="123"/>
      <c r="M60" s="123"/>
      <c r="N60" s="123"/>
      <c r="O60" s="123"/>
      <c r="P60" s="470"/>
      <c r="Q60" s="472"/>
      <c r="R60" s="472"/>
      <c r="S60" s="473"/>
      <c r="T60" s="471"/>
      <c r="U60" s="466" t="str">
        <f t="shared" si="1"/>
        <v>0001</v>
      </c>
      <c r="V60" s="462" t="str">
        <f t="shared" si="0"/>
        <v>0001</v>
      </c>
    </row>
    <row r="61" spans="1:22">
      <c r="A61" s="123"/>
      <c r="B61" s="403"/>
      <c r="C61" s="406"/>
      <c r="D61" s="126"/>
      <c r="E61" s="123"/>
      <c r="F61" s="124"/>
      <c r="G61" s="123"/>
      <c r="H61" s="123"/>
      <c r="I61" s="123"/>
      <c r="J61" s="123"/>
      <c r="K61" s="123"/>
      <c r="L61" s="123"/>
      <c r="M61" s="123"/>
      <c r="N61" s="123"/>
      <c r="O61" s="123"/>
      <c r="P61" s="470"/>
      <c r="Q61" s="472"/>
      <c r="R61" s="472"/>
      <c r="S61" s="473"/>
      <c r="T61" s="471"/>
      <c r="U61" s="466" t="str">
        <f t="shared" si="1"/>
        <v>0001</v>
      </c>
      <c r="V61" s="462" t="str">
        <f t="shared" si="0"/>
        <v>0001</v>
      </c>
    </row>
    <row r="62" spans="1:22">
      <c r="A62" s="123"/>
      <c r="B62" s="403"/>
      <c r="C62" s="404"/>
      <c r="D62" s="124"/>
      <c r="E62" s="123"/>
      <c r="F62" s="124"/>
      <c r="G62" s="124"/>
      <c r="H62" s="123"/>
      <c r="I62" s="123"/>
      <c r="J62" s="123"/>
      <c r="K62" s="123"/>
      <c r="L62" s="123"/>
      <c r="M62" s="123"/>
      <c r="N62" s="123"/>
      <c r="O62" s="123"/>
      <c r="P62" s="470"/>
      <c r="Q62" s="472"/>
      <c r="R62" s="472"/>
      <c r="S62" s="473"/>
      <c r="T62" s="471"/>
      <c r="U62" s="466" t="str">
        <f t="shared" si="1"/>
        <v>0001</v>
      </c>
      <c r="V62" s="462" t="str">
        <f t="shared" si="0"/>
        <v>0001</v>
      </c>
    </row>
    <row r="63" spans="1:22">
      <c r="A63" s="123"/>
      <c r="B63" s="403"/>
      <c r="C63" s="404"/>
      <c r="D63" s="124"/>
      <c r="E63" s="123"/>
      <c r="F63" s="124"/>
      <c r="G63" s="124"/>
      <c r="H63" s="123"/>
      <c r="I63" s="123"/>
      <c r="J63" s="123"/>
      <c r="K63" s="123"/>
      <c r="L63" s="123"/>
      <c r="M63" s="123"/>
      <c r="N63" s="123"/>
      <c r="O63" s="123"/>
      <c r="P63" s="470"/>
      <c r="Q63" s="472"/>
      <c r="R63" s="472"/>
      <c r="S63" s="473"/>
      <c r="T63" s="471"/>
      <c r="U63" s="466" t="str">
        <f t="shared" si="1"/>
        <v>0001</v>
      </c>
      <c r="V63" s="462" t="str">
        <f t="shared" si="0"/>
        <v>0001</v>
      </c>
    </row>
    <row r="64" spans="1:22">
      <c r="A64" s="123"/>
      <c r="B64" s="403"/>
      <c r="C64" s="404"/>
      <c r="D64" s="124"/>
      <c r="E64" s="123"/>
      <c r="F64" s="124"/>
      <c r="G64" s="124"/>
      <c r="H64" s="123"/>
      <c r="I64" s="123"/>
      <c r="J64" s="123"/>
      <c r="K64" s="123"/>
      <c r="L64" s="123"/>
      <c r="M64" s="123"/>
      <c r="N64" s="123"/>
      <c r="O64" s="123"/>
      <c r="P64" s="470"/>
      <c r="Q64" s="472"/>
      <c r="R64" s="472"/>
      <c r="S64" s="473"/>
      <c r="T64" s="471"/>
      <c r="U64" s="466" t="str">
        <f t="shared" si="1"/>
        <v>0001</v>
      </c>
      <c r="V64" s="462" t="str">
        <f t="shared" si="0"/>
        <v>0001</v>
      </c>
    </row>
    <row r="65" spans="1:22">
      <c r="A65" s="123"/>
      <c r="B65" s="403"/>
      <c r="C65" s="404"/>
      <c r="D65" s="124"/>
      <c r="E65" s="123"/>
      <c r="F65" s="124"/>
      <c r="G65" s="124"/>
      <c r="H65" s="123"/>
      <c r="I65" s="123"/>
      <c r="J65" s="123"/>
      <c r="K65" s="123"/>
      <c r="L65" s="123"/>
      <c r="M65" s="123"/>
      <c r="N65" s="123"/>
      <c r="O65" s="123"/>
      <c r="P65" s="470"/>
      <c r="Q65" s="472"/>
      <c r="R65" s="472"/>
      <c r="S65" s="473"/>
      <c r="T65" s="471"/>
      <c r="U65" s="466" t="str">
        <f t="shared" si="1"/>
        <v>0001</v>
      </c>
      <c r="V65" s="462" t="str">
        <f t="shared" si="0"/>
        <v>0001</v>
      </c>
    </row>
    <row r="66" spans="1:22">
      <c r="A66" s="123"/>
      <c r="B66" s="403"/>
      <c r="C66" s="406"/>
      <c r="D66" s="126"/>
      <c r="E66" s="123"/>
      <c r="F66" s="124"/>
      <c r="G66" s="123"/>
      <c r="H66" s="123"/>
      <c r="I66" s="123"/>
      <c r="J66" s="123"/>
      <c r="K66" s="123"/>
      <c r="L66" s="123"/>
      <c r="M66" s="123"/>
      <c r="N66" s="123"/>
      <c r="O66" s="123"/>
      <c r="P66" s="470"/>
      <c r="Q66" s="472"/>
      <c r="R66" s="472"/>
      <c r="S66" s="473"/>
      <c r="T66" s="471"/>
      <c r="U66" s="466" t="str">
        <f t="shared" si="1"/>
        <v>0001</v>
      </c>
      <c r="V66" s="462" t="str">
        <f t="shared" ref="V66:V129" si="2">TEXT(T66,"YYMM")</f>
        <v>0001</v>
      </c>
    </row>
    <row r="67" spans="1:22">
      <c r="A67" s="123"/>
      <c r="B67" s="403"/>
      <c r="C67" s="406"/>
      <c r="D67" s="126"/>
      <c r="E67" s="123"/>
      <c r="F67" s="124"/>
      <c r="G67" s="123"/>
      <c r="H67" s="123"/>
      <c r="I67" s="123"/>
      <c r="J67" s="123"/>
      <c r="K67" s="123"/>
      <c r="L67" s="123"/>
      <c r="M67" s="123"/>
      <c r="N67" s="123"/>
      <c r="O67" s="123"/>
      <c r="P67" s="470"/>
      <c r="Q67" s="472"/>
      <c r="R67" s="472"/>
      <c r="S67" s="473"/>
      <c r="T67" s="471"/>
      <c r="U67" s="466" t="str">
        <f t="shared" ref="U67:U130" si="3">TEXT(Q67,"YYMM")</f>
        <v>0001</v>
      </c>
      <c r="V67" s="462" t="str">
        <f t="shared" si="2"/>
        <v>0001</v>
      </c>
    </row>
    <row r="68" spans="1:22">
      <c r="A68" s="123"/>
      <c r="B68" s="403"/>
      <c r="C68" s="406"/>
      <c r="D68" s="126"/>
      <c r="E68" s="123"/>
      <c r="F68" s="124"/>
      <c r="G68" s="123"/>
      <c r="H68" s="123"/>
      <c r="I68" s="123"/>
      <c r="J68" s="123"/>
      <c r="K68" s="123"/>
      <c r="L68" s="123"/>
      <c r="M68" s="123"/>
      <c r="N68" s="123"/>
      <c r="O68" s="123"/>
      <c r="P68" s="470"/>
      <c r="Q68" s="472"/>
      <c r="R68" s="472"/>
      <c r="S68" s="473"/>
      <c r="T68" s="471"/>
      <c r="U68" s="466" t="str">
        <f t="shared" si="3"/>
        <v>0001</v>
      </c>
      <c r="V68" s="462" t="str">
        <f t="shared" si="2"/>
        <v>0001</v>
      </c>
    </row>
    <row r="69" spans="1:22">
      <c r="A69" s="123"/>
      <c r="B69" s="403"/>
      <c r="C69" s="403"/>
      <c r="D69" s="123"/>
      <c r="E69" s="123"/>
      <c r="F69" s="124"/>
      <c r="G69" s="123"/>
      <c r="H69" s="123"/>
      <c r="I69" s="123"/>
      <c r="J69" s="123"/>
      <c r="K69" s="123"/>
      <c r="L69" s="123"/>
      <c r="M69" s="123"/>
      <c r="N69" s="123"/>
      <c r="O69" s="123"/>
      <c r="P69" s="470"/>
      <c r="Q69" s="472"/>
      <c r="R69" s="472"/>
      <c r="S69" s="473"/>
      <c r="T69" s="471"/>
      <c r="U69" s="466" t="str">
        <f t="shared" si="3"/>
        <v>0001</v>
      </c>
      <c r="V69" s="462" t="str">
        <f t="shared" si="2"/>
        <v>0001</v>
      </c>
    </row>
    <row r="70" spans="1:22">
      <c r="A70" s="123"/>
      <c r="B70" s="403"/>
      <c r="C70" s="403"/>
      <c r="D70" s="123"/>
      <c r="E70" s="123"/>
      <c r="F70" s="124"/>
      <c r="G70" s="123"/>
      <c r="H70" s="123"/>
      <c r="I70" s="123"/>
      <c r="J70" s="123"/>
      <c r="K70" s="123"/>
      <c r="L70" s="123"/>
      <c r="M70" s="123"/>
      <c r="N70" s="123"/>
      <c r="O70" s="123"/>
      <c r="P70" s="470"/>
      <c r="Q70" s="472"/>
      <c r="R70" s="472"/>
      <c r="S70" s="473"/>
      <c r="T70" s="471"/>
      <c r="U70" s="466" t="str">
        <f t="shared" si="3"/>
        <v>0001</v>
      </c>
      <c r="V70" s="462" t="str">
        <f t="shared" si="2"/>
        <v>0001</v>
      </c>
    </row>
    <row r="71" spans="1:22">
      <c r="A71" s="123"/>
      <c r="B71" s="403"/>
      <c r="C71" s="404"/>
      <c r="D71" s="124"/>
      <c r="E71" s="123"/>
      <c r="F71" s="124"/>
      <c r="G71" s="124"/>
      <c r="H71" s="123"/>
      <c r="I71" s="123"/>
      <c r="J71" s="123"/>
      <c r="K71" s="123"/>
      <c r="L71" s="123"/>
      <c r="M71" s="123"/>
      <c r="N71" s="123"/>
      <c r="O71" s="123"/>
      <c r="P71" s="470"/>
      <c r="Q71" s="472"/>
      <c r="R71" s="472"/>
      <c r="S71" s="473"/>
      <c r="T71" s="471"/>
      <c r="U71" s="466" t="str">
        <f t="shared" si="3"/>
        <v>0001</v>
      </c>
      <c r="V71" s="462" t="str">
        <f t="shared" si="2"/>
        <v>0001</v>
      </c>
    </row>
    <row r="72" spans="1:22">
      <c r="A72" s="123"/>
      <c r="B72" s="403"/>
      <c r="C72" s="404"/>
      <c r="D72" s="124"/>
      <c r="E72" s="123"/>
      <c r="F72" s="124"/>
      <c r="G72" s="124"/>
      <c r="H72" s="123"/>
      <c r="I72" s="123"/>
      <c r="J72" s="123"/>
      <c r="K72" s="123"/>
      <c r="L72" s="123"/>
      <c r="M72" s="123"/>
      <c r="N72" s="123"/>
      <c r="O72" s="123"/>
      <c r="P72" s="470"/>
      <c r="Q72" s="472"/>
      <c r="R72" s="472"/>
      <c r="S72" s="473"/>
      <c r="T72" s="471"/>
      <c r="U72" s="466" t="str">
        <f t="shared" si="3"/>
        <v>0001</v>
      </c>
      <c r="V72" s="462" t="str">
        <f t="shared" si="2"/>
        <v>0001</v>
      </c>
    </row>
    <row r="73" spans="1:22">
      <c r="A73" s="123"/>
      <c r="B73" s="403"/>
      <c r="C73" s="404"/>
      <c r="D73" s="124"/>
      <c r="E73" s="123"/>
      <c r="F73" s="124"/>
      <c r="G73" s="124"/>
      <c r="H73" s="123"/>
      <c r="I73" s="123"/>
      <c r="J73" s="123"/>
      <c r="K73" s="123"/>
      <c r="L73" s="123"/>
      <c r="M73" s="123"/>
      <c r="N73" s="123"/>
      <c r="O73" s="123"/>
      <c r="P73" s="470"/>
      <c r="Q73" s="472"/>
      <c r="R73" s="472"/>
      <c r="S73" s="473"/>
      <c r="T73" s="471"/>
      <c r="U73" s="466" t="str">
        <f t="shared" si="3"/>
        <v>0001</v>
      </c>
      <c r="V73" s="462" t="str">
        <f t="shared" si="2"/>
        <v>0001</v>
      </c>
    </row>
    <row r="74" spans="1:22">
      <c r="A74" s="123"/>
      <c r="B74" s="403"/>
      <c r="C74" s="404"/>
      <c r="D74" s="124"/>
      <c r="E74" s="123"/>
      <c r="F74" s="124"/>
      <c r="G74" s="124"/>
      <c r="H74" s="123"/>
      <c r="I74" s="123"/>
      <c r="J74" s="123"/>
      <c r="K74" s="123"/>
      <c r="L74" s="123"/>
      <c r="M74" s="123"/>
      <c r="N74" s="123"/>
      <c r="O74" s="123"/>
      <c r="P74" s="470"/>
      <c r="Q74" s="472"/>
      <c r="R74" s="472"/>
      <c r="S74" s="473"/>
      <c r="T74" s="471"/>
      <c r="U74" s="466" t="str">
        <f t="shared" si="3"/>
        <v>0001</v>
      </c>
      <c r="V74" s="462" t="str">
        <f t="shared" si="2"/>
        <v>0001</v>
      </c>
    </row>
    <row r="75" spans="1:22">
      <c r="A75" s="123"/>
      <c r="B75" s="403"/>
      <c r="C75" s="404"/>
      <c r="D75" s="124"/>
      <c r="E75" s="123"/>
      <c r="F75" s="124"/>
      <c r="G75" s="124"/>
      <c r="H75" s="123"/>
      <c r="I75" s="123"/>
      <c r="J75" s="123"/>
      <c r="K75" s="123"/>
      <c r="L75" s="123"/>
      <c r="M75" s="123"/>
      <c r="N75" s="123"/>
      <c r="O75" s="123"/>
      <c r="P75" s="470"/>
      <c r="Q75" s="472"/>
      <c r="R75" s="472"/>
      <c r="S75" s="473"/>
      <c r="T75" s="471"/>
      <c r="U75" s="466" t="str">
        <f t="shared" si="3"/>
        <v>0001</v>
      </c>
      <c r="V75" s="462" t="str">
        <f t="shared" si="2"/>
        <v>0001</v>
      </c>
    </row>
    <row r="76" spans="1:22">
      <c r="A76" s="123"/>
      <c r="B76" s="403"/>
      <c r="C76" s="404"/>
      <c r="D76" s="124"/>
      <c r="E76" s="123"/>
      <c r="F76" s="124"/>
      <c r="G76" s="124"/>
      <c r="H76" s="123"/>
      <c r="I76" s="123"/>
      <c r="J76" s="123"/>
      <c r="K76" s="123"/>
      <c r="L76" s="123"/>
      <c r="M76" s="123"/>
      <c r="N76" s="123"/>
      <c r="O76" s="123"/>
      <c r="P76" s="470"/>
      <c r="Q76" s="472"/>
      <c r="R76" s="472"/>
      <c r="S76" s="473"/>
      <c r="T76" s="471"/>
      <c r="U76" s="466" t="str">
        <f t="shared" si="3"/>
        <v>0001</v>
      </c>
      <c r="V76" s="462" t="str">
        <f t="shared" si="2"/>
        <v>0001</v>
      </c>
    </row>
    <row r="77" spans="1:22">
      <c r="A77" s="123"/>
      <c r="B77" s="403"/>
      <c r="C77" s="404"/>
      <c r="D77" s="124"/>
      <c r="E77" s="123"/>
      <c r="F77" s="124"/>
      <c r="G77" s="124"/>
      <c r="H77" s="123"/>
      <c r="I77" s="123"/>
      <c r="J77" s="123"/>
      <c r="K77" s="123"/>
      <c r="L77" s="123"/>
      <c r="M77" s="123"/>
      <c r="N77" s="123"/>
      <c r="O77" s="123"/>
      <c r="P77" s="470"/>
      <c r="Q77" s="472"/>
      <c r="R77" s="472"/>
      <c r="S77" s="473"/>
      <c r="T77" s="471"/>
      <c r="U77" s="466" t="str">
        <f t="shared" si="3"/>
        <v>0001</v>
      </c>
      <c r="V77" s="462" t="str">
        <f t="shared" si="2"/>
        <v>0001</v>
      </c>
    </row>
    <row r="78" spans="1:22">
      <c r="A78" s="123"/>
      <c r="B78" s="403"/>
      <c r="C78" s="404"/>
      <c r="D78" s="124"/>
      <c r="E78" s="123"/>
      <c r="F78" s="124"/>
      <c r="G78" s="124"/>
      <c r="H78" s="123"/>
      <c r="I78" s="123"/>
      <c r="J78" s="123"/>
      <c r="K78" s="123"/>
      <c r="L78" s="123"/>
      <c r="M78" s="123"/>
      <c r="N78" s="123"/>
      <c r="O78" s="123"/>
      <c r="P78" s="470"/>
      <c r="Q78" s="472"/>
      <c r="R78" s="472"/>
      <c r="S78" s="473"/>
      <c r="T78" s="471"/>
      <c r="U78" s="466" t="str">
        <f t="shared" si="3"/>
        <v>0001</v>
      </c>
      <c r="V78" s="462" t="str">
        <f t="shared" si="2"/>
        <v>0001</v>
      </c>
    </row>
    <row r="79" spans="1:22">
      <c r="A79" s="123"/>
      <c r="B79" s="403"/>
      <c r="C79" s="404"/>
      <c r="D79" s="124"/>
      <c r="E79" s="123"/>
      <c r="F79" s="124"/>
      <c r="G79" s="124"/>
      <c r="H79" s="123"/>
      <c r="I79" s="123"/>
      <c r="J79" s="123"/>
      <c r="K79" s="123"/>
      <c r="L79" s="123"/>
      <c r="M79" s="123"/>
      <c r="N79" s="123"/>
      <c r="O79" s="123"/>
      <c r="P79" s="470"/>
      <c r="Q79" s="472"/>
      <c r="R79" s="472"/>
      <c r="S79" s="473"/>
      <c r="T79" s="471"/>
      <c r="U79" s="466" t="str">
        <f t="shared" si="3"/>
        <v>0001</v>
      </c>
      <c r="V79" s="462" t="str">
        <f t="shared" si="2"/>
        <v>0001</v>
      </c>
    </row>
    <row r="80" spans="1:22">
      <c r="A80" s="123"/>
      <c r="B80" s="403"/>
      <c r="C80" s="406"/>
      <c r="D80" s="126"/>
      <c r="E80" s="123"/>
      <c r="F80" s="124"/>
      <c r="G80" s="123"/>
      <c r="H80" s="123"/>
      <c r="I80" s="123"/>
      <c r="J80" s="123"/>
      <c r="K80" s="123"/>
      <c r="L80" s="123"/>
      <c r="M80" s="123"/>
      <c r="N80" s="123"/>
      <c r="O80" s="123"/>
      <c r="P80" s="470"/>
      <c r="Q80" s="474"/>
      <c r="R80" s="474"/>
      <c r="S80" s="474"/>
      <c r="T80" s="474"/>
      <c r="U80" s="466" t="str">
        <f t="shared" si="3"/>
        <v>0001</v>
      </c>
      <c r="V80" s="462" t="str">
        <f t="shared" si="2"/>
        <v>0001</v>
      </c>
    </row>
    <row r="81" spans="1:22">
      <c r="A81" s="123"/>
      <c r="B81" s="403"/>
      <c r="C81" s="406"/>
      <c r="D81" s="126"/>
      <c r="E81" s="123"/>
      <c r="F81" s="124"/>
      <c r="G81" s="123"/>
      <c r="H81" s="123"/>
      <c r="I81" s="123"/>
      <c r="J81" s="123"/>
      <c r="K81" s="123"/>
      <c r="L81" s="123"/>
      <c r="M81" s="123"/>
      <c r="N81" s="123"/>
      <c r="O81" s="123"/>
      <c r="P81" s="470"/>
      <c r="Q81" s="474"/>
      <c r="R81" s="474"/>
      <c r="S81" s="474"/>
      <c r="T81" s="474"/>
      <c r="U81" s="466" t="str">
        <f t="shared" si="3"/>
        <v>0001</v>
      </c>
      <c r="V81" s="462" t="str">
        <f t="shared" si="2"/>
        <v>0001</v>
      </c>
    </row>
    <row r="82" spans="1:22">
      <c r="A82" s="123"/>
      <c r="B82" s="403"/>
      <c r="C82" s="404"/>
      <c r="D82" s="124"/>
      <c r="E82" s="123"/>
      <c r="F82" s="124"/>
      <c r="G82" s="124"/>
      <c r="H82" s="123"/>
      <c r="I82" s="123"/>
      <c r="J82" s="123"/>
      <c r="K82" s="123"/>
      <c r="L82" s="123"/>
      <c r="M82" s="123"/>
      <c r="N82" s="123"/>
      <c r="O82" s="123"/>
      <c r="P82" s="470"/>
      <c r="Q82" s="474"/>
      <c r="R82" s="474"/>
      <c r="S82" s="474"/>
      <c r="T82" s="474"/>
      <c r="U82" s="466" t="str">
        <f t="shared" si="3"/>
        <v>0001</v>
      </c>
      <c r="V82" s="462" t="str">
        <f t="shared" si="2"/>
        <v>0001</v>
      </c>
    </row>
    <row r="83" spans="1:22">
      <c r="A83" s="123"/>
      <c r="B83" s="403"/>
      <c r="C83" s="404"/>
      <c r="D83" s="124"/>
      <c r="E83" s="123"/>
      <c r="F83" s="124"/>
      <c r="G83" s="124"/>
      <c r="H83" s="123"/>
      <c r="I83" s="123"/>
      <c r="J83" s="123"/>
      <c r="K83" s="123"/>
      <c r="L83" s="123"/>
      <c r="M83" s="123"/>
      <c r="N83" s="123"/>
      <c r="O83" s="123"/>
      <c r="P83" s="470"/>
      <c r="Q83" s="474"/>
      <c r="R83" s="474"/>
      <c r="S83" s="474"/>
      <c r="T83" s="474"/>
      <c r="U83" s="466" t="str">
        <f t="shared" si="3"/>
        <v>0001</v>
      </c>
      <c r="V83" s="462" t="str">
        <f t="shared" si="2"/>
        <v>0001</v>
      </c>
    </row>
    <row r="84" spans="1:22">
      <c r="A84" s="123"/>
      <c r="B84" s="403"/>
      <c r="C84" s="404"/>
      <c r="D84" s="124"/>
      <c r="E84" s="123"/>
      <c r="F84" s="124"/>
      <c r="G84" s="124"/>
      <c r="H84" s="123"/>
      <c r="I84" s="123"/>
      <c r="J84" s="123"/>
      <c r="K84" s="123"/>
      <c r="L84" s="123"/>
      <c r="M84" s="123"/>
      <c r="N84" s="123"/>
      <c r="O84" s="123"/>
      <c r="P84" s="470"/>
      <c r="Q84" s="474"/>
      <c r="R84" s="474"/>
      <c r="S84" s="474"/>
      <c r="T84" s="474"/>
      <c r="U84" s="466" t="str">
        <f t="shared" si="3"/>
        <v>0001</v>
      </c>
      <c r="V84" s="462" t="str">
        <f t="shared" si="2"/>
        <v>0001</v>
      </c>
    </row>
    <row r="85" spans="1:22">
      <c r="A85" s="123"/>
      <c r="B85" s="403"/>
      <c r="C85" s="404"/>
      <c r="D85" s="124"/>
      <c r="E85" s="123"/>
      <c r="F85" s="124"/>
      <c r="G85" s="124"/>
      <c r="H85" s="123"/>
      <c r="I85" s="123"/>
      <c r="J85" s="123"/>
      <c r="K85" s="123"/>
      <c r="L85" s="123"/>
      <c r="M85" s="123"/>
      <c r="N85" s="123"/>
      <c r="O85" s="123"/>
      <c r="P85" s="470"/>
      <c r="Q85" s="474"/>
      <c r="R85" s="474"/>
      <c r="S85" s="474"/>
      <c r="T85" s="474"/>
      <c r="U85" s="466" t="str">
        <f t="shared" si="3"/>
        <v>0001</v>
      </c>
      <c r="V85" s="462" t="str">
        <f t="shared" si="2"/>
        <v>0001</v>
      </c>
    </row>
    <row r="86" spans="1:22">
      <c r="A86" s="123"/>
      <c r="B86" s="403"/>
      <c r="C86" s="406"/>
      <c r="D86" s="126"/>
      <c r="E86" s="123"/>
      <c r="F86" s="124"/>
      <c r="G86" s="123"/>
      <c r="H86" s="123"/>
      <c r="I86" s="123"/>
      <c r="J86" s="123"/>
      <c r="K86" s="123"/>
      <c r="L86" s="123"/>
      <c r="M86" s="123"/>
      <c r="N86" s="123"/>
      <c r="O86" s="123"/>
      <c r="P86" s="470"/>
      <c r="Q86" s="474"/>
      <c r="R86" s="474"/>
      <c r="S86" s="474"/>
      <c r="T86" s="474"/>
      <c r="U86" s="466" t="str">
        <f t="shared" si="3"/>
        <v>0001</v>
      </c>
      <c r="V86" s="462" t="str">
        <f t="shared" si="2"/>
        <v>0001</v>
      </c>
    </row>
    <row r="87" spans="1:22">
      <c r="A87" s="123"/>
      <c r="B87" s="403"/>
      <c r="C87" s="406"/>
      <c r="D87" s="126"/>
      <c r="E87" s="123"/>
      <c r="F87" s="124"/>
      <c r="G87" s="123"/>
      <c r="H87" s="123"/>
      <c r="I87" s="123"/>
      <c r="J87" s="123"/>
      <c r="K87" s="123"/>
      <c r="L87" s="123"/>
      <c r="M87" s="123"/>
      <c r="N87" s="123"/>
      <c r="O87" s="123"/>
      <c r="P87" s="470"/>
      <c r="Q87" s="474"/>
      <c r="R87" s="474"/>
      <c r="S87" s="474"/>
      <c r="T87" s="474"/>
      <c r="U87" s="466" t="str">
        <f t="shared" si="3"/>
        <v>0001</v>
      </c>
      <c r="V87" s="462" t="str">
        <f t="shared" si="2"/>
        <v>0001</v>
      </c>
    </row>
    <row r="88" spans="1:22">
      <c r="A88" s="123"/>
      <c r="B88" s="403"/>
      <c r="C88" s="406"/>
      <c r="D88" s="126"/>
      <c r="E88" s="123"/>
      <c r="F88" s="124"/>
      <c r="G88" s="123"/>
      <c r="H88" s="123"/>
      <c r="I88" s="123"/>
      <c r="J88" s="123"/>
      <c r="K88" s="123"/>
      <c r="L88" s="123"/>
      <c r="M88" s="123"/>
      <c r="N88" s="123"/>
      <c r="O88" s="123"/>
      <c r="P88" s="470"/>
      <c r="Q88" s="474"/>
      <c r="R88" s="474"/>
      <c r="S88" s="474"/>
      <c r="T88" s="474"/>
      <c r="U88" s="466" t="str">
        <f t="shared" si="3"/>
        <v>0001</v>
      </c>
      <c r="V88" s="462" t="str">
        <f t="shared" si="2"/>
        <v>0001</v>
      </c>
    </row>
    <row r="89" spans="1:22">
      <c r="A89" s="123"/>
      <c r="B89" s="403"/>
      <c r="C89" s="403"/>
      <c r="D89" s="123"/>
      <c r="E89" s="123"/>
      <c r="F89" s="124"/>
      <c r="G89" s="123"/>
      <c r="H89" s="123"/>
      <c r="I89" s="123"/>
      <c r="J89" s="123"/>
      <c r="K89" s="123"/>
      <c r="L89" s="123"/>
      <c r="M89" s="123"/>
      <c r="N89" s="123"/>
      <c r="O89" s="123"/>
      <c r="P89" s="470"/>
      <c r="Q89" s="474"/>
      <c r="R89" s="474"/>
      <c r="S89" s="474"/>
      <c r="T89" s="474"/>
      <c r="U89" s="466" t="str">
        <f t="shared" si="3"/>
        <v>0001</v>
      </c>
      <c r="V89" s="462" t="str">
        <f t="shared" si="2"/>
        <v>0001</v>
      </c>
    </row>
    <row r="90" spans="1:22">
      <c r="A90" s="123"/>
      <c r="B90" s="403"/>
      <c r="C90" s="40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470"/>
      <c r="Q90" s="472"/>
      <c r="R90" s="472"/>
      <c r="S90" s="473"/>
      <c r="T90" s="471"/>
      <c r="U90" s="466" t="str">
        <f t="shared" si="3"/>
        <v>0001</v>
      </c>
      <c r="V90" s="462" t="str">
        <f t="shared" si="2"/>
        <v>0001</v>
      </c>
    </row>
    <row r="91" spans="1:22">
      <c r="U91" s="466" t="str">
        <f t="shared" si="3"/>
        <v>0001</v>
      </c>
      <c r="V91" s="462" t="str">
        <f t="shared" si="2"/>
        <v>0001</v>
      </c>
    </row>
    <row r="92" spans="1:22">
      <c r="U92" s="466" t="str">
        <f t="shared" si="3"/>
        <v>0001</v>
      </c>
      <c r="V92" s="462" t="str">
        <f t="shared" si="2"/>
        <v>0001</v>
      </c>
    </row>
    <row r="93" spans="1:22">
      <c r="U93" s="466" t="str">
        <f t="shared" si="3"/>
        <v>0001</v>
      </c>
      <c r="V93" s="462" t="str">
        <f t="shared" si="2"/>
        <v>0001</v>
      </c>
    </row>
    <row r="94" spans="1:22">
      <c r="U94" s="466" t="str">
        <f t="shared" si="3"/>
        <v>0001</v>
      </c>
      <c r="V94" s="462" t="str">
        <f t="shared" si="2"/>
        <v>0001</v>
      </c>
    </row>
    <row r="95" spans="1:22">
      <c r="U95" s="466" t="str">
        <f t="shared" si="3"/>
        <v>0001</v>
      </c>
      <c r="V95" s="462" t="str">
        <f t="shared" si="2"/>
        <v>0001</v>
      </c>
    </row>
    <row r="96" spans="1:22">
      <c r="U96" s="466" t="str">
        <f t="shared" si="3"/>
        <v>0001</v>
      </c>
      <c r="V96" s="462" t="str">
        <f t="shared" si="2"/>
        <v>0001</v>
      </c>
    </row>
    <row r="97" spans="21:22">
      <c r="U97" s="466" t="str">
        <f t="shared" si="3"/>
        <v>0001</v>
      </c>
      <c r="V97" s="462" t="str">
        <f t="shared" si="2"/>
        <v>0001</v>
      </c>
    </row>
    <row r="98" spans="21:22">
      <c r="U98" s="466" t="str">
        <f t="shared" si="3"/>
        <v>0001</v>
      </c>
      <c r="V98" s="462" t="str">
        <f t="shared" si="2"/>
        <v>0001</v>
      </c>
    </row>
    <row r="99" spans="21:22">
      <c r="U99" s="466" t="str">
        <f t="shared" si="3"/>
        <v>0001</v>
      </c>
      <c r="V99" s="462" t="str">
        <f t="shared" si="2"/>
        <v>0001</v>
      </c>
    </row>
    <row r="100" spans="21:22">
      <c r="U100" s="466" t="str">
        <f t="shared" si="3"/>
        <v>0001</v>
      </c>
      <c r="V100" s="462" t="str">
        <f t="shared" si="2"/>
        <v>0001</v>
      </c>
    </row>
    <row r="101" spans="21:22">
      <c r="U101" s="466" t="str">
        <f t="shared" si="3"/>
        <v>0001</v>
      </c>
      <c r="V101" s="462" t="str">
        <f t="shared" si="2"/>
        <v>0001</v>
      </c>
    </row>
    <row r="102" spans="21:22">
      <c r="U102" s="466" t="str">
        <f t="shared" si="3"/>
        <v>0001</v>
      </c>
      <c r="V102" s="462" t="str">
        <f t="shared" si="2"/>
        <v>0001</v>
      </c>
    </row>
    <row r="103" spans="21:22">
      <c r="U103" s="466" t="str">
        <f t="shared" si="3"/>
        <v>0001</v>
      </c>
      <c r="V103" s="462" t="str">
        <f t="shared" si="2"/>
        <v>0001</v>
      </c>
    </row>
    <row r="104" spans="21:22">
      <c r="U104" s="466" t="str">
        <f t="shared" si="3"/>
        <v>0001</v>
      </c>
      <c r="V104" s="462" t="str">
        <f t="shared" si="2"/>
        <v>0001</v>
      </c>
    </row>
    <row r="105" spans="21:22">
      <c r="U105" s="466" t="str">
        <f t="shared" si="3"/>
        <v>0001</v>
      </c>
      <c r="V105" s="462" t="str">
        <f t="shared" si="2"/>
        <v>0001</v>
      </c>
    </row>
    <row r="106" spans="21:22">
      <c r="U106" s="466" t="str">
        <f t="shared" si="3"/>
        <v>0001</v>
      </c>
      <c r="V106" s="462" t="str">
        <f t="shared" si="2"/>
        <v>0001</v>
      </c>
    </row>
    <row r="107" spans="21:22">
      <c r="U107" s="466" t="str">
        <f t="shared" si="3"/>
        <v>0001</v>
      </c>
      <c r="V107" s="462" t="str">
        <f t="shared" si="2"/>
        <v>0001</v>
      </c>
    </row>
    <row r="108" spans="21:22">
      <c r="U108" s="466" t="str">
        <f t="shared" si="3"/>
        <v>0001</v>
      </c>
      <c r="V108" s="462" t="str">
        <f t="shared" si="2"/>
        <v>0001</v>
      </c>
    </row>
    <row r="109" spans="21:22">
      <c r="U109" s="466" t="str">
        <f t="shared" si="3"/>
        <v>0001</v>
      </c>
      <c r="V109" s="462" t="str">
        <f t="shared" si="2"/>
        <v>0001</v>
      </c>
    </row>
    <row r="110" spans="21:22">
      <c r="U110" s="466" t="str">
        <f t="shared" si="3"/>
        <v>0001</v>
      </c>
      <c r="V110" s="462" t="str">
        <f t="shared" si="2"/>
        <v>0001</v>
      </c>
    </row>
    <row r="111" spans="21:22">
      <c r="U111" s="466" t="str">
        <f t="shared" si="3"/>
        <v>0001</v>
      </c>
      <c r="V111" s="462" t="str">
        <f t="shared" si="2"/>
        <v>0001</v>
      </c>
    </row>
    <row r="112" spans="21:22">
      <c r="U112" s="466" t="str">
        <f t="shared" si="3"/>
        <v>0001</v>
      </c>
      <c r="V112" s="462" t="str">
        <f t="shared" si="2"/>
        <v>0001</v>
      </c>
    </row>
    <row r="113" spans="21:22">
      <c r="U113" s="466" t="str">
        <f t="shared" si="3"/>
        <v>0001</v>
      </c>
      <c r="V113" s="462" t="str">
        <f t="shared" si="2"/>
        <v>0001</v>
      </c>
    </row>
    <row r="114" spans="21:22">
      <c r="U114" s="466" t="str">
        <f t="shared" si="3"/>
        <v>0001</v>
      </c>
      <c r="V114" s="462" t="str">
        <f t="shared" si="2"/>
        <v>0001</v>
      </c>
    </row>
    <row r="115" spans="21:22">
      <c r="U115" s="466" t="str">
        <f t="shared" si="3"/>
        <v>0001</v>
      </c>
      <c r="V115" s="462" t="str">
        <f t="shared" si="2"/>
        <v>0001</v>
      </c>
    </row>
    <row r="116" spans="21:22">
      <c r="U116" s="466" t="str">
        <f t="shared" si="3"/>
        <v>0001</v>
      </c>
      <c r="V116" s="462" t="str">
        <f t="shared" si="2"/>
        <v>0001</v>
      </c>
    </row>
    <row r="117" spans="21:22">
      <c r="U117" s="466" t="str">
        <f t="shared" si="3"/>
        <v>0001</v>
      </c>
      <c r="V117" s="462" t="str">
        <f t="shared" si="2"/>
        <v>0001</v>
      </c>
    </row>
    <row r="118" spans="21:22">
      <c r="U118" s="466" t="str">
        <f t="shared" si="3"/>
        <v>0001</v>
      </c>
      <c r="V118" s="462" t="str">
        <f t="shared" si="2"/>
        <v>0001</v>
      </c>
    </row>
    <row r="119" spans="21:22">
      <c r="U119" s="466" t="str">
        <f t="shared" si="3"/>
        <v>0001</v>
      </c>
      <c r="V119" s="462" t="str">
        <f t="shared" si="2"/>
        <v>0001</v>
      </c>
    </row>
    <row r="120" spans="21:22">
      <c r="U120" s="466" t="str">
        <f t="shared" si="3"/>
        <v>0001</v>
      </c>
      <c r="V120" s="462" t="str">
        <f t="shared" si="2"/>
        <v>0001</v>
      </c>
    </row>
    <row r="121" spans="21:22">
      <c r="U121" s="466" t="str">
        <f t="shared" si="3"/>
        <v>0001</v>
      </c>
      <c r="V121" s="462" t="str">
        <f t="shared" si="2"/>
        <v>0001</v>
      </c>
    </row>
    <row r="122" spans="21:22">
      <c r="U122" s="466" t="str">
        <f t="shared" si="3"/>
        <v>0001</v>
      </c>
      <c r="V122" s="462" t="str">
        <f t="shared" si="2"/>
        <v>0001</v>
      </c>
    </row>
    <row r="123" spans="21:22">
      <c r="U123" s="466" t="str">
        <f t="shared" si="3"/>
        <v>0001</v>
      </c>
      <c r="V123" s="462" t="str">
        <f t="shared" si="2"/>
        <v>0001</v>
      </c>
    </row>
    <row r="124" spans="21:22">
      <c r="U124" s="466" t="str">
        <f t="shared" si="3"/>
        <v>0001</v>
      </c>
      <c r="V124" s="462" t="str">
        <f t="shared" si="2"/>
        <v>0001</v>
      </c>
    </row>
    <row r="125" spans="21:22">
      <c r="U125" s="466" t="str">
        <f t="shared" si="3"/>
        <v>0001</v>
      </c>
      <c r="V125" s="462" t="str">
        <f t="shared" si="2"/>
        <v>0001</v>
      </c>
    </row>
    <row r="126" spans="21:22">
      <c r="U126" s="466" t="str">
        <f t="shared" si="3"/>
        <v>0001</v>
      </c>
      <c r="V126" s="462" t="str">
        <f t="shared" si="2"/>
        <v>0001</v>
      </c>
    </row>
    <row r="127" spans="21:22">
      <c r="U127" s="466" t="str">
        <f t="shared" si="3"/>
        <v>0001</v>
      </c>
      <c r="V127" s="462" t="str">
        <f t="shared" si="2"/>
        <v>0001</v>
      </c>
    </row>
    <row r="128" spans="21:22">
      <c r="U128" s="466" t="str">
        <f t="shared" si="3"/>
        <v>0001</v>
      </c>
      <c r="V128" s="462" t="str">
        <f t="shared" si="2"/>
        <v>0001</v>
      </c>
    </row>
    <row r="129" spans="21:22">
      <c r="U129" s="466" t="str">
        <f t="shared" si="3"/>
        <v>0001</v>
      </c>
      <c r="V129" s="462" t="str">
        <f t="shared" si="2"/>
        <v>0001</v>
      </c>
    </row>
    <row r="130" spans="21:22">
      <c r="U130" s="466" t="str">
        <f t="shared" si="3"/>
        <v>0001</v>
      </c>
      <c r="V130" s="462" t="str">
        <f t="shared" ref="V130:V193" si="4">TEXT(T130,"YYMM")</f>
        <v>0001</v>
      </c>
    </row>
    <row r="131" spans="21:22">
      <c r="U131" s="466" t="str">
        <f t="shared" ref="U131:U194" si="5">TEXT(Q131,"YYMM")</f>
        <v>0001</v>
      </c>
      <c r="V131" s="462" t="str">
        <f t="shared" si="4"/>
        <v>0001</v>
      </c>
    </row>
    <row r="132" spans="21:22">
      <c r="U132" s="466" t="str">
        <f t="shared" si="5"/>
        <v>0001</v>
      </c>
      <c r="V132" s="462" t="str">
        <f t="shared" si="4"/>
        <v>0001</v>
      </c>
    </row>
    <row r="133" spans="21:22">
      <c r="U133" s="466" t="str">
        <f t="shared" si="5"/>
        <v>0001</v>
      </c>
      <c r="V133" s="462" t="str">
        <f t="shared" si="4"/>
        <v>0001</v>
      </c>
    </row>
    <row r="134" spans="21:22">
      <c r="U134" s="466" t="str">
        <f t="shared" si="5"/>
        <v>0001</v>
      </c>
      <c r="V134" s="462" t="str">
        <f t="shared" si="4"/>
        <v>0001</v>
      </c>
    </row>
    <row r="135" spans="21:22">
      <c r="U135" s="466" t="str">
        <f t="shared" si="5"/>
        <v>0001</v>
      </c>
      <c r="V135" s="462" t="str">
        <f t="shared" si="4"/>
        <v>0001</v>
      </c>
    </row>
    <row r="136" spans="21:22">
      <c r="U136" s="466" t="str">
        <f t="shared" si="5"/>
        <v>0001</v>
      </c>
      <c r="V136" s="462" t="str">
        <f t="shared" si="4"/>
        <v>0001</v>
      </c>
    </row>
    <row r="137" spans="21:22">
      <c r="U137" s="466" t="str">
        <f t="shared" si="5"/>
        <v>0001</v>
      </c>
      <c r="V137" s="462" t="str">
        <f t="shared" si="4"/>
        <v>0001</v>
      </c>
    </row>
    <row r="138" spans="21:22">
      <c r="U138" s="466" t="str">
        <f t="shared" si="5"/>
        <v>0001</v>
      </c>
      <c r="V138" s="462" t="str">
        <f t="shared" si="4"/>
        <v>0001</v>
      </c>
    </row>
    <row r="139" spans="21:22">
      <c r="U139" s="466" t="str">
        <f t="shared" si="5"/>
        <v>0001</v>
      </c>
      <c r="V139" s="462" t="str">
        <f t="shared" si="4"/>
        <v>0001</v>
      </c>
    </row>
    <row r="140" spans="21:22">
      <c r="U140" s="466" t="str">
        <f t="shared" si="5"/>
        <v>0001</v>
      </c>
      <c r="V140" s="462" t="str">
        <f t="shared" si="4"/>
        <v>0001</v>
      </c>
    </row>
    <row r="141" spans="21:22">
      <c r="U141" s="466" t="str">
        <f t="shared" si="5"/>
        <v>0001</v>
      </c>
      <c r="V141" s="462" t="str">
        <f t="shared" si="4"/>
        <v>0001</v>
      </c>
    </row>
    <row r="142" spans="21:22">
      <c r="U142" s="466" t="str">
        <f t="shared" si="5"/>
        <v>0001</v>
      </c>
      <c r="V142" s="462" t="str">
        <f t="shared" si="4"/>
        <v>0001</v>
      </c>
    </row>
    <row r="143" spans="21:22">
      <c r="U143" s="466" t="str">
        <f t="shared" si="5"/>
        <v>0001</v>
      </c>
      <c r="V143" s="462" t="str">
        <f t="shared" si="4"/>
        <v>0001</v>
      </c>
    </row>
    <row r="144" spans="21:22">
      <c r="U144" s="466" t="str">
        <f t="shared" si="5"/>
        <v>0001</v>
      </c>
      <c r="V144" s="462" t="str">
        <f t="shared" si="4"/>
        <v>0001</v>
      </c>
    </row>
    <row r="145" spans="21:22">
      <c r="U145" s="466" t="str">
        <f t="shared" si="5"/>
        <v>0001</v>
      </c>
      <c r="V145" s="462" t="str">
        <f t="shared" si="4"/>
        <v>0001</v>
      </c>
    </row>
    <row r="146" spans="21:22">
      <c r="U146" s="466" t="str">
        <f t="shared" si="5"/>
        <v>0001</v>
      </c>
      <c r="V146" s="462" t="str">
        <f t="shared" si="4"/>
        <v>0001</v>
      </c>
    </row>
    <row r="147" spans="21:22">
      <c r="U147" s="466" t="str">
        <f t="shared" si="5"/>
        <v>0001</v>
      </c>
      <c r="V147" s="462" t="str">
        <f t="shared" si="4"/>
        <v>0001</v>
      </c>
    </row>
    <row r="148" spans="21:22">
      <c r="U148" s="466" t="str">
        <f t="shared" si="5"/>
        <v>0001</v>
      </c>
      <c r="V148" s="462" t="str">
        <f t="shared" si="4"/>
        <v>0001</v>
      </c>
    </row>
    <row r="149" spans="21:22">
      <c r="U149" s="466" t="str">
        <f t="shared" si="5"/>
        <v>0001</v>
      </c>
      <c r="V149" s="462" t="str">
        <f t="shared" si="4"/>
        <v>0001</v>
      </c>
    </row>
    <row r="150" spans="21:22">
      <c r="U150" s="466" t="str">
        <f t="shared" si="5"/>
        <v>0001</v>
      </c>
      <c r="V150" s="462" t="str">
        <f t="shared" si="4"/>
        <v>0001</v>
      </c>
    </row>
    <row r="151" spans="21:22">
      <c r="U151" s="466" t="str">
        <f t="shared" si="5"/>
        <v>0001</v>
      </c>
      <c r="V151" s="462" t="str">
        <f t="shared" si="4"/>
        <v>0001</v>
      </c>
    </row>
    <row r="152" spans="21:22">
      <c r="U152" s="466" t="str">
        <f t="shared" si="5"/>
        <v>0001</v>
      </c>
      <c r="V152" s="462" t="str">
        <f t="shared" si="4"/>
        <v>0001</v>
      </c>
    </row>
    <row r="153" spans="21:22">
      <c r="U153" s="466" t="str">
        <f t="shared" si="5"/>
        <v>0001</v>
      </c>
      <c r="V153" s="462" t="str">
        <f t="shared" si="4"/>
        <v>0001</v>
      </c>
    </row>
    <row r="154" spans="21:22">
      <c r="U154" s="466" t="str">
        <f t="shared" si="5"/>
        <v>0001</v>
      </c>
      <c r="V154" s="462" t="str">
        <f t="shared" si="4"/>
        <v>0001</v>
      </c>
    </row>
    <row r="155" spans="21:22">
      <c r="U155" s="466" t="str">
        <f t="shared" si="5"/>
        <v>0001</v>
      </c>
      <c r="V155" s="462" t="str">
        <f t="shared" si="4"/>
        <v>0001</v>
      </c>
    </row>
    <row r="156" spans="21:22">
      <c r="U156" s="466" t="str">
        <f t="shared" si="5"/>
        <v>0001</v>
      </c>
      <c r="V156" s="462" t="str">
        <f t="shared" si="4"/>
        <v>0001</v>
      </c>
    </row>
    <row r="157" spans="21:22">
      <c r="U157" s="466" t="str">
        <f t="shared" si="5"/>
        <v>0001</v>
      </c>
      <c r="V157" s="462" t="str">
        <f t="shared" si="4"/>
        <v>0001</v>
      </c>
    </row>
    <row r="158" spans="21:22">
      <c r="U158" s="466" t="str">
        <f t="shared" si="5"/>
        <v>0001</v>
      </c>
      <c r="V158" s="462" t="str">
        <f t="shared" si="4"/>
        <v>0001</v>
      </c>
    </row>
    <row r="159" spans="21:22">
      <c r="U159" s="466" t="str">
        <f t="shared" si="5"/>
        <v>0001</v>
      </c>
      <c r="V159" s="462" t="str">
        <f t="shared" si="4"/>
        <v>0001</v>
      </c>
    </row>
    <row r="160" spans="21:22">
      <c r="U160" s="466" t="str">
        <f t="shared" si="5"/>
        <v>0001</v>
      </c>
      <c r="V160" s="462" t="str">
        <f t="shared" si="4"/>
        <v>0001</v>
      </c>
    </row>
    <row r="161" spans="21:22">
      <c r="U161" s="466" t="str">
        <f t="shared" si="5"/>
        <v>0001</v>
      </c>
      <c r="V161" s="462" t="str">
        <f t="shared" si="4"/>
        <v>0001</v>
      </c>
    </row>
    <row r="162" spans="21:22">
      <c r="U162" s="466" t="str">
        <f t="shared" si="5"/>
        <v>0001</v>
      </c>
      <c r="V162" s="462" t="str">
        <f t="shared" si="4"/>
        <v>0001</v>
      </c>
    </row>
    <row r="163" spans="21:22">
      <c r="U163" s="466" t="str">
        <f t="shared" si="5"/>
        <v>0001</v>
      </c>
      <c r="V163" s="462" t="str">
        <f t="shared" si="4"/>
        <v>0001</v>
      </c>
    </row>
    <row r="164" spans="21:22">
      <c r="U164" s="466" t="str">
        <f t="shared" si="5"/>
        <v>0001</v>
      </c>
      <c r="V164" s="462" t="str">
        <f t="shared" si="4"/>
        <v>0001</v>
      </c>
    </row>
    <row r="165" spans="21:22">
      <c r="U165" s="466" t="str">
        <f t="shared" si="5"/>
        <v>0001</v>
      </c>
      <c r="V165" s="462" t="str">
        <f t="shared" si="4"/>
        <v>0001</v>
      </c>
    </row>
    <row r="166" spans="21:22">
      <c r="U166" s="466" t="str">
        <f t="shared" si="5"/>
        <v>0001</v>
      </c>
      <c r="V166" s="462" t="str">
        <f t="shared" si="4"/>
        <v>0001</v>
      </c>
    </row>
    <row r="167" spans="21:22">
      <c r="U167" s="466" t="str">
        <f t="shared" si="5"/>
        <v>0001</v>
      </c>
      <c r="V167" s="462" t="str">
        <f t="shared" si="4"/>
        <v>0001</v>
      </c>
    </row>
    <row r="168" spans="21:22">
      <c r="U168" s="466" t="str">
        <f t="shared" si="5"/>
        <v>0001</v>
      </c>
      <c r="V168" s="462" t="str">
        <f t="shared" si="4"/>
        <v>0001</v>
      </c>
    </row>
    <row r="169" spans="21:22">
      <c r="U169" s="466" t="str">
        <f t="shared" si="5"/>
        <v>0001</v>
      </c>
      <c r="V169" s="462" t="str">
        <f t="shared" si="4"/>
        <v>0001</v>
      </c>
    </row>
    <row r="170" spans="21:22">
      <c r="U170" s="466" t="str">
        <f t="shared" si="5"/>
        <v>0001</v>
      </c>
      <c r="V170" s="462" t="str">
        <f t="shared" si="4"/>
        <v>0001</v>
      </c>
    </row>
    <row r="171" spans="21:22">
      <c r="U171" s="466" t="str">
        <f t="shared" si="5"/>
        <v>0001</v>
      </c>
      <c r="V171" s="462" t="str">
        <f t="shared" si="4"/>
        <v>0001</v>
      </c>
    </row>
    <row r="172" spans="21:22">
      <c r="U172" s="466" t="str">
        <f t="shared" si="5"/>
        <v>0001</v>
      </c>
      <c r="V172" s="462" t="str">
        <f t="shared" si="4"/>
        <v>0001</v>
      </c>
    </row>
    <row r="173" spans="21:22">
      <c r="U173" s="466" t="str">
        <f t="shared" si="5"/>
        <v>0001</v>
      </c>
      <c r="V173" s="462" t="str">
        <f t="shared" si="4"/>
        <v>0001</v>
      </c>
    </row>
    <row r="174" spans="21:22">
      <c r="U174" s="466" t="str">
        <f t="shared" si="5"/>
        <v>0001</v>
      </c>
      <c r="V174" s="462" t="str">
        <f t="shared" si="4"/>
        <v>0001</v>
      </c>
    </row>
    <row r="175" spans="21:22">
      <c r="U175" s="466" t="str">
        <f t="shared" si="5"/>
        <v>0001</v>
      </c>
      <c r="V175" s="462" t="str">
        <f t="shared" si="4"/>
        <v>0001</v>
      </c>
    </row>
    <row r="176" spans="21:22">
      <c r="U176" s="466" t="str">
        <f t="shared" si="5"/>
        <v>0001</v>
      </c>
      <c r="V176" s="462" t="str">
        <f t="shared" si="4"/>
        <v>0001</v>
      </c>
    </row>
    <row r="177" spans="21:22">
      <c r="U177" s="466" t="str">
        <f t="shared" si="5"/>
        <v>0001</v>
      </c>
      <c r="V177" s="462" t="str">
        <f t="shared" si="4"/>
        <v>0001</v>
      </c>
    </row>
    <row r="178" spans="21:22">
      <c r="U178" s="466" t="str">
        <f t="shared" si="5"/>
        <v>0001</v>
      </c>
      <c r="V178" s="462" t="str">
        <f t="shared" si="4"/>
        <v>0001</v>
      </c>
    </row>
    <row r="179" spans="21:22">
      <c r="U179" s="466" t="str">
        <f t="shared" si="5"/>
        <v>0001</v>
      </c>
      <c r="V179" s="462" t="str">
        <f t="shared" si="4"/>
        <v>0001</v>
      </c>
    </row>
    <row r="180" spans="21:22">
      <c r="U180" s="466" t="str">
        <f t="shared" si="5"/>
        <v>0001</v>
      </c>
      <c r="V180" s="462" t="str">
        <f t="shared" si="4"/>
        <v>0001</v>
      </c>
    </row>
    <row r="181" spans="21:22">
      <c r="U181" s="466" t="str">
        <f t="shared" si="5"/>
        <v>0001</v>
      </c>
      <c r="V181" s="462" t="str">
        <f t="shared" si="4"/>
        <v>0001</v>
      </c>
    </row>
    <row r="182" spans="21:22">
      <c r="U182" s="466" t="str">
        <f t="shared" si="5"/>
        <v>0001</v>
      </c>
      <c r="V182" s="462" t="str">
        <f t="shared" si="4"/>
        <v>0001</v>
      </c>
    </row>
    <row r="183" spans="21:22">
      <c r="U183" s="466" t="str">
        <f t="shared" si="5"/>
        <v>0001</v>
      </c>
      <c r="V183" s="462" t="str">
        <f t="shared" si="4"/>
        <v>0001</v>
      </c>
    </row>
    <row r="184" spans="21:22" ht="17.25" customHeight="1">
      <c r="U184" s="466" t="str">
        <f t="shared" si="5"/>
        <v>0001</v>
      </c>
      <c r="V184" s="462" t="str">
        <f t="shared" si="4"/>
        <v>0001</v>
      </c>
    </row>
    <row r="185" spans="21:22" ht="17.25" customHeight="1">
      <c r="U185" s="466" t="str">
        <f t="shared" si="5"/>
        <v>0001</v>
      </c>
      <c r="V185" s="462" t="str">
        <f t="shared" si="4"/>
        <v>0001</v>
      </c>
    </row>
    <row r="186" spans="21:22" ht="17.25" customHeight="1">
      <c r="U186" s="466" t="str">
        <f t="shared" si="5"/>
        <v>0001</v>
      </c>
      <c r="V186" s="462" t="str">
        <f t="shared" si="4"/>
        <v>0001</v>
      </c>
    </row>
    <row r="187" spans="21:22" ht="17.25" customHeight="1">
      <c r="U187" s="466" t="str">
        <f t="shared" si="5"/>
        <v>0001</v>
      </c>
      <c r="V187" s="462" t="str">
        <f t="shared" si="4"/>
        <v>0001</v>
      </c>
    </row>
    <row r="188" spans="21:22" ht="17.25" customHeight="1">
      <c r="U188" s="466" t="str">
        <f t="shared" si="5"/>
        <v>0001</v>
      </c>
      <c r="V188" s="462" t="str">
        <f t="shared" si="4"/>
        <v>0001</v>
      </c>
    </row>
    <row r="189" spans="21:22" ht="17.25" customHeight="1">
      <c r="U189" s="466" t="str">
        <f t="shared" si="5"/>
        <v>0001</v>
      </c>
      <c r="V189" s="462" t="str">
        <f t="shared" si="4"/>
        <v>0001</v>
      </c>
    </row>
    <row r="190" spans="21:22" ht="17.25" customHeight="1">
      <c r="U190" s="466" t="str">
        <f t="shared" si="5"/>
        <v>0001</v>
      </c>
      <c r="V190" s="462" t="str">
        <f t="shared" si="4"/>
        <v>0001</v>
      </c>
    </row>
    <row r="191" spans="21:22" ht="17.25" customHeight="1">
      <c r="U191" s="466" t="str">
        <f t="shared" si="5"/>
        <v>0001</v>
      </c>
      <c r="V191" s="462" t="str">
        <f t="shared" si="4"/>
        <v>0001</v>
      </c>
    </row>
    <row r="192" spans="21:22" ht="17.25" customHeight="1">
      <c r="U192" s="466" t="str">
        <f t="shared" si="5"/>
        <v>0001</v>
      </c>
      <c r="V192" s="462" t="str">
        <f t="shared" si="4"/>
        <v>0001</v>
      </c>
    </row>
    <row r="193" spans="21:22" ht="17.25" customHeight="1">
      <c r="U193" s="466" t="str">
        <f t="shared" si="5"/>
        <v>0001</v>
      </c>
      <c r="V193" s="462" t="str">
        <f t="shared" si="4"/>
        <v>0001</v>
      </c>
    </row>
    <row r="194" spans="21:22" ht="17.25" customHeight="1">
      <c r="U194" s="466" t="str">
        <f t="shared" si="5"/>
        <v>0001</v>
      </c>
      <c r="V194" s="462" t="str">
        <f t="shared" ref="V194:V257" si="6">TEXT(T194,"YYMM")</f>
        <v>0001</v>
      </c>
    </row>
    <row r="195" spans="21:22" ht="17.25" customHeight="1">
      <c r="U195" s="466" t="str">
        <f t="shared" ref="U195:U258" si="7">TEXT(Q195,"YYMM")</f>
        <v>0001</v>
      </c>
      <c r="V195" s="462" t="str">
        <f t="shared" si="6"/>
        <v>0001</v>
      </c>
    </row>
    <row r="196" spans="21:22" ht="17.25" customHeight="1">
      <c r="U196" s="466" t="str">
        <f t="shared" si="7"/>
        <v>0001</v>
      </c>
      <c r="V196" s="462" t="str">
        <f t="shared" si="6"/>
        <v>0001</v>
      </c>
    </row>
    <row r="197" spans="21:22" ht="17.25" customHeight="1">
      <c r="U197" s="466" t="str">
        <f t="shared" si="7"/>
        <v>0001</v>
      </c>
      <c r="V197" s="462" t="str">
        <f t="shared" si="6"/>
        <v>0001</v>
      </c>
    </row>
    <row r="198" spans="21:22" ht="17.25" customHeight="1">
      <c r="U198" s="466" t="str">
        <f t="shared" si="7"/>
        <v>0001</v>
      </c>
      <c r="V198" s="462" t="str">
        <f t="shared" si="6"/>
        <v>0001</v>
      </c>
    </row>
    <row r="199" spans="21:22" ht="17.25" customHeight="1">
      <c r="U199" s="466" t="str">
        <f t="shared" si="7"/>
        <v>0001</v>
      </c>
      <c r="V199" s="462" t="str">
        <f t="shared" si="6"/>
        <v>0001</v>
      </c>
    </row>
    <row r="200" spans="21:22" ht="17.25" customHeight="1">
      <c r="U200" s="466" t="str">
        <f t="shared" si="7"/>
        <v>0001</v>
      </c>
      <c r="V200" s="462" t="str">
        <f t="shared" si="6"/>
        <v>0001</v>
      </c>
    </row>
    <row r="201" spans="21:22" ht="17.25" customHeight="1">
      <c r="U201" s="466" t="str">
        <f t="shared" si="7"/>
        <v>0001</v>
      </c>
      <c r="V201" s="462" t="str">
        <f t="shared" si="6"/>
        <v>0001</v>
      </c>
    </row>
    <row r="202" spans="21:22" ht="17.25" customHeight="1">
      <c r="U202" s="466" t="str">
        <f t="shared" si="7"/>
        <v>0001</v>
      </c>
      <c r="V202" s="462" t="str">
        <f t="shared" si="6"/>
        <v>0001</v>
      </c>
    </row>
    <row r="203" spans="21:22" ht="17.25" customHeight="1">
      <c r="U203" s="466" t="str">
        <f t="shared" si="7"/>
        <v>0001</v>
      </c>
      <c r="V203" s="462" t="str">
        <f t="shared" si="6"/>
        <v>0001</v>
      </c>
    </row>
    <row r="204" spans="21:22" ht="17.25" customHeight="1">
      <c r="U204" s="466" t="str">
        <f t="shared" si="7"/>
        <v>0001</v>
      </c>
      <c r="V204" s="462" t="str">
        <f t="shared" si="6"/>
        <v>0001</v>
      </c>
    </row>
    <row r="205" spans="21:22" ht="17.25" customHeight="1">
      <c r="U205" s="466" t="str">
        <f t="shared" si="7"/>
        <v>0001</v>
      </c>
      <c r="V205" s="462" t="str">
        <f t="shared" si="6"/>
        <v>0001</v>
      </c>
    </row>
    <row r="206" spans="21:22" ht="17.25" customHeight="1">
      <c r="U206" s="466" t="str">
        <f t="shared" si="7"/>
        <v>0001</v>
      </c>
      <c r="V206" s="462" t="str">
        <f t="shared" si="6"/>
        <v>0001</v>
      </c>
    </row>
    <row r="207" spans="21:22" ht="17.25" customHeight="1">
      <c r="U207" s="466" t="str">
        <f t="shared" si="7"/>
        <v>0001</v>
      </c>
      <c r="V207" s="462" t="str">
        <f t="shared" si="6"/>
        <v>0001</v>
      </c>
    </row>
    <row r="208" spans="21:22" ht="17.25" customHeight="1">
      <c r="U208" s="466" t="str">
        <f t="shared" si="7"/>
        <v>0001</v>
      </c>
      <c r="V208" s="462" t="str">
        <f t="shared" si="6"/>
        <v>0001</v>
      </c>
    </row>
    <row r="209" spans="21:22" ht="17.25" customHeight="1">
      <c r="U209" s="466" t="str">
        <f t="shared" si="7"/>
        <v>0001</v>
      </c>
      <c r="V209" s="462" t="str">
        <f t="shared" si="6"/>
        <v>0001</v>
      </c>
    </row>
    <row r="210" spans="21:22" ht="17.25" customHeight="1">
      <c r="U210" s="466" t="str">
        <f t="shared" si="7"/>
        <v>0001</v>
      </c>
      <c r="V210" s="462" t="str">
        <f t="shared" si="6"/>
        <v>0001</v>
      </c>
    </row>
    <row r="211" spans="21:22" ht="17.25" customHeight="1">
      <c r="U211" s="466" t="str">
        <f t="shared" si="7"/>
        <v>0001</v>
      </c>
      <c r="V211" s="462" t="str">
        <f t="shared" si="6"/>
        <v>0001</v>
      </c>
    </row>
    <row r="212" spans="21:22" ht="17.25" customHeight="1">
      <c r="U212" s="466" t="str">
        <f t="shared" si="7"/>
        <v>0001</v>
      </c>
      <c r="V212" s="462" t="str">
        <f t="shared" si="6"/>
        <v>0001</v>
      </c>
    </row>
    <row r="213" spans="21:22" ht="17.25" customHeight="1">
      <c r="U213" s="466" t="str">
        <f t="shared" si="7"/>
        <v>0001</v>
      </c>
      <c r="V213" s="462" t="str">
        <f t="shared" si="6"/>
        <v>0001</v>
      </c>
    </row>
    <row r="214" spans="21:22" ht="17.25" customHeight="1">
      <c r="U214" s="466" t="str">
        <f t="shared" si="7"/>
        <v>0001</v>
      </c>
      <c r="V214" s="462" t="str">
        <f t="shared" si="6"/>
        <v>0001</v>
      </c>
    </row>
    <row r="215" spans="21:22" ht="17.25" customHeight="1">
      <c r="U215" s="466" t="str">
        <f t="shared" si="7"/>
        <v>0001</v>
      </c>
      <c r="V215" s="462" t="str">
        <f t="shared" si="6"/>
        <v>0001</v>
      </c>
    </row>
    <row r="216" spans="21:22" ht="17.25" customHeight="1">
      <c r="U216" s="466" t="str">
        <f t="shared" si="7"/>
        <v>0001</v>
      </c>
      <c r="V216" s="462" t="str">
        <f t="shared" si="6"/>
        <v>0001</v>
      </c>
    </row>
    <row r="217" spans="21:22" ht="17.25" customHeight="1">
      <c r="U217" s="466" t="str">
        <f t="shared" si="7"/>
        <v>0001</v>
      </c>
      <c r="V217" s="462" t="str">
        <f t="shared" si="6"/>
        <v>0001</v>
      </c>
    </row>
    <row r="218" spans="21:22" ht="17.25" customHeight="1">
      <c r="U218" s="466" t="str">
        <f t="shared" si="7"/>
        <v>0001</v>
      </c>
      <c r="V218" s="462" t="str">
        <f t="shared" si="6"/>
        <v>0001</v>
      </c>
    </row>
    <row r="219" spans="21:22" ht="17.25" customHeight="1">
      <c r="U219" s="466" t="str">
        <f t="shared" si="7"/>
        <v>0001</v>
      </c>
      <c r="V219" s="462" t="str">
        <f t="shared" si="6"/>
        <v>0001</v>
      </c>
    </row>
    <row r="220" spans="21:22" ht="17.25" customHeight="1">
      <c r="U220" s="466" t="str">
        <f t="shared" si="7"/>
        <v>0001</v>
      </c>
      <c r="V220" s="462" t="str">
        <f t="shared" si="6"/>
        <v>0001</v>
      </c>
    </row>
    <row r="221" spans="21:22" ht="17.25" customHeight="1">
      <c r="U221" s="466" t="str">
        <f t="shared" si="7"/>
        <v>0001</v>
      </c>
      <c r="V221" s="462" t="str">
        <f t="shared" si="6"/>
        <v>0001</v>
      </c>
    </row>
    <row r="222" spans="21:22" ht="17.25" customHeight="1">
      <c r="U222" s="466" t="str">
        <f t="shared" si="7"/>
        <v>0001</v>
      </c>
      <c r="V222" s="462" t="str">
        <f t="shared" si="6"/>
        <v>0001</v>
      </c>
    </row>
    <row r="223" spans="21:22" ht="17.25" customHeight="1">
      <c r="U223" s="466" t="str">
        <f t="shared" si="7"/>
        <v>0001</v>
      </c>
      <c r="V223" s="462" t="str">
        <f t="shared" si="6"/>
        <v>0001</v>
      </c>
    </row>
    <row r="224" spans="21:22" ht="17.25" customHeight="1">
      <c r="U224" s="466" t="str">
        <f t="shared" si="7"/>
        <v>0001</v>
      </c>
      <c r="V224" s="462" t="str">
        <f t="shared" si="6"/>
        <v>0001</v>
      </c>
    </row>
    <row r="225" spans="21:22" ht="17.25" customHeight="1">
      <c r="U225" s="466" t="str">
        <f t="shared" si="7"/>
        <v>0001</v>
      </c>
      <c r="V225" s="462" t="str">
        <f t="shared" si="6"/>
        <v>0001</v>
      </c>
    </row>
    <row r="226" spans="21:22" ht="17.25" customHeight="1">
      <c r="U226" s="466" t="str">
        <f t="shared" si="7"/>
        <v>0001</v>
      </c>
      <c r="V226" s="462" t="str">
        <f t="shared" si="6"/>
        <v>0001</v>
      </c>
    </row>
    <row r="227" spans="21:22" ht="17.25" customHeight="1">
      <c r="U227" s="466" t="str">
        <f t="shared" si="7"/>
        <v>0001</v>
      </c>
      <c r="V227" s="462" t="str">
        <f t="shared" si="6"/>
        <v>0001</v>
      </c>
    </row>
    <row r="228" spans="21:22" ht="17.25" customHeight="1">
      <c r="U228" s="466" t="str">
        <f t="shared" si="7"/>
        <v>0001</v>
      </c>
      <c r="V228" s="462" t="str">
        <f t="shared" si="6"/>
        <v>0001</v>
      </c>
    </row>
    <row r="229" spans="21:22" ht="17.25" customHeight="1">
      <c r="U229" s="466" t="str">
        <f t="shared" si="7"/>
        <v>0001</v>
      </c>
      <c r="V229" s="462" t="str">
        <f t="shared" si="6"/>
        <v>0001</v>
      </c>
    </row>
    <row r="230" spans="21:22" ht="17.25" customHeight="1">
      <c r="U230" s="466" t="str">
        <f t="shared" si="7"/>
        <v>0001</v>
      </c>
      <c r="V230" s="462" t="str">
        <f t="shared" si="6"/>
        <v>0001</v>
      </c>
    </row>
    <row r="231" spans="21:22" ht="17.25" customHeight="1">
      <c r="U231" s="466" t="str">
        <f t="shared" si="7"/>
        <v>0001</v>
      </c>
      <c r="V231" s="462" t="str">
        <f t="shared" si="6"/>
        <v>0001</v>
      </c>
    </row>
    <row r="232" spans="21:22" ht="17.25" customHeight="1">
      <c r="U232" s="466" t="str">
        <f t="shared" si="7"/>
        <v>0001</v>
      </c>
      <c r="V232" s="462" t="str">
        <f t="shared" si="6"/>
        <v>0001</v>
      </c>
    </row>
    <row r="233" spans="21:22" ht="17.25" customHeight="1">
      <c r="U233" s="466" t="str">
        <f t="shared" si="7"/>
        <v>0001</v>
      </c>
      <c r="V233" s="462" t="str">
        <f t="shared" si="6"/>
        <v>0001</v>
      </c>
    </row>
    <row r="234" spans="21:22" ht="17.25" customHeight="1">
      <c r="U234" s="466" t="str">
        <f t="shared" si="7"/>
        <v>0001</v>
      </c>
      <c r="V234" s="462" t="str">
        <f t="shared" si="6"/>
        <v>0001</v>
      </c>
    </row>
    <row r="235" spans="21:22" ht="17.25" customHeight="1">
      <c r="U235" s="466" t="str">
        <f t="shared" si="7"/>
        <v>0001</v>
      </c>
      <c r="V235" s="462" t="str">
        <f t="shared" si="6"/>
        <v>0001</v>
      </c>
    </row>
    <row r="236" spans="21:22" ht="17.25" customHeight="1">
      <c r="U236" s="466" t="str">
        <f t="shared" si="7"/>
        <v>0001</v>
      </c>
      <c r="V236" s="462" t="str">
        <f t="shared" si="6"/>
        <v>0001</v>
      </c>
    </row>
    <row r="237" spans="21:22" ht="17.25" customHeight="1">
      <c r="U237" s="466" t="str">
        <f t="shared" si="7"/>
        <v>0001</v>
      </c>
      <c r="V237" s="462" t="str">
        <f t="shared" si="6"/>
        <v>0001</v>
      </c>
    </row>
    <row r="238" spans="21:22" ht="17.25" customHeight="1">
      <c r="U238" s="466" t="str">
        <f t="shared" si="7"/>
        <v>0001</v>
      </c>
      <c r="V238" s="462" t="str">
        <f t="shared" si="6"/>
        <v>0001</v>
      </c>
    </row>
    <row r="239" spans="21:22" ht="17.25" customHeight="1">
      <c r="U239" s="466" t="str">
        <f t="shared" si="7"/>
        <v>0001</v>
      </c>
      <c r="V239" s="462" t="str">
        <f t="shared" si="6"/>
        <v>0001</v>
      </c>
    </row>
    <row r="240" spans="21:22" ht="17.25" customHeight="1">
      <c r="U240" s="466" t="str">
        <f t="shared" si="7"/>
        <v>0001</v>
      </c>
      <c r="V240" s="462" t="str">
        <f t="shared" si="6"/>
        <v>0001</v>
      </c>
    </row>
    <row r="241" spans="21:22" ht="17.25" customHeight="1">
      <c r="U241" s="466" t="str">
        <f t="shared" si="7"/>
        <v>0001</v>
      </c>
      <c r="V241" s="462" t="str">
        <f t="shared" si="6"/>
        <v>0001</v>
      </c>
    </row>
    <row r="242" spans="21:22" ht="17.25" customHeight="1">
      <c r="U242" s="466" t="str">
        <f t="shared" si="7"/>
        <v>0001</v>
      </c>
      <c r="V242" s="462" t="str">
        <f t="shared" si="6"/>
        <v>0001</v>
      </c>
    </row>
    <row r="243" spans="21:22" ht="17.25" customHeight="1">
      <c r="U243" s="466" t="str">
        <f t="shared" si="7"/>
        <v>0001</v>
      </c>
      <c r="V243" s="462" t="str">
        <f t="shared" si="6"/>
        <v>0001</v>
      </c>
    </row>
    <row r="244" spans="21:22" ht="17.25" customHeight="1">
      <c r="U244" s="466" t="str">
        <f t="shared" si="7"/>
        <v>0001</v>
      </c>
      <c r="V244" s="462" t="str">
        <f t="shared" si="6"/>
        <v>0001</v>
      </c>
    </row>
    <row r="245" spans="21:22" ht="17.25" customHeight="1">
      <c r="U245" s="466" t="str">
        <f t="shared" si="7"/>
        <v>0001</v>
      </c>
      <c r="V245" s="462" t="str">
        <f t="shared" si="6"/>
        <v>0001</v>
      </c>
    </row>
    <row r="246" spans="21:22" ht="17.25" customHeight="1">
      <c r="U246" s="466" t="str">
        <f t="shared" si="7"/>
        <v>0001</v>
      </c>
      <c r="V246" s="462" t="str">
        <f t="shared" si="6"/>
        <v>0001</v>
      </c>
    </row>
    <row r="247" spans="21:22" ht="17.25" customHeight="1">
      <c r="U247" s="466" t="str">
        <f t="shared" si="7"/>
        <v>0001</v>
      </c>
      <c r="V247" s="462" t="str">
        <f t="shared" si="6"/>
        <v>0001</v>
      </c>
    </row>
    <row r="248" spans="21:22" ht="17.25" customHeight="1">
      <c r="U248" s="466" t="str">
        <f t="shared" si="7"/>
        <v>0001</v>
      </c>
      <c r="V248" s="462" t="str">
        <f t="shared" si="6"/>
        <v>0001</v>
      </c>
    </row>
    <row r="249" spans="21:22" ht="17.25" customHeight="1">
      <c r="U249" s="466" t="str">
        <f t="shared" si="7"/>
        <v>0001</v>
      </c>
      <c r="V249" s="462" t="str">
        <f t="shared" si="6"/>
        <v>0001</v>
      </c>
    </row>
    <row r="250" spans="21:22" ht="17.25" customHeight="1">
      <c r="U250" s="466" t="str">
        <f t="shared" si="7"/>
        <v>0001</v>
      </c>
      <c r="V250" s="462" t="str">
        <f t="shared" si="6"/>
        <v>0001</v>
      </c>
    </row>
    <row r="251" spans="21:22" ht="17.25" customHeight="1">
      <c r="U251" s="466" t="str">
        <f t="shared" si="7"/>
        <v>0001</v>
      </c>
      <c r="V251" s="462" t="str">
        <f t="shared" si="6"/>
        <v>0001</v>
      </c>
    </row>
    <row r="252" spans="21:22" ht="17.25" customHeight="1">
      <c r="U252" s="466" t="str">
        <f t="shared" si="7"/>
        <v>0001</v>
      </c>
      <c r="V252" s="462" t="str">
        <f t="shared" si="6"/>
        <v>0001</v>
      </c>
    </row>
    <row r="253" spans="21:22" ht="17.25" customHeight="1">
      <c r="U253" s="466" t="str">
        <f t="shared" si="7"/>
        <v>0001</v>
      </c>
      <c r="V253" s="462" t="str">
        <f t="shared" si="6"/>
        <v>0001</v>
      </c>
    </row>
    <row r="254" spans="21:22" ht="17.25" customHeight="1">
      <c r="U254" s="466" t="str">
        <f t="shared" si="7"/>
        <v>0001</v>
      </c>
      <c r="V254" s="462" t="str">
        <f t="shared" si="6"/>
        <v>0001</v>
      </c>
    </row>
    <row r="255" spans="21:22" ht="17.25" customHeight="1">
      <c r="U255" s="466" t="str">
        <f t="shared" si="7"/>
        <v>0001</v>
      </c>
      <c r="V255" s="462" t="str">
        <f t="shared" si="6"/>
        <v>0001</v>
      </c>
    </row>
    <row r="256" spans="21:22" ht="17.25" customHeight="1">
      <c r="U256" s="466" t="str">
        <f t="shared" si="7"/>
        <v>0001</v>
      </c>
      <c r="V256" s="462" t="str">
        <f t="shared" si="6"/>
        <v>0001</v>
      </c>
    </row>
    <row r="257" spans="21:22" ht="17.25" customHeight="1">
      <c r="U257" s="466" t="str">
        <f t="shared" si="7"/>
        <v>0001</v>
      </c>
      <c r="V257" s="462" t="str">
        <f t="shared" si="6"/>
        <v>0001</v>
      </c>
    </row>
    <row r="258" spans="21:22">
      <c r="U258" s="466" t="str">
        <f t="shared" si="7"/>
        <v>0001</v>
      </c>
      <c r="V258" s="462" t="str">
        <f t="shared" ref="V258:V321" si="8">TEXT(T258,"YYMM")</f>
        <v>0001</v>
      </c>
    </row>
    <row r="259" spans="21:22">
      <c r="U259" s="466" t="str">
        <f t="shared" ref="U259:U322" si="9">TEXT(Q259,"YYMM")</f>
        <v>0001</v>
      </c>
      <c r="V259" s="462" t="str">
        <f t="shared" si="8"/>
        <v>0001</v>
      </c>
    </row>
    <row r="260" spans="21:22">
      <c r="U260" s="466" t="str">
        <f t="shared" si="9"/>
        <v>0001</v>
      </c>
      <c r="V260" s="462" t="str">
        <f t="shared" si="8"/>
        <v>0001</v>
      </c>
    </row>
    <row r="261" spans="21:22">
      <c r="U261" s="466" t="str">
        <f t="shared" si="9"/>
        <v>0001</v>
      </c>
      <c r="V261" s="462" t="str">
        <f t="shared" si="8"/>
        <v>0001</v>
      </c>
    </row>
    <row r="262" spans="21:22">
      <c r="U262" s="466" t="str">
        <f t="shared" si="9"/>
        <v>0001</v>
      </c>
      <c r="V262" s="462" t="str">
        <f t="shared" si="8"/>
        <v>0001</v>
      </c>
    </row>
    <row r="263" spans="21:22">
      <c r="U263" s="466" t="str">
        <f t="shared" si="9"/>
        <v>0001</v>
      </c>
      <c r="V263" s="462" t="str">
        <f t="shared" si="8"/>
        <v>0001</v>
      </c>
    </row>
    <row r="264" spans="21:22">
      <c r="U264" s="466" t="str">
        <f t="shared" si="9"/>
        <v>0001</v>
      </c>
      <c r="V264" s="462" t="str">
        <f t="shared" si="8"/>
        <v>0001</v>
      </c>
    </row>
    <row r="265" spans="21:22">
      <c r="U265" s="466" t="str">
        <f t="shared" si="9"/>
        <v>0001</v>
      </c>
      <c r="V265" s="462" t="str">
        <f t="shared" si="8"/>
        <v>0001</v>
      </c>
    </row>
    <row r="266" spans="21:22">
      <c r="U266" s="466" t="str">
        <f t="shared" si="9"/>
        <v>0001</v>
      </c>
      <c r="V266" s="462" t="str">
        <f t="shared" si="8"/>
        <v>0001</v>
      </c>
    </row>
    <row r="267" spans="21:22">
      <c r="U267" s="466" t="str">
        <f t="shared" si="9"/>
        <v>0001</v>
      </c>
      <c r="V267" s="462" t="str">
        <f t="shared" si="8"/>
        <v>0001</v>
      </c>
    </row>
    <row r="268" spans="21:22">
      <c r="U268" s="466" t="str">
        <f t="shared" si="9"/>
        <v>0001</v>
      </c>
      <c r="V268" s="462" t="str">
        <f t="shared" si="8"/>
        <v>0001</v>
      </c>
    </row>
    <row r="269" spans="21:22">
      <c r="U269" s="466" t="str">
        <f t="shared" si="9"/>
        <v>0001</v>
      </c>
      <c r="V269" s="462" t="str">
        <f t="shared" si="8"/>
        <v>0001</v>
      </c>
    </row>
    <row r="270" spans="21:22">
      <c r="U270" s="466" t="str">
        <f t="shared" si="9"/>
        <v>0001</v>
      </c>
      <c r="V270" s="462" t="str">
        <f t="shared" si="8"/>
        <v>0001</v>
      </c>
    </row>
    <row r="271" spans="21:22">
      <c r="U271" s="466" t="str">
        <f t="shared" si="9"/>
        <v>0001</v>
      </c>
      <c r="V271" s="462" t="str">
        <f t="shared" si="8"/>
        <v>0001</v>
      </c>
    </row>
    <row r="272" spans="21:22" ht="17.25" customHeight="1">
      <c r="U272" s="466" t="str">
        <f t="shared" si="9"/>
        <v>0001</v>
      </c>
      <c r="V272" s="462" t="str">
        <f t="shared" si="8"/>
        <v>0001</v>
      </c>
    </row>
    <row r="273" spans="21:22" ht="17.25" customHeight="1">
      <c r="U273" s="466" t="str">
        <f t="shared" si="9"/>
        <v>0001</v>
      </c>
      <c r="V273" s="462" t="str">
        <f t="shared" si="8"/>
        <v>0001</v>
      </c>
    </row>
    <row r="274" spans="21:22" ht="17.25" customHeight="1">
      <c r="U274" s="466" t="str">
        <f t="shared" si="9"/>
        <v>0001</v>
      </c>
      <c r="V274" s="462" t="str">
        <f t="shared" si="8"/>
        <v>0001</v>
      </c>
    </row>
    <row r="275" spans="21:22" ht="17.25" customHeight="1">
      <c r="U275" s="466" t="str">
        <f t="shared" si="9"/>
        <v>0001</v>
      </c>
      <c r="V275" s="462" t="str">
        <f t="shared" si="8"/>
        <v>0001</v>
      </c>
    </row>
    <row r="276" spans="21:22" ht="17.25" customHeight="1">
      <c r="U276" s="466" t="str">
        <f t="shared" si="9"/>
        <v>0001</v>
      </c>
      <c r="V276" s="462" t="str">
        <f t="shared" si="8"/>
        <v>0001</v>
      </c>
    </row>
    <row r="277" spans="21:22" ht="17.25" customHeight="1">
      <c r="U277" s="466" t="str">
        <f t="shared" si="9"/>
        <v>0001</v>
      </c>
      <c r="V277" s="462" t="str">
        <f t="shared" si="8"/>
        <v>0001</v>
      </c>
    </row>
    <row r="278" spans="21:22" ht="17.25" customHeight="1">
      <c r="U278" s="466" t="str">
        <f t="shared" si="9"/>
        <v>0001</v>
      </c>
      <c r="V278" s="462" t="str">
        <f t="shared" si="8"/>
        <v>0001</v>
      </c>
    </row>
    <row r="279" spans="21:22" ht="17.25" customHeight="1">
      <c r="U279" s="466" t="str">
        <f t="shared" si="9"/>
        <v>0001</v>
      </c>
      <c r="V279" s="462" t="str">
        <f t="shared" si="8"/>
        <v>0001</v>
      </c>
    </row>
    <row r="280" spans="21:22" ht="17.25" customHeight="1">
      <c r="U280" s="466" t="str">
        <f t="shared" si="9"/>
        <v>0001</v>
      </c>
      <c r="V280" s="462" t="str">
        <f t="shared" si="8"/>
        <v>0001</v>
      </c>
    </row>
    <row r="281" spans="21:22" ht="17.25" customHeight="1">
      <c r="U281" s="466" t="str">
        <f t="shared" si="9"/>
        <v>0001</v>
      </c>
      <c r="V281" s="462" t="str">
        <f t="shared" si="8"/>
        <v>0001</v>
      </c>
    </row>
    <row r="282" spans="21:22" ht="17.25" customHeight="1">
      <c r="U282" s="466" t="str">
        <f t="shared" si="9"/>
        <v>0001</v>
      </c>
      <c r="V282" s="462" t="str">
        <f t="shared" si="8"/>
        <v>0001</v>
      </c>
    </row>
    <row r="283" spans="21:22" ht="17.25" customHeight="1">
      <c r="U283" s="466" t="str">
        <f t="shared" si="9"/>
        <v>0001</v>
      </c>
      <c r="V283" s="462" t="str">
        <f t="shared" si="8"/>
        <v>0001</v>
      </c>
    </row>
    <row r="284" spans="21:22" ht="17.25" customHeight="1">
      <c r="U284" s="466" t="str">
        <f t="shared" si="9"/>
        <v>0001</v>
      </c>
      <c r="V284" s="462" t="str">
        <f t="shared" si="8"/>
        <v>0001</v>
      </c>
    </row>
    <row r="285" spans="21:22" ht="17.25" customHeight="1">
      <c r="U285" s="466" t="str">
        <f t="shared" si="9"/>
        <v>0001</v>
      </c>
      <c r="V285" s="462" t="str">
        <f t="shared" si="8"/>
        <v>0001</v>
      </c>
    </row>
    <row r="286" spans="21:22" ht="17.25" customHeight="1">
      <c r="U286" s="466" t="str">
        <f t="shared" si="9"/>
        <v>0001</v>
      </c>
      <c r="V286" s="462" t="str">
        <f t="shared" si="8"/>
        <v>0001</v>
      </c>
    </row>
    <row r="287" spans="21:22">
      <c r="U287" s="466" t="str">
        <f t="shared" si="9"/>
        <v>0001</v>
      </c>
      <c r="V287" s="462" t="str">
        <f t="shared" si="8"/>
        <v>0001</v>
      </c>
    </row>
    <row r="288" spans="21:22">
      <c r="U288" s="466" t="str">
        <f t="shared" si="9"/>
        <v>0001</v>
      </c>
      <c r="V288" s="462" t="str">
        <f t="shared" si="8"/>
        <v>0001</v>
      </c>
    </row>
    <row r="289" spans="21:22">
      <c r="U289" s="466" t="str">
        <f t="shared" si="9"/>
        <v>0001</v>
      </c>
      <c r="V289" s="462" t="str">
        <f t="shared" si="8"/>
        <v>0001</v>
      </c>
    </row>
    <row r="290" spans="21:22">
      <c r="U290" s="466" t="str">
        <f t="shared" si="9"/>
        <v>0001</v>
      </c>
      <c r="V290" s="462" t="str">
        <f t="shared" si="8"/>
        <v>0001</v>
      </c>
    </row>
    <row r="291" spans="21:22">
      <c r="U291" s="466" t="str">
        <f t="shared" si="9"/>
        <v>0001</v>
      </c>
      <c r="V291" s="462" t="str">
        <f t="shared" si="8"/>
        <v>0001</v>
      </c>
    </row>
    <row r="292" spans="21:22">
      <c r="U292" s="466" t="str">
        <f t="shared" si="9"/>
        <v>0001</v>
      </c>
      <c r="V292" s="462" t="str">
        <f t="shared" si="8"/>
        <v>0001</v>
      </c>
    </row>
    <row r="293" spans="21:22">
      <c r="U293" s="466" t="str">
        <f t="shared" si="9"/>
        <v>0001</v>
      </c>
      <c r="V293" s="462" t="str">
        <f t="shared" si="8"/>
        <v>0001</v>
      </c>
    </row>
    <row r="294" spans="21:22">
      <c r="U294" s="466" t="str">
        <f t="shared" si="9"/>
        <v>0001</v>
      </c>
      <c r="V294" s="462" t="str">
        <f t="shared" si="8"/>
        <v>0001</v>
      </c>
    </row>
    <row r="295" spans="21:22">
      <c r="U295" s="466" t="str">
        <f t="shared" si="9"/>
        <v>0001</v>
      </c>
      <c r="V295" s="462" t="str">
        <f t="shared" si="8"/>
        <v>0001</v>
      </c>
    </row>
    <row r="296" spans="21:22">
      <c r="U296" s="466" t="str">
        <f t="shared" si="9"/>
        <v>0001</v>
      </c>
      <c r="V296" s="462" t="str">
        <f t="shared" si="8"/>
        <v>0001</v>
      </c>
    </row>
    <row r="297" spans="21:22">
      <c r="U297" s="466" t="str">
        <f t="shared" si="9"/>
        <v>0001</v>
      </c>
      <c r="V297" s="462" t="str">
        <f t="shared" si="8"/>
        <v>0001</v>
      </c>
    </row>
    <row r="298" spans="21:22">
      <c r="U298" s="466" t="str">
        <f t="shared" si="9"/>
        <v>0001</v>
      </c>
      <c r="V298" s="462" t="str">
        <f t="shared" si="8"/>
        <v>0001</v>
      </c>
    </row>
    <row r="299" spans="21:22">
      <c r="U299" s="466" t="str">
        <f t="shared" si="9"/>
        <v>0001</v>
      </c>
      <c r="V299" s="462" t="str">
        <f t="shared" si="8"/>
        <v>0001</v>
      </c>
    </row>
    <row r="300" spans="21:22">
      <c r="U300" s="466" t="str">
        <f t="shared" si="9"/>
        <v>0001</v>
      </c>
      <c r="V300" s="462" t="str">
        <f t="shared" si="8"/>
        <v>0001</v>
      </c>
    </row>
    <row r="301" spans="21:22">
      <c r="U301" s="466" t="str">
        <f t="shared" si="9"/>
        <v>0001</v>
      </c>
      <c r="V301" s="462" t="str">
        <f t="shared" si="8"/>
        <v>0001</v>
      </c>
    </row>
    <row r="302" spans="21:22">
      <c r="U302" s="466" t="str">
        <f t="shared" si="9"/>
        <v>0001</v>
      </c>
      <c r="V302" s="462" t="str">
        <f t="shared" si="8"/>
        <v>0001</v>
      </c>
    </row>
    <row r="303" spans="21:22">
      <c r="U303" s="466" t="str">
        <f t="shared" si="9"/>
        <v>0001</v>
      </c>
      <c r="V303" s="462" t="str">
        <f t="shared" si="8"/>
        <v>0001</v>
      </c>
    </row>
    <row r="304" spans="21:22">
      <c r="U304" s="466" t="str">
        <f t="shared" si="9"/>
        <v>0001</v>
      </c>
      <c r="V304" s="462" t="str">
        <f t="shared" si="8"/>
        <v>0001</v>
      </c>
    </row>
    <row r="305" spans="21:22">
      <c r="U305" s="466" t="str">
        <f t="shared" si="9"/>
        <v>0001</v>
      </c>
      <c r="V305" s="462" t="str">
        <f t="shared" si="8"/>
        <v>0001</v>
      </c>
    </row>
    <row r="306" spans="21:22">
      <c r="U306" s="466" t="str">
        <f t="shared" si="9"/>
        <v>0001</v>
      </c>
      <c r="V306" s="462" t="str">
        <f t="shared" si="8"/>
        <v>0001</v>
      </c>
    </row>
    <row r="307" spans="21:22">
      <c r="U307" s="466" t="str">
        <f t="shared" si="9"/>
        <v>0001</v>
      </c>
      <c r="V307" s="462" t="str">
        <f t="shared" si="8"/>
        <v>0001</v>
      </c>
    </row>
    <row r="308" spans="21:22">
      <c r="U308" s="466" t="str">
        <f t="shared" si="9"/>
        <v>0001</v>
      </c>
      <c r="V308" s="462" t="str">
        <f t="shared" si="8"/>
        <v>0001</v>
      </c>
    </row>
    <row r="309" spans="21:22">
      <c r="U309" s="466" t="str">
        <f t="shared" si="9"/>
        <v>0001</v>
      </c>
      <c r="V309" s="462" t="str">
        <f t="shared" si="8"/>
        <v>0001</v>
      </c>
    </row>
    <row r="310" spans="21:22">
      <c r="U310" s="466" t="str">
        <f t="shared" si="9"/>
        <v>0001</v>
      </c>
      <c r="V310" s="462" t="str">
        <f t="shared" si="8"/>
        <v>0001</v>
      </c>
    </row>
    <row r="311" spans="21:22">
      <c r="U311" s="466" t="str">
        <f t="shared" si="9"/>
        <v>0001</v>
      </c>
      <c r="V311" s="462" t="str">
        <f t="shared" si="8"/>
        <v>0001</v>
      </c>
    </row>
    <row r="312" spans="21:22">
      <c r="U312" s="466" t="str">
        <f t="shared" si="9"/>
        <v>0001</v>
      </c>
      <c r="V312" s="462" t="str">
        <f t="shared" si="8"/>
        <v>0001</v>
      </c>
    </row>
    <row r="313" spans="21:22">
      <c r="U313" s="466" t="str">
        <f t="shared" si="9"/>
        <v>0001</v>
      </c>
      <c r="V313" s="462" t="str">
        <f t="shared" si="8"/>
        <v>0001</v>
      </c>
    </row>
    <row r="314" spans="21:22">
      <c r="U314" s="466" t="str">
        <f t="shared" si="9"/>
        <v>0001</v>
      </c>
      <c r="V314" s="462" t="str">
        <f t="shared" si="8"/>
        <v>0001</v>
      </c>
    </row>
    <row r="315" spans="21:22">
      <c r="U315" s="466" t="str">
        <f t="shared" si="9"/>
        <v>0001</v>
      </c>
      <c r="V315" s="462" t="str">
        <f t="shared" si="8"/>
        <v>0001</v>
      </c>
    </row>
    <row r="316" spans="21:22">
      <c r="U316" s="466" t="str">
        <f t="shared" si="9"/>
        <v>0001</v>
      </c>
      <c r="V316" s="462" t="str">
        <f t="shared" si="8"/>
        <v>0001</v>
      </c>
    </row>
    <row r="317" spans="21:22">
      <c r="U317" s="466" t="str">
        <f t="shared" si="9"/>
        <v>0001</v>
      </c>
      <c r="V317" s="462" t="str">
        <f t="shared" si="8"/>
        <v>0001</v>
      </c>
    </row>
    <row r="318" spans="21:22">
      <c r="U318" s="466" t="str">
        <f t="shared" si="9"/>
        <v>0001</v>
      </c>
      <c r="V318" s="462" t="str">
        <f t="shared" si="8"/>
        <v>0001</v>
      </c>
    </row>
    <row r="319" spans="21:22">
      <c r="U319" s="466" t="str">
        <f t="shared" si="9"/>
        <v>0001</v>
      </c>
      <c r="V319" s="462" t="str">
        <f t="shared" si="8"/>
        <v>0001</v>
      </c>
    </row>
    <row r="320" spans="21:22">
      <c r="U320" s="466" t="str">
        <f t="shared" si="9"/>
        <v>0001</v>
      </c>
      <c r="V320" s="462" t="str">
        <f t="shared" si="8"/>
        <v>0001</v>
      </c>
    </row>
    <row r="321" spans="21:22">
      <c r="U321" s="466" t="str">
        <f t="shared" si="9"/>
        <v>0001</v>
      </c>
      <c r="V321" s="462" t="str">
        <f t="shared" si="8"/>
        <v>0001</v>
      </c>
    </row>
    <row r="322" spans="21:22">
      <c r="U322" s="466" t="str">
        <f t="shared" si="9"/>
        <v>0001</v>
      </c>
      <c r="V322" s="462" t="str">
        <f t="shared" ref="V322:V385" si="10">TEXT(T322,"YYMM")</f>
        <v>0001</v>
      </c>
    </row>
    <row r="323" spans="21:22">
      <c r="U323" s="466" t="str">
        <f t="shared" ref="U323:U386" si="11">TEXT(Q323,"YYMM")</f>
        <v>0001</v>
      </c>
      <c r="V323" s="462" t="str">
        <f t="shared" si="10"/>
        <v>0001</v>
      </c>
    </row>
    <row r="324" spans="21:22">
      <c r="U324" s="466" t="str">
        <f t="shared" si="11"/>
        <v>0001</v>
      </c>
      <c r="V324" s="462" t="str">
        <f t="shared" si="10"/>
        <v>0001</v>
      </c>
    </row>
    <row r="325" spans="21:22">
      <c r="U325" s="466" t="str">
        <f t="shared" si="11"/>
        <v>0001</v>
      </c>
      <c r="V325" s="462" t="str">
        <f t="shared" si="10"/>
        <v>0001</v>
      </c>
    </row>
    <row r="326" spans="21:22">
      <c r="U326" s="466" t="str">
        <f t="shared" si="11"/>
        <v>0001</v>
      </c>
      <c r="V326" s="462" t="str">
        <f t="shared" si="10"/>
        <v>0001</v>
      </c>
    </row>
    <row r="327" spans="21:22">
      <c r="U327" s="466" t="str">
        <f t="shared" si="11"/>
        <v>0001</v>
      </c>
      <c r="V327" s="462" t="str">
        <f t="shared" si="10"/>
        <v>0001</v>
      </c>
    </row>
    <row r="328" spans="21:22">
      <c r="U328" s="466" t="str">
        <f t="shared" si="11"/>
        <v>0001</v>
      </c>
      <c r="V328" s="462" t="str">
        <f t="shared" si="10"/>
        <v>0001</v>
      </c>
    </row>
    <row r="329" spans="21:22">
      <c r="U329" s="466" t="str">
        <f t="shared" si="11"/>
        <v>0001</v>
      </c>
      <c r="V329" s="462" t="str">
        <f t="shared" si="10"/>
        <v>0001</v>
      </c>
    </row>
    <row r="330" spans="21:22">
      <c r="U330" s="466" t="str">
        <f t="shared" si="11"/>
        <v>0001</v>
      </c>
      <c r="V330" s="462" t="str">
        <f t="shared" si="10"/>
        <v>0001</v>
      </c>
    </row>
    <row r="331" spans="21:22">
      <c r="U331" s="466" t="str">
        <f t="shared" si="11"/>
        <v>0001</v>
      </c>
      <c r="V331" s="462" t="str">
        <f t="shared" si="10"/>
        <v>0001</v>
      </c>
    </row>
    <row r="332" spans="21:22">
      <c r="U332" s="466" t="str">
        <f t="shared" si="11"/>
        <v>0001</v>
      </c>
      <c r="V332" s="462" t="str">
        <f t="shared" si="10"/>
        <v>0001</v>
      </c>
    </row>
    <row r="333" spans="21:22">
      <c r="U333" s="466" t="str">
        <f t="shared" si="11"/>
        <v>0001</v>
      </c>
      <c r="V333" s="462" t="str">
        <f t="shared" si="10"/>
        <v>0001</v>
      </c>
    </row>
    <row r="334" spans="21:22">
      <c r="U334" s="466" t="str">
        <f t="shared" si="11"/>
        <v>0001</v>
      </c>
      <c r="V334" s="462" t="str">
        <f t="shared" si="10"/>
        <v>0001</v>
      </c>
    </row>
    <row r="335" spans="21:22">
      <c r="U335" s="466" t="str">
        <f t="shared" si="11"/>
        <v>0001</v>
      </c>
      <c r="V335" s="462" t="str">
        <f t="shared" si="10"/>
        <v>0001</v>
      </c>
    </row>
    <row r="336" spans="21:22">
      <c r="U336" s="466" t="str">
        <f t="shared" si="11"/>
        <v>0001</v>
      </c>
      <c r="V336" s="462" t="str">
        <f t="shared" si="10"/>
        <v>0001</v>
      </c>
    </row>
    <row r="337" spans="21:22">
      <c r="U337" s="466" t="str">
        <f t="shared" si="11"/>
        <v>0001</v>
      </c>
      <c r="V337" s="462" t="str">
        <f t="shared" si="10"/>
        <v>0001</v>
      </c>
    </row>
    <row r="338" spans="21:22">
      <c r="U338" s="466" t="str">
        <f t="shared" si="11"/>
        <v>0001</v>
      </c>
      <c r="V338" s="462" t="str">
        <f t="shared" si="10"/>
        <v>0001</v>
      </c>
    </row>
    <row r="339" spans="21:22">
      <c r="U339" s="466" t="str">
        <f t="shared" si="11"/>
        <v>0001</v>
      </c>
      <c r="V339" s="462" t="str">
        <f t="shared" si="10"/>
        <v>0001</v>
      </c>
    </row>
    <row r="340" spans="21:22">
      <c r="U340" s="466" t="str">
        <f t="shared" si="11"/>
        <v>0001</v>
      </c>
      <c r="V340" s="462" t="str">
        <f t="shared" si="10"/>
        <v>0001</v>
      </c>
    </row>
    <row r="341" spans="21:22">
      <c r="U341" s="466" t="str">
        <f t="shared" si="11"/>
        <v>0001</v>
      </c>
      <c r="V341" s="462" t="str">
        <f t="shared" si="10"/>
        <v>0001</v>
      </c>
    </row>
    <row r="342" spans="21:22">
      <c r="U342" s="466" t="str">
        <f t="shared" si="11"/>
        <v>0001</v>
      </c>
      <c r="V342" s="462" t="str">
        <f t="shared" si="10"/>
        <v>0001</v>
      </c>
    </row>
    <row r="343" spans="21:22">
      <c r="U343" s="466" t="str">
        <f t="shared" si="11"/>
        <v>0001</v>
      </c>
      <c r="V343" s="462" t="str">
        <f t="shared" si="10"/>
        <v>0001</v>
      </c>
    </row>
    <row r="344" spans="21:22">
      <c r="U344" s="466" t="str">
        <f t="shared" si="11"/>
        <v>0001</v>
      </c>
      <c r="V344" s="462" t="str">
        <f t="shared" si="10"/>
        <v>0001</v>
      </c>
    </row>
    <row r="345" spans="21:22">
      <c r="U345" s="466" t="str">
        <f t="shared" si="11"/>
        <v>0001</v>
      </c>
      <c r="V345" s="462" t="str">
        <f t="shared" si="10"/>
        <v>0001</v>
      </c>
    </row>
    <row r="346" spans="21:22">
      <c r="U346" s="466" t="str">
        <f t="shared" si="11"/>
        <v>0001</v>
      </c>
      <c r="V346" s="462" t="str">
        <f t="shared" si="10"/>
        <v>0001</v>
      </c>
    </row>
    <row r="347" spans="21:22">
      <c r="U347" s="466" t="str">
        <f t="shared" si="11"/>
        <v>0001</v>
      </c>
      <c r="V347" s="462" t="str">
        <f t="shared" si="10"/>
        <v>0001</v>
      </c>
    </row>
    <row r="348" spans="21:22">
      <c r="U348" s="466" t="str">
        <f t="shared" si="11"/>
        <v>0001</v>
      </c>
      <c r="V348" s="462" t="str">
        <f t="shared" si="10"/>
        <v>0001</v>
      </c>
    </row>
    <row r="349" spans="21:22">
      <c r="U349" s="466" t="str">
        <f t="shared" si="11"/>
        <v>0001</v>
      </c>
      <c r="V349" s="462" t="str">
        <f t="shared" si="10"/>
        <v>0001</v>
      </c>
    </row>
    <row r="350" spans="21:22">
      <c r="U350" s="466" t="str">
        <f t="shared" si="11"/>
        <v>0001</v>
      </c>
      <c r="V350" s="462" t="str">
        <f t="shared" si="10"/>
        <v>0001</v>
      </c>
    </row>
    <row r="351" spans="21:22">
      <c r="U351" s="466" t="str">
        <f t="shared" si="11"/>
        <v>0001</v>
      </c>
      <c r="V351" s="462" t="str">
        <f t="shared" si="10"/>
        <v>0001</v>
      </c>
    </row>
    <row r="352" spans="21:22">
      <c r="U352" s="466" t="str">
        <f t="shared" si="11"/>
        <v>0001</v>
      </c>
      <c r="V352" s="462" t="str">
        <f t="shared" si="10"/>
        <v>0001</v>
      </c>
    </row>
    <row r="353" spans="21:22">
      <c r="U353" s="466" t="str">
        <f t="shared" si="11"/>
        <v>0001</v>
      </c>
      <c r="V353" s="462" t="str">
        <f t="shared" si="10"/>
        <v>0001</v>
      </c>
    </row>
    <row r="354" spans="21:22">
      <c r="U354" s="466" t="str">
        <f t="shared" si="11"/>
        <v>0001</v>
      </c>
      <c r="V354" s="462" t="str">
        <f t="shared" si="10"/>
        <v>0001</v>
      </c>
    </row>
    <row r="355" spans="21:22">
      <c r="U355" s="466" t="str">
        <f t="shared" si="11"/>
        <v>0001</v>
      </c>
      <c r="V355" s="462" t="str">
        <f t="shared" si="10"/>
        <v>0001</v>
      </c>
    </row>
    <row r="356" spans="21:22">
      <c r="U356" s="466" t="str">
        <f t="shared" si="11"/>
        <v>0001</v>
      </c>
      <c r="V356" s="462" t="str">
        <f t="shared" si="10"/>
        <v>0001</v>
      </c>
    </row>
    <row r="357" spans="21:22">
      <c r="U357" s="466" t="str">
        <f t="shared" si="11"/>
        <v>0001</v>
      </c>
      <c r="V357" s="462" t="str">
        <f t="shared" si="10"/>
        <v>0001</v>
      </c>
    </row>
    <row r="358" spans="21:22">
      <c r="U358" s="466" t="str">
        <f t="shared" si="11"/>
        <v>0001</v>
      </c>
      <c r="V358" s="462" t="str">
        <f t="shared" si="10"/>
        <v>0001</v>
      </c>
    </row>
    <row r="359" spans="21:22">
      <c r="U359" s="466" t="str">
        <f t="shared" si="11"/>
        <v>0001</v>
      </c>
      <c r="V359" s="462" t="str">
        <f t="shared" si="10"/>
        <v>0001</v>
      </c>
    </row>
    <row r="360" spans="21:22">
      <c r="U360" s="466" t="str">
        <f t="shared" si="11"/>
        <v>0001</v>
      </c>
      <c r="V360" s="462" t="str">
        <f t="shared" si="10"/>
        <v>0001</v>
      </c>
    </row>
    <row r="361" spans="21:22">
      <c r="U361" s="466" t="str">
        <f t="shared" si="11"/>
        <v>0001</v>
      </c>
      <c r="V361" s="462" t="str">
        <f t="shared" si="10"/>
        <v>0001</v>
      </c>
    </row>
    <row r="362" spans="21:22">
      <c r="U362" s="466" t="str">
        <f t="shared" si="11"/>
        <v>0001</v>
      </c>
      <c r="V362" s="462" t="str">
        <f t="shared" si="10"/>
        <v>0001</v>
      </c>
    </row>
    <row r="363" spans="21:22">
      <c r="U363" s="466" t="str">
        <f t="shared" si="11"/>
        <v>0001</v>
      </c>
      <c r="V363" s="462" t="str">
        <f t="shared" si="10"/>
        <v>0001</v>
      </c>
    </row>
    <row r="364" spans="21:22">
      <c r="U364" s="466" t="str">
        <f t="shared" si="11"/>
        <v>0001</v>
      </c>
      <c r="V364" s="462" t="str">
        <f t="shared" si="10"/>
        <v>0001</v>
      </c>
    </row>
    <row r="365" spans="21:22">
      <c r="U365" s="466" t="str">
        <f t="shared" si="11"/>
        <v>0001</v>
      </c>
      <c r="V365" s="462" t="str">
        <f t="shared" si="10"/>
        <v>0001</v>
      </c>
    </row>
    <row r="366" spans="21:22">
      <c r="U366" s="466" t="str">
        <f t="shared" si="11"/>
        <v>0001</v>
      </c>
      <c r="V366" s="462" t="str">
        <f t="shared" si="10"/>
        <v>0001</v>
      </c>
    </row>
    <row r="367" spans="21:22">
      <c r="U367" s="466" t="str">
        <f t="shared" si="11"/>
        <v>0001</v>
      </c>
      <c r="V367" s="462" t="str">
        <f t="shared" si="10"/>
        <v>0001</v>
      </c>
    </row>
    <row r="368" spans="21:22">
      <c r="U368" s="466" t="str">
        <f t="shared" si="11"/>
        <v>0001</v>
      </c>
      <c r="V368" s="462" t="str">
        <f t="shared" si="10"/>
        <v>0001</v>
      </c>
    </row>
    <row r="369" spans="21:22">
      <c r="U369" s="466" t="str">
        <f t="shared" si="11"/>
        <v>0001</v>
      </c>
      <c r="V369" s="462" t="str">
        <f t="shared" si="10"/>
        <v>0001</v>
      </c>
    </row>
    <row r="370" spans="21:22">
      <c r="U370" s="466" t="str">
        <f t="shared" si="11"/>
        <v>0001</v>
      </c>
      <c r="V370" s="462" t="str">
        <f t="shared" si="10"/>
        <v>0001</v>
      </c>
    </row>
    <row r="371" spans="21:22">
      <c r="U371" s="466" t="str">
        <f t="shared" si="11"/>
        <v>0001</v>
      </c>
      <c r="V371" s="462" t="str">
        <f t="shared" si="10"/>
        <v>0001</v>
      </c>
    </row>
    <row r="372" spans="21:22">
      <c r="U372" s="466" t="str">
        <f t="shared" si="11"/>
        <v>0001</v>
      </c>
      <c r="V372" s="462" t="str">
        <f t="shared" si="10"/>
        <v>0001</v>
      </c>
    </row>
    <row r="373" spans="21:22">
      <c r="U373" s="466" t="str">
        <f t="shared" si="11"/>
        <v>0001</v>
      </c>
      <c r="V373" s="462" t="str">
        <f t="shared" si="10"/>
        <v>0001</v>
      </c>
    </row>
    <row r="374" spans="21:22">
      <c r="U374" s="466" t="str">
        <f t="shared" si="11"/>
        <v>0001</v>
      </c>
      <c r="V374" s="462" t="str">
        <f t="shared" si="10"/>
        <v>0001</v>
      </c>
    </row>
    <row r="375" spans="21:22">
      <c r="U375" s="466" t="str">
        <f t="shared" si="11"/>
        <v>0001</v>
      </c>
      <c r="V375" s="462" t="str">
        <f t="shared" si="10"/>
        <v>0001</v>
      </c>
    </row>
    <row r="376" spans="21:22">
      <c r="U376" s="466" t="str">
        <f t="shared" si="11"/>
        <v>0001</v>
      </c>
      <c r="V376" s="462" t="str">
        <f t="shared" si="10"/>
        <v>0001</v>
      </c>
    </row>
    <row r="377" spans="21:22">
      <c r="U377" s="466" t="str">
        <f t="shared" si="11"/>
        <v>0001</v>
      </c>
      <c r="V377" s="462" t="str">
        <f t="shared" si="10"/>
        <v>0001</v>
      </c>
    </row>
    <row r="378" spans="21:22">
      <c r="U378" s="466" t="str">
        <f t="shared" si="11"/>
        <v>0001</v>
      </c>
      <c r="V378" s="462" t="str">
        <f t="shared" si="10"/>
        <v>0001</v>
      </c>
    </row>
    <row r="379" spans="21:22">
      <c r="U379" s="466" t="str">
        <f t="shared" si="11"/>
        <v>0001</v>
      </c>
      <c r="V379" s="462" t="str">
        <f t="shared" si="10"/>
        <v>0001</v>
      </c>
    </row>
    <row r="380" spans="21:22">
      <c r="U380" s="466" t="str">
        <f t="shared" si="11"/>
        <v>0001</v>
      </c>
      <c r="V380" s="462" t="str">
        <f t="shared" si="10"/>
        <v>0001</v>
      </c>
    </row>
    <row r="381" spans="21:22">
      <c r="U381" s="466" t="str">
        <f t="shared" si="11"/>
        <v>0001</v>
      </c>
      <c r="V381" s="462" t="str">
        <f t="shared" si="10"/>
        <v>0001</v>
      </c>
    </row>
    <row r="382" spans="21:22">
      <c r="U382" s="466" t="str">
        <f t="shared" si="11"/>
        <v>0001</v>
      </c>
      <c r="V382" s="462" t="str">
        <f t="shared" si="10"/>
        <v>0001</v>
      </c>
    </row>
    <row r="383" spans="21:22">
      <c r="U383" s="466" t="str">
        <f t="shared" si="11"/>
        <v>0001</v>
      </c>
      <c r="V383" s="462" t="str">
        <f t="shared" si="10"/>
        <v>0001</v>
      </c>
    </row>
    <row r="384" spans="21:22">
      <c r="U384" s="466" t="str">
        <f t="shared" si="11"/>
        <v>0001</v>
      </c>
      <c r="V384" s="462" t="str">
        <f t="shared" si="10"/>
        <v>0001</v>
      </c>
    </row>
    <row r="385" spans="21:22">
      <c r="U385" s="466" t="str">
        <f t="shared" si="11"/>
        <v>0001</v>
      </c>
      <c r="V385" s="462" t="str">
        <f t="shared" si="10"/>
        <v>0001</v>
      </c>
    </row>
    <row r="386" spans="21:22">
      <c r="U386" s="466" t="str">
        <f t="shared" si="11"/>
        <v>0001</v>
      </c>
      <c r="V386" s="462" t="str">
        <f t="shared" ref="V386:V449" si="12">TEXT(T386,"YYMM")</f>
        <v>0001</v>
      </c>
    </row>
    <row r="387" spans="21:22">
      <c r="U387" s="466" t="str">
        <f t="shared" ref="U387:U450" si="13">TEXT(Q387,"YYMM")</f>
        <v>0001</v>
      </c>
      <c r="V387" s="462" t="str">
        <f t="shared" si="12"/>
        <v>0001</v>
      </c>
    </row>
    <row r="388" spans="21:22">
      <c r="U388" s="466" t="str">
        <f t="shared" si="13"/>
        <v>0001</v>
      </c>
      <c r="V388" s="462" t="str">
        <f t="shared" si="12"/>
        <v>0001</v>
      </c>
    </row>
    <row r="389" spans="21:22">
      <c r="U389" s="466" t="str">
        <f t="shared" si="13"/>
        <v>0001</v>
      </c>
      <c r="V389" s="462" t="str">
        <f t="shared" si="12"/>
        <v>0001</v>
      </c>
    </row>
    <row r="390" spans="21:22">
      <c r="U390" s="466" t="str">
        <f t="shared" si="13"/>
        <v>0001</v>
      </c>
      <c r="V390" s="462" t="str">
        <f t="shared" si="12"/>
        <v>0001</v>
      </c>
    </row>
    <row r="391" spans="21:22">
      <c r="U391" s="466" t="str">
        <f t="shared" si="13"/>
        <v>0001</v>
      </c>
      <c r="V391" s="462" t="str">
        <f t="shared" si="12"/>
        <v>0001</v>
      </c>
    </row>
    <row r="392" spans="21:22">
      <c r="U392" s="466" t="str">
        <f t="shared" si="13"/>
        <v>0001</v>
      </c>
      <c r="V392" s="462" t="str">
        <f t="shared" si="12"/>
        <v>0001</v>
      </c>
    </row>
    <row r="393" spans="21:22">
      <c r="U393" s="466" t="str">
        <f t="shared" si="13"/>
        <v>0001</v>
      </c>
      <c r="V393" s="462" t="str">
        <f t="shared" si="12"/>
        <v>0001</v>
      </c>
    </row>
    <row r="394" spans="21:22">
      <c r="U394" s="466" t="str">
        <f t="shared" si="13"/>
        <v>0001</v>
      </c>
      <c r="V394" s="462" t="str">
        <f t="shared" si="12"/>
        <v>0001</v>
      </c>
    </row>
    <row r="395" spans="21:22">
      <c r="U395" s="466" t="str">
        <f t="shared" si="13"/>
        <v>0001</v>
      </c>
      <c r="V395" s="462" t="str">
        <f t="shared" si="12"/>
        <v>0001</v>
      </c>
    </row>
    <row r="396" spans="21:22">
      <c r="U396" s="466" t="str">
        <f t="shared" si="13"/>
        <v>0001</v>
      </c>
      <c r="V396" s="462" t="str">
        <f t="shared" si="12"/>
        <v>0001</v>
      </c>
    </row>
    <row r="397" spans="21:22">
      <c r="U397" s="466" t="str">
        <f t="shared" si="13"/>
        <v>0001</v>
      </c>
      <c r="V397" s="462" t="str">
        <f t="shared" si="12"/>
        <v>0001</v>
      </c>
    </row>
    <row r="398" spans="21:22">
      <c r="U398" s="466" t="str">
        <f t="shared" si="13"/>
        <v>0001</v>
      </c>
      <c r="V398" s="462" t="str">
        <f t="shared" si="12"/>
        <v>0001</v>
      </c>
    </row>
    <row r="399" spans="21:22">
      <c r="U399" s="466" t="str">
        <f t="shared" si="13"/>
        <v>0001</v>
      </c>
      <c r="V399" s="462" t="str">
        <f t="shared" si="12"/>
        <v>0001</v>
      </c>
    </row>
    <row r="400" spans="21:22">
      <c r="U400" s="466" t="str">
        <f t="shared" si="13"/>
        <v>0001</v>
      </c>
      <c r="V400" s="462" t="str">
        <f t="shared" si="12"/>
        <v>0001</v>
      </c>
    </row>
    <row r="401" spans="21:22">
      <c r="U401" s="466" t="str">
        <f t="shared" si="13"/>
        <v>0001</v>
      </c>
      <c r="V401" s="462" t="str">
        <f t="shared" si="12"/>
        <v>0001</v>
      </c>
    </row>
    <row r="402" spans="21:22">
      <c r="U402" s="466" t="str">
        <f t="shared" si="13"/>
        <v>0001</v>
      </c>
      <c r="V402" s="462" t="str">
        <f t="shared" si="12"/>
        <v>0001</v>
      </c>
    </row>
    <row r="403" spans="21:22">
      <c r="U403" s="466" t="str">
        <f t="shared" si="13"/>
        <v>0001</v>
      </c>
      <c r="V403" s="462" t="str">
        <f t="shared" si="12"/>
        <v>0001</v>
      </c>
    </row>
    <row r="404" spans="21:22">
      <c r="U404" s="466" t="str">
        <f t="shared" si="13"/>
        <v>0001</v>
      </c>
      <c r="V404" s="462" t="str">
        <f t="shared" si="12"/>
        <v>0001</v>
      </c>
    </row>
    <row r="405" spans="21:22">
      <c r="U405" s="466" t="str">
        <f t="shared" si="13"/>
        <v>0001</v>
      </c>
      <c r="V405" s="462" t="str">
        <f t="shared" si="12"/>
        <v>0001</v>
      </c>
    </row>
    <row r="406" spans="21:22">
      <c r="U406" s="466" t="str">
        <f t="shared" si="13"/>
        <v>0001</v>
      </c>
      <c r="V406" s="462" t="str">
        <f t="shared" si="12"/>
        <v>0001</v>
      </c>
    </row>
    <row r="407" spans="21:22">
      <c r="U407" s="466" t="str">
        <f t="shared" si="13"/>
        <v>0001</v>
      </c>
      <c r="V407" s="462" t="str">
        <f t="shared" si="12"/>
        <v>0001</v>
      </c>
    </row>
    <row r="408" spans="21:22">
      <c r="U408" s="466" t="str">
        <f t="shared" si="13"/>
        <v>0001</v>
      </c>
      <c r="V408" s="462" t="str">
        <f t="shared" si="12"/>
        <v>0001</v>
      </c>
    </row>
    <row r="409" spans="21:22">
      <c r="U409" s="466" t="str">
        <f t="shared" si="13"/>
        <v>0001</v>
      </c>
      <c r="V409" s="462" t="str">
        <f t="shared" si="12"/>
        <v>0001</v>
      </c>
    </row>
    <row r="410" spans="21:22">
      <c r="U410" s="466" t="str">
        <f t="shared" si="13"/>
        <v>0001</v>
      </c>
      <c r="V410" s="462" t="str">
        <f t="shared" si="12"/>
        <v>0001</v>
      </c>
    </row>
    <row r="411" spans="21:22">
      <c r="U411" s="466" t="str">
        <f t="shared" si="13"/>
        <v>0001</v>
      </c>
      <c r="V411" s="462" t="str">
        <f t="shared" si="12"/>
        <v>0001</v>
      </c>
    </row>
    <row r="412" spans="21:22">
      <c r="U412" s="466" t="str">
        <f t="shared" si="13"/>
        <v>0001</v>
      </c>
      <c r="V412" s="462" t="str">
        <f t="shared" si="12"/>
        <v>0001</v>
      </c>
    </row>
    <row r="413" spans="21:22">
      <c r="U413" s="466" t="str">
        <f t="shared" si="13"/>
        <v>0001</v>
      </c>
      <c r="V413" s="462" t="str">
        <f t="shared" si="12"/>
        <v>0001</v>
      </c>
    </row>
    <row r="414" spans="21:22">
      <c r="U414" s="466" t="str">
        <f t="shared" si="13"/>
        <v>0001</v>
      </c>
      <c r="V414" s="462" t="str">
        <f t="shared" si="12"/>
        <v>0001</v>
      </c>
    </row>
    <row r="415" spans="21:22">
      <c r="U415" s="466" t="str">
        <f t="shared" si="13"/>
        <v>0001</v>
      </c>
      <c r="V415" s="462" t="str">
        <f t="shared" si="12"/>
        <v>0001</v>
      </c>
    </row>
    <row r="416" spans="21:22">
      <c r="U416" s="466" t="str">
        <f t="shared" si="13"/>
        <v>0001</v>
      </c>
      <c r="V416" s="462" t="str">
        <f t="shared" si="12"/>
        <v>0001</v>
      </c>
    </row>
    <row r="417" spans="21:22">
      <c r="U417" s="466" t="str">
        <f t="shared" si="13"/>
        <v>0001</v>
      </c>
      <c r="V417" s="462" t="str">
        <f t="shared" si="12"/>
        <v>0001</v>
      </c>
    </row>
    <row r="418" spans="21:22">
      <c r="U418" s="466" t="str">
        <f t="shared" si="13"/>
        <v>0001</v>
      </c>
      <c r="V418" s="462" t="str">
        <f t="shared" si="12"/>
        <v>0001</v>
      </c>
    </row>
    <row r="419" spans="21:22">
      <c r="U419" s="466" t="str">
        <f t="shared" si="13"/>
        <v>0001</v>
      </c>
      <c r="V419" s="462" t="str">
        <f t="shared" si="12"/>
        <v>0001</v>
      </c>
    </row>
    <row r="420" spans="21:22">
      <c r="U420" s="466" t="str">
        <f t="shared" si="13"/>
        <v>0001</v>
      </c>
      <c r="V420" s="462" t="str">
        <f t="shared" si="12"/>
        <v>0001</v>
      </c>
    </row>
    <row r="421" spans="21:22">
      <c r="U421" s="466" t="str">
        <f t="shared" si="13"/>
        <v>0001</v>
      </c>
      <c r="V421" s="462" t="str">
        <f t="shared" si="12"/>
        <v>0001</v>
      </c>
    </row>
    <row r="422" spans="21:22">
      <c r="U422" s="466" t="str">
        <f t="shared" si="13"/>
        <v>0001</v>
      </c>
      <c r="V422" s="462" t="str">
        <f t="shared" si="12"/>
        <v>0001</v>
      </c>
    </row>
    <row r="423" spans="21:22">
      <c r="U423" s="466" t="str">
        <f t="shared" si="13"/>
        <v>0001</v>
      </c>
      <c r="V423" s="462" t="str">
        <f t="shared" si="12"/>
        <v>0001</v>
      </c>
    </row>
    <row r="424" spans="21:22">
      <c r="U424" s="466" t="str">
        <f t="shared" si="13"/>
        <v>0001</v>
      </c>
      <c r="V424" s="462" t="str">
        <f t="shared" si="12"/>
        <v>0001</v>
      </c>
    </row>
    <row r="425" spans="21:22">
      <c r="U425" s="466" t="str">
        <f t="shared" si="13"/>
        <v>0001</v>
      </c>
      <c r="V425" s="462" t="str">
        <f t="shared" si="12"/>
        <v>0001</v>
      </c>
    </row>
    <row r="426" spans="21:22">
      <c r="U426" s="466" t="str">
        <f t="shared" si="13"/>
        <v>0001</v>
      </c>
      <c r="V426" s="462" t="str">
        <f t="shared" si="12"/>
        <v>0001</v>
      </c>
    </row>
    <row r="427" spans="21:22">
      <c r="U427" s="466" t="str">
        <f t="shared" si="13"/>
        <v>0001</v>
      </c>
      <c r="V427" s="462" t="str">
        <f t="shared" si="12"/>
        <v>0001</v>
      </c>
    </row>
    <row r="428" spans="21:22">
      <c r="U428" s="466" t="str">
        <f t="shared" si="13"/>
        <v>0001</v>
      </c>
      <c r="V428" s="462" t="str">
        <f t="shared" si="12"/>
        <v>0001</v>
      </c>
    </row>
    <row r="429" spans="21:22">
      <c r="U429" s="466" t="str">
        <f t="shared" si="13"/>
        <v>0001</v>
      </c>
      <c r="V429" s="462" t="str">
        <f t="shared" si="12"/>
        <v>0001</v>
      </c>
    </row>
    <row r="430" spans="21:22">
      <c r="U430" s="466" t="str">
        <f t="shared" si="13"/>
        <v>0001</v>
      </c>
      <c r="V430" s="462" t="str">
        <f t="shared" si="12"/>
        <v>0001</v>
      </c>
    </row>
    <row r="431" spans="21:22">
      <c r="U431" s="466" t="str">
        <f t="shared" si="13"/>
        <v>0001</v>
      </c>
      <c r="V431" s="462" t="str">
        <f t="shared" si="12"/>
        <v>0001</v>
      </c>
    </row>
    <row r="432" spans="21:22">
      <c r="U432" s="466" t="str">
        <f t="shared" si="13"/>
        <v>0001</v>
      </c>
      <c r="V432" s="462" t="str">
        <f t="shared" si="12"/>
        <v>0001</v>
      </c>
    </row>
    <row r="433" spans="21:22">
      <c r="U433" s="466" t="str">
        <f t="shared" si="13"/>
        <v>0001</v>
      </c>
      <c r="V433" s="462" t="str">
        <f t="shared" si="12"/>
        <v>0001</v>
      </c>
    </row>
    <row r="434" spans="21:22">
      <c r="U434" s="466" t="str">
        <f t="shared" si="13"/>
        <v>0001</v>
      </c>
      <c r="V434" s="462" t="str">
        <f t="shared" si="12"/>
        <v>0001</v>
      </c>
    </row>
    <row r="435" spans="21:22">
      <c r="U435" s="466" t="str">
        <f t="shared" si="13"/>
        <v>0001</v>
      </c>
      <c r="V435" s="462" t="str">
        <f t="shared" si="12"/>
        <v>0001</v>
      </c>
    </row>
    <row r="436" spans="21:22">
      <c r="U436" s="466" t="str">
        <f t="shared" si="13"/>
        <v>0001</v>
      </c>
      <c r="V436" s="462" t="str">
        <f t="shared" si="12"/>
        <v>0001</v>
      </c>
    </row>
    <row r="437" spans="21:22">
      <c r="U437" s="466" t="str">
        <f t="shared" si="13"/>
        <v>0001</v>
      </c>
      <c r="V437" s="462" t="str">
        <f t="shared" si="12"/>
        <v>0001</v>
      </c>
    </row>
    <row r="438" spans="21:22">
      <c r="U438" s="466" t="str">
        <f t="shared" si="13"/>
        <v>0001</v>
      </c>
      <c r="V438" s="462" t="str">
        <f t="shared" si="12"/>
        <v>0001</v>
      </c>
    </row>
    <row r="439" spans="21:22">
      <c r="U439" s="466" t="str">
        <f t="shared" si="13"/>
        <v>0001</v>
      </c>
      <c r="V439" s="462" t="str">
        <f t="shared" si="12"/>
        <v>0001</v>
      </c>
    </row>
    <row r="440" spans="21:22">
      <c r="U440" s="466" t="str">
        <f t="shared" si="13"/>
        <v>0001</v>
      </c>
      <c r="V440" s="462" t="str">
        <f t="shared" si="12"/>
        <v>0001</v>
      </c>
    </row>
    <row r="441" spans="21:22">
      <c r="U441" s="466" t="str">
        <f t="shared" si="13"/>
        <v>0001</v>
      </c>
      <c r="V441" s="462" t="str">
        <f t="shared" si="12"/>
        <v>0001</v>
      </c>
    </row>
    <row r="442" spans="21:22">
      <c r="U442" s="466" t="str">
        <f t="shared" si="13"/>
        <v>0001</v>
      </c>
      <c r="V442" s="462" t="str">
        <f t="shared" si="12"/>
        <v>0001</v>
      </c>
    </row>
    <row r="443" spans="21:22">
      <c r="U443" s="466" t="str">
        <f t="shared" si="13"/>
        <v>0001</v>
      </c>
      <c r="V443" s="462" t="str">
        <f t="shared" si="12"/>
        <v>0001</v>
      </c>
    </row>
    <row r="444" spans="21:22">
      <c r="U444" s="466" t="str">
        <f t="shared" si="13"/>
        <v>0001</v>
      </c>
      <c r="V444" s="462" t="str">
        <f t="shared" si="12"/>
        <v>0001</v>
      </c>
    </row>
    <row r="445" spans="21:22">
      <c r="U445" s="466" t="str">
        <f t="shared" si="13"/>
        <v>0001</v>
      </c>
      <c r="V445" s="462" t="str">
        <f t="shared" si="12"/>
        <v>0001</v>
      </c>
    </row>
    <row r="446" spans="21:22">
      <c r="U446" s="466" t="str">
        <f t="shared" si="13"/>
        <v>0001</v>
      </c>
      <c r="V446" s="462" t="str">
        <f t="shared" si="12"/>
        <v>0001</v>
      </c>
    </row>
    <row r="447" spans="21:22">
      <c r="U447" s="466" t="str">
        <f t="shared" si="13"/>
        <v>0001</v>
      </c>
      <c r="V447" s="462" t="str">
        <f t="shared" si="12"/>
        <v>0001</v>
      </c>
    </row>
    <row r="448" spans="21:22">
      <c r="U448" s="466" t="str">
        <f t="shared" si="13"/>
        <v>0001</v>
      </c>
      <c r="V448" s="462" t="str">
        <f t="shared" si="12"/>
        <v>0001</v>
      </c>
    </row>
    <row r="449" spans="21:22">
      <c r="U449" s="466" t="str">
        <f t="shared" si="13"/>
        <v>0001</v>
      </c>
      <c r="V449" s="462" t="str">
        <f t="shared" si="12"/>
        <v>0001</v>
      </c>
    </row>
    <row r="450" spans="21:22">
      <c r="U450" s="466" t="str">
        <f t="shared" si="13"/>
        <v>0001</v>
      </c>
      <c r="V450" s="462" t="str">
        <f t="shared" ref="V450:V513" si="14">TEXT(T450,"YYMM")</f>
        <v>0001</v>
      </c>
    </row>
    <row r="451" spans="21:22">
      <c r="U451" s="466" t="str">
        <f t="shared" ref="U451:U514" si="15">TEXT(Q451,"YYMM")</f>
        <v>0001</v>
      </c>
      <c r="V451" s="462" t="str">
        <f t="shared" si="14"/>
        <v>0001</v>
      </c>
    </row>
    <row r="452" spans="21:22">
      <c r="U452" s="466" t="str">
        <f t="shared" si="15"/>
        <v>0001</v>
      </c>
      <c r="V452" s="462" t="str">
        <f t="shared" si="14"/>
        <v>0001</v>
      </c>
    </row>
    <row r="453" spans="21:22">
      <c r="U453" s="466" t="str">
        <f t="shared" si="15"/>
        <v>0001</v>
      </c>
      <c r="V453" s="462" t="str">
        <f t="shared" si="14"/>
        <v>0001</v>
      </c>
    </row>
    <row r="454" spans="21:22">
      <c r="U454" s="466" t="str">
        <f t="shared" si="15"/>
        <v>0001</v>
      </c>
      <c r="V454" s="462" t="str">
        <f t="shared" si="14"/>
        <v>0001</v>
      </c>
    </row>
    <row r="455" spans="21:22">
      <c r="U455" s="466" t="str">
        <f t="shared" si="15"/>
        <v>0001</v>
      </c>
      <c r="V455" s="462" t="str">
        <f t="shared" si="14"/>
        <v>0001</v>
      </c>
    </row>
    <row r="456" spans="21:22">
      <c r="U456" s="466" t="str">
        <f t="shared" si="15"/>
        <v>0001</v>
      </c>
      <c r="V456" s="462" t="str">
        <f t="shared" si="14"/>
        <v>0001</v>
      </c>
    </row>
    <row r="457" spans="21:22">
      <c r="U457" s="466" t="str">
        <f t="shared" si="15"/>
        <v>0001</v>
      </c>
      <c r="V457" s="462" t="str">
        <f t="shared" si="14"/>
        <v>0001</v>
      </c>
    </row>
    <row r="458" spans="21:22">
      <c r="U458" s="466" t="str">
        <f t="shared" si="15"/>
        <v>0001</v>
      </c>
      <c r="V458" s="462" t="str">
        <f t="shared" si="14"/>
        <v>0001</v>
      </c>
    </row>
    <row r="459" spans="21:22">
      <c r="U459" s="466" t="str">
        <f t="shared" si="15"/>
        <v>0001</v>
      </c>
      <c r="V459" s="462" t="str">
        <f t="shared" si="14"/>
        <v>0001</v>
      </c>
    </row>
    <row r="460" spans="21:22">
      <c r="U460" s="466" t="str">
        <f t="shared" si="15"/>
        <v>0001</v>
      </c>
      <c r="V460" s="462" t="str">
        <f t="shared" si="14"/>
        <v>0001</v>
      </c>
    </row>
    <row r="461" spans="21:22">
      <c r="U461" s="466" t="str">
        <f t="shared" si="15"/>
        <v>0001</v>
      </c>
      <c r="V461" s="462" t="str">
        <f t="shared" si="14"/>
        <v>0001</v>
      </c>
    </row>
    <row r="462" spans="21:22">
      <c r="U462" s="466" t="str">
        <f t="shared" si="15"/>
        <v>0001</v>
      </c>
      <c r="V462" s="462" t="str">
        <f t="shared" si="14"/>
        <v>0001</v>
      </c>
    </row>
    <row r="463" spans="21:22">
      <c r="U463" s="466" t="str">
        <f t="shared" si="15"/>
        <v>0001</v>
      </c>
      <c r="V463" s="462" t="str">
        <f t="shared" si="14"/>
        <v>0001</v>
      </c>
    </row>
    <row r="464" spans="21:22">
      <c r="U464" s="466" t="str">
        <f t="shared" si="15"/>
        <v>0001</v>
      </c>
      <c r="V464" s="462" t="str">
        <f t="shared" si="14"/>
        <v>0001</v>
      </c>
    </row>
    <row r="465" spans="21:22">
      <c r="U465" s="466" t="str">
        <f t="shared" si="15"/>
        <v>0001</v>
      </c>
      <c r="V465" s="462" t="str">
        <f t="shared" si="14"/>
        <v>0001</v>
      </c>
    </row>
    <row r="466" spans="21:22">
      <c r="U466" s="466" t="str">
        <f t="shared" si="15"/>
        <v>0001</v>
      </c>
      <c r="V466" s="462" t="str">
        <f t="shared" si="14"/>
        <v>0001</v>
      </c>
    </row>
    <row r="467" spans="21:22">
      <c r="U467" s="466" t="str">
        <f t="shared" si="15"/>
        <v>0001</v>
      </c>
      <c r="V467" s="462" t="str">
        <f t="shared" si="14"/>
        <v>0001</v>
      </c>
    </row>
    <row r="468" spans="21:22">
      <c r="U468" s="466" t="str">
        <f t="shared" si="15"/>
        <v>0001</v>
      </c>
      <c r="V468" s="462" t="str">
        <f t="shared" si="14"/>
        <v>0001</v>
      </c>
    </row>
    <row r="469" spans="21:22">
      <c r="U469" s="466" t="str">
        <f t="shared" si="15"/>
        <v>0001</v>
      </c>
      <c r="V469" s="462" t="str">
        <f t="shared" si="14"/>
        <v>0001</v>
      </c>
    </row>
    <row r="470" spans="21:22">
      <c r="U470" s="466" t="str">
        <f t="shared" si="15"/>
        <v>0001</v>
      </c>
      <c r="V470" s="462" t="str">
        <f t="shared" si="14"/>
        <v>0001</v>
      </c>
    </row>
    <row r="471" spans="21:22">
      <c r="U471" s="466" t="str">
        <f t="shared" si="15"/>
        <v>0001</v>
      </c>
      <c r="V471" s="462" t="str">
        <f t="shared" si="14"/>
        <v>0001</v>
      </c>
    </row>
    <row r="472" spans="21:22">
      <c r="U472" s="466" t="str">
        <f t="shared" si="15"/>
        <v>0001</v>
      </c>
      <c r="V472" s="462" t="str">
        <f t="shared" si="14"/>
        <v>0001</v>
      </c>
    </row>
    <row r="473" spans="21:22">
      <c r="U473" s="466" t="str">
        <f t="shared" si="15"/>
        <v>0001</v>
      </c>
      <c r="V473" s="462" t="str">
        <f t="shared" si="14"/>
        <v>0001</v>
      </c>
    </row>
    <row r="474" spans="21:22">
      <c r="U474" s="466" t="str">
        <f t="shared" si="15"/>
        <v>0001</v>
      </c>
      <c r="V474" s="462" t="str">
        <f t="shared" si="14"/>
        <v>0001</v>
      </c>
    </row>
    <row r="475" spans="21:22">
      <c r="U475" s="466" t="str">
        <f t="shared" si="15"/>
        <v>0001</v>
      </c>
      <c r="V475" s="462" t="str">
        <f t="shared" si="14"/>
        <v>0001</v>
      </c>
    </row>
    <row r="476" spans="21:22">
      <c r="U476" s="466" t="str">
        <f t="shared" si="15"/>
        <v>0001</v>
      </c>
      <c r="V476" s="462" t="str">
        <f t="shared" si="14"/>
        <v>0001</v>
      </c>
    </row>
    <row r="477" spans="21:22">
      <c r="U477" s="466" t="str">
        <f t="shared" si="15"/>
        <v>0001</v>
      </c>
      <c r="V477" s="462" t="str">
        <f t="shared" si="14"/>
        <v>0001</v>
      </c>
    </row>
    <row r="478" spans="21:22">
      <c r="U478" s="466" t="str">
        <f t="shared" si="15"/>
        <v>0001</v>
      </c>
      <c r="V478" s="462" t="str">
        <f t="shared" si="14"/>
        <v>0001</v>
      </c>
    </row>
    <row r="479" spans="21:22">
      <c r="U479" s="466" t="str">
        <f t="shared" si="15"/>
        <v>0001</v>
      </c>
      <c r="V479" s="462" t="str">
        <f t="shared" si="14"/>
        <v>0001</v>
      </c>
    </row>
    <row r="480" spans="21:22">
      <c r="U480" s="466" t="str">
        <f t="shared" si="15"/>
        <v>0001</v>
      </c>
      <c r="V480" s="462" t="str">
        <f t="shared" si="14"/>
        <v>0001</v>
      </c>
    </row>
    <row r="481" spans="21:22">
      <c r="U481" s="466" t="str">
        <f t="shared" si="15"/>
        <v>0001</v>
      </c>
      <c r="V481" s="462" t="str">
        <f t="shared" si="14"/>
        <v>0001</v>
      </c>
    </row>
    <row r="482" spans="21:22">
      <c r="U482" s="466" t="str">
        <f t="shared" si="15"/>
        <v>0001</v>
      </c>
      <c r="V482" s="462" t="str">
        <f t="shared" si="14"/>
        <v>0001</v>
      </c>
    </row>
    <row r="483" spans="21:22">
      <c r="U483" s="466" t="str">
        <f t="shared" si="15"/>
        <v>0001</v>
      </c>
      <c r="V483" s="462" t="str">
        <f t="shared" si="14"/>
        <v>0001</v>
      </c>
    </row>
    <row r="484" spans="21:22">
      <c r="U484" s="466" t="str">
        <f t="shared" si="15"/>
        <v>0001</v>
      </c>
      <c r="V484" s="462" t="str">
        <f t="shared" si="14"/>
        <v>0001</v>
      </c>
    </row>
    <row r="485" spans="21:22">
      <c r="U485" s="466" t="str">
        <f t="shared" si="15"/>
        <v>0001</v>
      </c>
      <c r="V485" s="462" t="str">
        <f t="shared" si="14"/>
        <v>0001</v>
      </c>
    </row>
    <row r="486" spans="21:22">
      <c r="U486" s="466" t="str">
        <f t="shared" si="15"/>
        <v>0001</v>
      </c>
      <c r="V486" s="462" t="str">
        <f t="shared" si="14"/>
        <v>0001</v>
      </c>
    </row>
    <row r="487" spans="21:22">
      <c r="U487" s="466" t="str">
        <f t="shared" si="15"/>
        <v>0001</v>
      </c>
      <c r="V487" s="462" t="str">
        <f t="shared" si="14"/>
        <v>0001</v>
      </c>
    </row>
    <row r="488" spans="21:22">
      <c r="U488" s="466" t="str">
        <f t="shared" si="15"/>
        <v>0001</v>
      </c>
      <c r="V488" s="462" t="str">
        <f t="shared" si="14"/>
        <v>0001</v>
      </c>
    </row>
    <row r="489" spans="21:22">
      <c r="U489" s="466" t="str">
        <f t="shared" si="15"/>
        <v>0001</v>
      </c>
      <c r="V489" s="462" t="str">
        <f t="shared" si="14"/>
        <v>0001</v>
      </c>
    </row>
    <row r="490" spans="21:22">
      <c r="U490" s="466" t="str">
        <f t="shared" si="15"/>
        <v>0001</v>
      </c>
      <c r="V490" s="462" t="str">
        <f t="shared" si="14"/>
        <v>0001</v>
      </c>
    </row>
    <row r="491" spans="21:22">
      <c r="U491" s="466" t="str">
        <f t="shared" si="15"/>
        <v>0001</v>
      </c>
      <c r="V491" s="462" t="str">
        <f t="shared" si="14"/>
        <v>0001</v>
      </c>
    </row>
    <row r="492" spans="21:22">
      <c r="U492" s="466" t="str">
        <f t="shared" si="15"/>
        <v>0001</v>
      </c>
      <c r="V492" s="462" t="str">
        <f t="shared" si="14"/>
        <v>0001</v>
      </c>
    </row>
    <row r="493" spans="21:22">
      <c r="U493" s="466" t="str">
        <f t="shared" si="15"/>
        <v>0001</v>
      </c>
      <c r="V493" s="462" t="str">
        <f t="shared" si="14"/>
        <v>0001</v>
      </c>
    </row>
    <row r="494" spans="21:22">
      <c r="U494" s="466" t="str">
        <f t="shared" si="15"/>
        <v>0001</v>
      </c>
      <c r="V494" s="462" t="str">
        <f t="shared" si="14"/>
        <v>0001</v>
      </c>
    </row>
    <row r="495" spans="21:22">
      <c r="U495" s="466" t="str">
        <f t="shared" si="15"/>
        <v>0001</v>
      </c>
      <c r="V495" s="462" t="str">
        <f t="shared" si="14"/>
        <v>0001</v>
      </c>
    </row>
    <row r="496" spans="21:22">
      <c r="U496" s="466" t="str">
        <f t="shared" si="15"/>
        <v>0001</v>
      </c>
      <c r="V496" s="462" t="str">
        <f t="shared" si="14"/>
        <v>0001</v>
      </c>
    </row>
    <row r="497" spans="21:22">
      <c r="U497" s="466" t="str">
        <f t="shared" si="15"/>
        <v>0001</v>
      </c>
      <c r="V497" s="462" t="str">
        <f t="shared" si="14"/>
        <v>0001</v>
      </c>
    </row>
    <row r="498" spans="21:22">
      <c r="U498" s="466" t="str">
        <f t="shared" si="15"/>
        <v>0001</v>
      </c>
      <c r="V498" s="462" t="str">
        <f t="shared" si="14"/>
        <v>0001</v>
      </c>
    </row>
    <row r="499" spans="21:22">
      <c r="U499" s="466" t="str">
        <f t="shared" si="15"/>
        <v>0001</v>
      </c>
      <c r="V499" s="462" t="str">
        <f t="shared" si="14"/>
        <v>0001</v>
      </c>
    </row>
    <row r="500" spans="21:22">
      <c r="U500" s="466" t="str">
        <f t="shared" si="15"/>
        <v>0001</v>
      </c>
      <c r="V500" s="462" t="str">
        <f t="shared" si="14"/>
        <v>0001</v>
      </c>
    </row>
    <row r="501" spans="21:22">
      <c r="U501" s="466" t="str">
        <f t="shared" si="15"/>
        <v>0001</v>
      </c>
      <c r="V501" s="462" t="str">
        <f t="shared" si="14"/>
        <v>0001</v>
      </c>
    </row>
    <row r="502" spans="21:22">
      <c r="U502" s="466" t="str">
        <f t="shared" si="15"/>
        <v>0001</v>
      </c>
      <c r="V502" s="462" t="str">
        <f t="shared" si="14"/>
        <v>0001</v>
      </c>
    </row>
    <row r="503" spans="21:22">
      <c r="U503" s="466" t="str">
        <f t="shared" si="15"/>
        <v>0001</v>
      </c>
      <c r="V503" s="462" t="str">
        <f t="shared" si="14"/>
        <v>0001</v>
      </c>
    </row>
    <row r="504" spans="21:22">
      <c r="U504" s="466" t="str">
        <f t="shared" si="15"/>
        <v>0001</v>
      </c>
      <c r="V504" s="462" t="str">
        <f t="shared" si="14"/>
        <v>0001</v>
      </c>
    </row>
    <row r="505" spans="21:22">
      <c r="U505" s="466" t="str">
        <f t="shared" si="15"/>
        <v>0001</v>
      </c>
      <c r="V505" s="462" t="str">
        <f t="shared" si="14"/>
        <v>0001</v>
      </c>
    </row>
    <row r="506" spans="21:22">
      <c r="U506" s="466" t="str">
        <f t="shared" si="15"/>
        <v>0001</v>
      </c>
      <c r="V506" s="462" t="str">
        <f t="shared" si="14"/>
        <v>0001</v>
      </c>
    </row>
    <row r="507" spans="21:22">
      <c r="U507" s="466" t="str">
        <f t="shared" si="15"/>
        <v>0001</v>
      </c>
      <c r="V507" s="462" t="str">
        <f t="shared" si="14"/>
        <v>0001</v>
      </c>
    </row>
    <row r="508" spans="21:22">
      <c r="U508" s="466" t="str">
        <f t="shared" si="15"/>
        <v>0001</v>
      </c>
      <c r="V508" s="462" t="str">
        <f t="shared" si="14"/>
        <v>0001</v>
      </c>
    </row>
    <row r="509" spans="21:22">
      <c r="U509" s="466" t="str">
        <f t="shared" si="15"/>
        <v>0001</v>
      </c>
      <c r="V509" s="462" t="str">
        <f t="shared" si="14"/>
        <v>0001</v>
      </c>
    </row>
    <row r="510" spans="21:22">
      <c r="U510" s="466" t="str">
        <f t="shared" si="15"/>
        <v>0001</v>
      </c>
      <c r="V510" s="462" t="str">
        <f t="shared" si="14"/>
        <v>0001</v>
      </c>
    </row>
    <row r="511" spans="21:22">
      <c r="U511" s="466" t="str">
        <f t="shared" si="15"/>
        <v>0001</v>
      </c>
      <c r="V511" s="462" t="str">
        <f t="shared" si="14"/>
        <v>0001</v>
      </c>
    </row>
    <row r="512" spans="21:22">
      <c r="U512" s="466" t="str">
        <f t="shared" si="15"/>
        <v>0001</v>
      </c>
      <c r="V512" s="462" t="str">
        <f t="shared" si="14"/>
        <v>0001</v>
      </c>
    </row>
    <row r="513" spans="21:22">
      <c r="U513" s="466" t="str">
        <f t="shared" si="15"/>
        <v>0001</v>
      </c>
      <c r="V513" s="462" t="str">
        <f t="shared" si="14"/>
        <v>0001</v>
      </c>
    </row>
    <row r="514" spans="21:22">
      <c r="U514" s="466" t="str">
        <f t="shared" si="15"/>
        <v>0001</v>
      </c>
      <c r="V514" s="462" t="str">
        <f t="shared" ref="V514:V577" si="16">TEXT(T514,"YYMM")</f>
        <v>0001</v>
      </c>
    </row>
    <row r="515" spans="21:22">
      <c r="U515" s="466" t="str">
        <f t="shared" ref="U515:U578" si="17">TEXT(Q515,"YYMM")</f>
        <v>0001</v>
      </c>
      <c r="V515" s="462" t="str">
        <f t="shared" si="16"/>
        <v>0001</v>
      </c>
    </row>
    <row r="516" spans="21:22">
      <c r="U516" s="466" t="str">
        <f t="shared" si="17"/>
        <v>0001</v>
      </c>
      <c r="V516" s="462" t="str">
        <f t="shared" si="16"/>
        <v>0001</v>
      </c>
    </row>
    <row r="517" spans="21:22">
      <c r="U517" s="466" t="str">
        <f t="shared" si="17"/>
        <v>0001</v>
      </c>
      <c r="V517" s="462" t="str">
        <f t="shared" si="16"/>
        <v>0001</v>
      </c>
    </row>
    <row r="518" spans="21:22">
      <c r="U518" s="466" t="str">
        <f t="shared" si="17"/>
        <v>0001</v>
      </c>
      <c r="V518" s="462" t="str">
        <f t="shared" si="16"/>
        <v>0001</v>
      </c>
    </row>
    <row r="519" spans="21:22">
      <c r="U519" s="466" t="str">
        <f t="shared" si="17"/>
        <v>0001</v>
      </c>
      <c r="V519" s="462" t="str">
        <f t="shared" si="16"/>
        <v>0001</v>
      </c>
    </row>
    <row r="520" spans="21:22">
      <c r="U520" s="466" t="str">
        <f t="shared" si="17"/>
        <v>0001</v>
      </c>
      <c r="V520" s="462" t="str">
        <f t="shared" si="16"/>
        <v>0001</v>
      </c>
    </row>
    <row r="521" spans="21:22">
      <c r="U521" s="466" t="str">
        <f t="shared" si="17"/>
        <v>0001</v>
      </c>
      <c r="V521" s="462" t="str">
        <f t="shared" si="16"/>
        <v>0001</v>
      </c>
    </row>
    <row r="522" spans="21:22">
      <c r="U522" s="466" t="str">
        <f t="shared" si="17"/>
        <v>0001</v>
      </c>
      <c r="V522" s="462" t="str">
        <f t="shared" si="16"/>
        <v>0001</v>
      </c>
    </row>
    <row r="523" spans="21:22">
      <c r="U523" s="466" t="str">
        <f t="shared" si="17"/>
        <v>0001</v>
      </c>
      <c r="V523" s="462" t="str">
        <f t="shared" si="16"/>
        <v>0001</v>
      </c>
    </row>
    <row r="524" spans="21:22">
      <c r="U524" s="466" t="str">
        <f t="shared" si="17"/>
        <v>0001</v>
      </c>
      <c r="V524" s="462" t="str">
        <f t="shared" si="16"/>
        <v>0001</v>
      </c>
    </row>
    <row r="525" spans="21:22">
      <c r="U525" s="466" t="str">
        <f t="shared" si="17"/>
        <v>0001</v>
      </c>
      <c r="V525" s="462" t="str">
        <f t="shared" si="16"/>
        <v>0001</v>
      </c>
    </row>
    <row r="526" spans="21:22">
      <c r="U526" s="466" t="str">
        <f t="shared" si="17"/>
        <v>0001</v>
      </c>
      <c r="V526" s="462" t="str">
        <f t="shared" si="16"/>
        <v>0001</v>
      </c>
    </row>
    <row r="527" spans="21:22">
      <c r="U527" s="466" t="str">
        <f t="shared" si="17"/>
        <v>0001</v>
      </c>
      <c r="V527" s="462" t="str">
        <f t="shared" si="16"/>
        <v>0001</v>
      </c>
    </row>
    <row r="528" spans="21:22">
      <c r="U528" s="466" t="str">
        <f t="shared" si="17"/>
        <v>0001</v>
      </c>
      <c r="V528" s="462" t="str">
        <f t="shared" si="16"/>
        <v>0001</v>
      </c>
    </row>
    <row r="529" spans="21:22">
      <c r="U529" s="466" t="str">
        <f t="shared" si="17"/>
        <v>0001</v>
      </c>
      <c r="V529" s="462" t="str">
        <f t="shared" si="16"/>
        <v>0001</v>
      </c>
    </row>
    <row r="530" spans="21:22">
      <c r="U530" s="466" t="str">
        <f t="shared" si="17"/>
        <v>0001</v>
      </c>
      <c r="V530" s="462" t="str">
        <f t="shared" si="16"/>
        <v>0001</v>
      </c>
    </row>
    <row r="531" spans="21:22">
      <c r="U531" s="466" t="str">
        <f t="shared" si="17"/>
        <v>0001</v>
      </c>
      <c r="V531" s="462" t="str">
        <f t="shared" si="16"/>
        <v>0001</v>
      </c>
    </row>
    <row r="532" spans="21:22">
      <c r="U532" s="466" t="str">
        <f t="shared" si="17"/>
        <v>0001</v>
      </c>
      <c r="V532" s="462" t="str">
        <f t="shared" si="16"/>
        <v>0001</v>
      </c>
    </row>
    <row r="533" spans="21:22">
      <c r="U533" s="466" t="str">
        <f t="shared" si="17"/>
        <v>0001</v>
      </c>
      <c r="V533" s="462" t="str">
        <f t="shared" si="16"/>
        <v>0001</v>
      </c>
    </row>
    <row r="534" spans="21:22">
      <c r="U534" s="466" t="str">
        <f t="shared" si="17"/>
        <v>0001</v>
      </c>
      <c r="V534" s="462" t="str">
        <f t="shared" si="16"/>
        <v>0001</v>
      </c>
    </row>
    <row r="535" spans="21:22">
      <c r="U535" s="466" t="str">
        <f t="shared" si="17"/>
        <v>0001</v>
      </c>
      <c r="V535" s="462" t="str">
        <f t="shared" si="16"/>
        <v>0001</v>
      </c>
    </row>
    <row r="536" spans="21:22">
      <c r="U536" s="466" t="str">
        <f t="shared" si="17"/>
        <v>0001</v>
      </c>
      <c r="V536" s="462" t="str">
        <f t="shared" si="16"/>
        <v>0001</v>
      </c>
    </row>
    <row r="537" spans="21:22">
      <c r="U537" s="466" t="str">
        <f t="shared" si="17"/>
        <v>0001</v>
      </c>
      <c r="V537" s="462" t="str">
        <f t="shared" si="16"/>
        <v>0001</v>
      </c>
    </row>
    <row r="538" spans="21:22">
      <c r="U538" s="466" t="str">
        <f t="shared" si="17"/>
        <v>0001</v>
      </c>
      <c r="V538" s="462" t="str">
        <f t="shared" si="16"/>
        <v>0001</v>
      </c>
    </row>
    <row r="539" spans="21:22">
      <c r="U539" s="466" t="str">
        <f t="shared" si="17"/>
        <v>0001</v>
      </c>
      <c r="V539" s="462" t="str">
        <f t="shared" si="16"/>
        <v>0001</v>
      </c>
    </row>
    <row r="540" spans="21:22">
      <c r="U540" s="466" t="str">
        <f t="shared" si="17"/>
        <v>0001</v>
      </c>
      <c r="V540" s="462" t="str">
        <f t="shared" si="16"/>
        <v>0001</v>
      </c>
    </row>
    <row r="541" spans="21:22">
      <c r="U541" s="466" t="str">
        <f t="shared" si="17"/>
        <v>0001</v>
      </c>
      <c r="V541" s="462" t="str">
        <f t="shared" si="16"/>
        <v>0001</v>
      </c>
    </row>
    <row r="542" spans="21:22">
      <c r="U542" s="466" t="str">
        <f t="shared" si="17"/>
        <v>0001</v>
      </c>
      <c r="V542" s="462" t="str">
        <f t="shared" si="16"/>
        <v>0001</v>
      </c>
    </row>
    <row r="543" spans="21:22">
      <c r="U543" s="466" t="str">
        <f t="shared" si="17"/>
        <v>0001</v>
      </c>
      <c r="V543" s="462" t="str">
        <f t="shared" si="16"/>
        <v>0001</v>
      </c>
    </row>
    <row r="544" spans="21:22">
      <c r="U544" s="466" t="str">
        <f t="shared" si="17"/>
        <v>0001</v>
      </c>
      <c r="V544" s="462" t="str">
        <f t="shared" si="16"/>
        <v>0001</v>
      </c>
    </row>
    <row r="545" spans="21:22">
      <c r="U545" s="466" t="str">
        <f t="shared" si="17"/>
        <v>0001</v>
      </c>
      <c r="V545" s="462" t="str">
        <f t="shared" si="16"/>
        <v>0001</v>
      </c>
    </row>
    <row r="546" spans="21:22">
      <c r="U546" s="466" t="str">
        <f t="shared" si="17"/>
        <v>0001</v>
      </c>
      <c r="V546" s="462" t="str">
        <f t="shared" si="16"/>
        <v>0001</v>
      </c>
    </row>
    <row r="547" spans="21:22">
      <c r="U547" s="466" t="str">
        <f t="shared" si="17"/>
        <v>0001</v>
      </c>
      <c r="V547" s="462" t="str">
        <f t="shared" si="16"/>
        <v>0001</v>
      </c>
    </row>
    <row r="548" spans="21:22">
      <c r="U548" s="466" t="str">
        <f t="shared" si="17"/>
        <v>0001</v>
      </c>
      <c r="V548" s="462" t="str">
        <f t="shared" si="16"/>
        <v>0001</v>
      </c>
    </row>
    <row r="549" spans="21:22">
      <c r="U549" s="466" t="str">
        <f t="shared" si="17"/>
        <v>0001</v>
      </c>
      <c r="V549" s="462" t="str">
        <f t="shared" si="16"/>
        <v>0001</v>
      </c>
    </row>
    <row r="550" spans="21:22">
      <c r="U550" s="466" t="str">
        <f t="shared" si="17"/>
        <v>0001</v>
      </c>
      <c r="V550" s="462" t="str">
        <f t="shared" si="16"/>
        <v>0001</v>
      </c>
    </row>
    <row r="551" spans="21:22">
      <c r="U551" s="466" t="str">
        <f t="shared" si="17"/>
        <v>0001</v>
      </c>
      <c r="V551" s="462" t="str">
        <f t="shared" si="16"/>
        <v>0001</v>
      </c>
    </row>
    <row r="552" spans="21:22">
      <c r="U552" s="466" t="str">
        <f t="shared" si="17"/>
        <v>0001</v>
      </c>
      <c r="V552" s="462" t="str">
        <f t="shared" si="16"/>
        <v>0001</v>
      </c>
    </row>
    <row r="553" spans="21:22">
      <c r="U553" s="466" t="str">
        <f t="shared" si="17"/>
        <v>0001</v>
      </c>
      <c r="V553" s="462" t="str">
        <f t="shared" si="16"/>
        <v>0001</v>
      </c>
    </row>
    <row r="554" spans="21:22">
      <c r="U554" s="466" t="str">
        <f t="shared" si="17"/>
        <v>0001</v>
      </c>
      <c r="V554" s="462" t="str">
        <f t="shared" si="16"/>
        <v>0001</v>
      </c>
    </row>
    <row r="555" spans="21:22">
      <c r="U555" s="466" t="str">
        <f t="shared" si="17"/>
        <v>0001</v>
      </c>
      <c r="V555" s="462" t="str">
        <f t="shared" si="16"/>
        <v>0001</v>
      </c>
    </row>
    <row r="556" spans="21:22">
      <c r="U556" s="466" t="str">
        <f t="shared" si="17"/>
        <v>0001</v>
      </c>
      <c r="V556" s="462" t="str">
        <f t="shared" si="16"/>
        <v>0001</v>
      </c>
    </row>
    <row r="557" spans="21:22">
      <c r="U557" s="466" t="str">
        <f t="shared" si="17"/>
        <v>0001</v>
      </c>
      <c r="V557" s="462" t="str">
        <f t="shared" si="16"/>
        <v>0001</v>
      </c>
    </row>
    <row r="558" spans="21:22">
      <c r="U558" s="466" t="str">
        <f t="shared" si="17"/>
        <v>0001</v>
      </c>
      <c r="V558" s="462" t="str">
        <f t="shared" si="16"/>
        <v>0001</v>
      </c>
    </row>
    <row r="559" spans="21:22">
      <c r="U559" s="466" t="str">
        <f t="shared" si="17"/>
        <v>0001</v>
      </c>
      <c r="V559" s="462" t="str">
        <f t="shared" si="16"/>
        <v>0001</v>
      </c>
    </row>
    <row r="560" spans="21:22">
      <c r="U560" s="466" t="str">
        <f t="shared" si="17"/>
        <v>0001</v>
      </c>
      <c r="V560" s="462" t="str">
        <f t="shared" si="16"/>
        <v>0001</v>
      </c>
    </row>
    <row r="561" spans="21:22">
      <c r="U561" s="466" t="str">
        <f t="shared" si="17"/>
        <v>0001</v>
      </c>
      <c r="V561" s="462" t="str">
        <f t="shared" si="16"/>
        <v>0001</v>
      </c>
    </row>
    <row r="562" spans="21:22">
      <c r="U562" s="466" t="str">
        <f t="shared" si="17"/>
        <v>0001</v>
      </c>
      <c r="V562" s="462" t="str">
        <f t="shared" si="16"/>
        <v>0001</v>
      </c>
    </row>
    <row r="563" spans="21:22">
      <c r="U563" s="466" t="str">
        <f t="shared" si="17"/>
        <v>0001</v>
      </c>
      <c r="V563" s="462" t="str">
        <f t="shared" si="16"/>
        <v>0001</v>
      </c>
    </row>
    <row r="564" spans="21:22">
      <c r="U564" s="466" t="str">
        <f t="shared" si="17"/>
        <v>0001</v>
      </c>
      <c r="V564" s="462" t="str">
        <f t="shared" si="16"/>
        <v>0001</v>
      </c>
    </row>
    <row r="565" spans="21:22">
      <c r="U565" s="466" t="str">
        <f t="shared" si="17"/>
        <v>0001</v>
      </c>
      <c r="V565" s="462" t="str">
        <f t="shared" si="16"/>
        <v>0001</v>
      </c>
    </row>
    <row r="566" spans="21:22">
      <c r="U566" s="466" t="str">
        <f t="shared" si="17"/>
        <v>0001</v>
      </c>
      <c r="V566" s="462" t="str">
        <f t="shared" si="16"/>
        <v>0001</v>
      </c>
    </row>
    <row r="567" spans="21:22">
      <c r="U567" s="466" t="str">
        <f t="shared" si="17"/>
        <v>0001</v>
      </c>
      <c r="V567" s="462" t="str">
        <f t="shared" si="16"/>
        <v>0001</v>
      </c>
    </row>
    <row r="568" spans="21:22">
      <c r="U568" s="466" t="str">
        <f t="shared" si="17"/>
        <v>0001</v>
      </c>
      <c r="V568" s="462" t="str">
        <f t="shared" si="16"/>
        <v>0001</v>
      </c>
    </row>
    <row r="569" spans="21:22">
      <c r="U569" s="466" t="str">
        <f t="shared" si="17"/>
        <v>0001</v>
      </c>
      <c r="V569" s="462" t="str">
        <f t="shared" si="16"/>
        <v>0001</v>
      </c>
    </row>
    <row r="570" spans="21:22">
      <c r="U570" s="466" t="str">
        <f t="shared" si="17"/>
        <v>0001</v>
      </c>
      <c r="V570" s="462" t="str">
        <f t="shared" si="16"/>
        <v>0001</v>
      </c>
    </row>
    <row r="571" spans="21:22">
      <c r="U571" s="466" t="str">
        <f t="shared" si="17"/>
        <v>0001</v>
      </c>
      <c r="V571" s="462" t="str">
        <f t="shared" si="16"/>
        <v>0001</v>
      </c>
    </row>
    <row r="572" spans="21:22">
      <c r="U572" s="466" t="str">
        <f t="shared" si="17"/>
        <v>0001</v>
      </c>
      <c r="V572" s="462" t="str">
        <f t="shared" si="16"/>
        <v>0001</v>
      </c>
    </row>
    <row r="573" spans="21:22">
      <c r="U573" s="466" t="str">
        <f t="shared" si="17"/>
        <v>0001</v>
      </c>
      <c r="V573" s="462" t="str">
        <f t="shared" si="16"/>
        <v>0001</v>
      </c>
    </row>
    <row r="574" spans="21:22">
      <c r="U574" s="466" t="str">
        <f t="shared" si="17"/>
        <v>0001</v>
      </c>
      <c r="V574" s="462" t="str">
        <f t="shared" si="16"/>
        <v>0001</v>
      </c>
    </row>
    <row r="575" spans="21:22">
      <c r="U575" s="466" t="str">
        <f t="shared" si="17"/>
        <v>0001</v>
      </c>
      <c r="V575" s="462" t="str">
        <f t="shared" si="16"/>
        <v>0001</v>
      </c>
    </row>
    <row r="576" spans="21:22">
      <c r="U576" s="466" t="str">
        <f t="shared" si="17"/>
        <v>0001</v>
      </c>
      <c r="V576" s="462" t="str">
        <f t="shared" si="16"/>
        <v>0001</v>
      </c>
    </row>
    <row r="577" spans="21:22">
      <c r="U577" s="466" t="str">
        <f t="shared" si="17"/>
        <v>0001</v>
      </c>
      <c r="V577" s="462" t="str">
        <f t="shared" si="16"/>
        <v>0001</v>
      </c>
    </row>
    <row r="578" spans="21:22">
      <c r="U578" s="466" t="str">
        <f t="shared" si="17"/>
        <v>0001</v>
      </c>
      <c r="V578" s="462" t="str">
        <f t="shared" ref="V578:V641" si="18">TEXT(T578,"YYMM")</f>
        <v>0001</v>
      </c>
    </row>
    <row r="579" spans="21:22">
      <c r="U579" s="466" t="str">
        <f t="shared" ref="U579:U642" si="19">TEXT(Q579,"YYMM")</f>
        <v>0001</v>
      </c>
      <c r="V579" s="462" t="str">
        <f t="shared" si="18"/>
        <v>0001</v>
      </c>
    </row>
    <row r="580" spans="21:22">
      <c r="U580" s="466" t="str">
        <f t="shared" si="19"/>
        <v>0001</v>
      </c>
      <c r="V580" s="462" t="str">
        <f t="shared" si="18"/>
        <v>0001</v>
      </c>
    </row>
    <row r="581" spans="21:22">
      <c r="U581" s="466" t="str">
        <f t="shared" si="19"/>
        <v>0001</v>
      </c>
      <c r="V581" s="462" t="str">
        <f t="shared" si="18"/>
        <v>0001</v>
      </c>
    </row>
    <row r="582" spans="21:22">
      <c r="U582" s="466" t="str">
        <f t="shared" si="19"/>
        <v>0001</v>
      </c>
      <c r="V582" s="462" t="str">
        <f t="shared" si="18"/>
        <v>0001</v>
      </c>
    </row>
    <row r="583" spans="21:22">
      <c r="U583" s="466" t="str">
        <f t="shared" si="19"/>
        <v>0001</v>
      </c>
      <c r="V583" s="462" t="str">
        <f t="shared" si="18"/>
        <v>0001</v>
      </c>
    </row>
    <row r="584" spans="21:22">
      <c r="U584" s="466" t="str">
        <f t="shared" si="19"/>
        <v>0001</v>
      </c>
      <c r="V584" s="462" t="str">
        <f t="shared" si="18"/>
        <v>0001</v>
      </c>
    </row>
    <row r="585" spans="21:22">
      <c r="U585" s="466" t="str">
        <f t="shared" si="19"/>
        <v>0001</v>
      </c>
      <c r="V585" s="462" t="str">
        <f t="shared" si="18"/>
        <v>0001</v>
      </c>
    </row>
    <row r="586" spans="21:22">
      <c r="U586" s="466" t="str">
        <f t="shared" si="19"/>
        <v>0001</v>
      </c>
      <c r="V586" s="462" t="str">
        <f t="shared" si="18"/>
        <v>0001</v>
      </c>
    </row>
    <row r="587" spans="21:22">
      <c r="U587" s="466" t="str">
        <f t="shared" si="19"/>
        <v>0001</v>
      </c>
      <c r="V587" s="462" t="str">
        <f t="shared" si="18"/>
        <v>0001</v>
      </c>
    </row>
    <row r="588" spans="21:22">
      <c r="U588" s="466" t="str">
        <f t="shared" si="19"/>
        <v>0001</v>
      </c>
      <c r="V588" s="462" t="str">
        <f t="shared" si="18"/>
        <v>0001</v>
      </c>
    </row>
    <row r="589" spans="21:22">
      <c r="U589" s="466" t="str">
        <f t="shared" si="19"/>
        <v>0001</v>
      </c>
      <c r="V589" s="462" t="str">
        <f t="shared" si="18"/>
        <v>0001</v>
      </c>
    </row>
    <row r="590" spans="21:22">
      <c r="U590" s="466" t="str">
        <f t="shared" si="19"/>
        <v>0001</v>
      </c>
      <c r="V590" s="462" t="str">
        <f t="shared" si="18"/>
        <v>0001</v>
      </c>
    </row>
    <row r="591" spans="21:22">
      <c r="U591" s="466" t="str">
        <f t="shared" si="19"/>
        <v>0001</v>
      </c>
      <c r="V591" s="462" t="str">
        <f t="shared" si="18"/>
        <v>0001</v>
      </c>
    </row>
    <row r="592" spans="21:22">
      <c r="U592" s="466" t="str">
        <f t="shared" si="19"/>
        <v>0001</v>
      </c>
      <c r="V592" s="462" t="str">
        <f t="shared" si="18"/>
        <v>0001</v>
      </c>
    </row>
    <row r="593" spans="21:22">
      <c r="U593" s="466" t="str">
        <f t="shared" si="19"/>
        <v>0001</v>
      </c>
      <c r="V593" s="462" t="str">
        <f t="shared" si="18"/>
        <v>0001</v>
      </c>
    </row>
    <row r="594" spans="21:22">
      <c r="U594" s="466" t="str">
        <f t="shared" si="19"/>
        <v>0001</v>
      </c>
      <c r="V594" s="462" t="str">
        <f t="shared" si="18"/>
        <v>0001</v>
      </c>
    </row>
    <row r="595" spans="21:22">
      <c r="U595" s="466" t="str">
        <f t="shared" si="19"/>
        <v>0001</v>
      </c>
      <c r="V595" s="462" t="str">
        <f t="shared" si="18"/>
        <v>0001</v>
      </c>
    </row>
    <row r="596" spans="21:22">
      <c r="U596" s="466" t="str">
        <f t="shared" si="19"/>
        <v>0001</v>
      </c>
      <c r="V596" s="462" t="str">
        <f t="shared" si="18"/>
        <v>0001</v>
      </c>
    </row>
    <row r="597" spans="21:22">
      <c r="U597" s="466" t="str">
        <f t="shared" si="19"/>
        <v>0001</v>
      </c>
      <c r="V597" s="462" t="str">
        <f t="shared" si="18"/>
        <v>0001</v>
      </c>
    </row>
    <row r="598" spans="21:22">
      <c r="U598" s="466" t="str">
        <f t="shared" si="19"/>
        <v>0001</v>
      </c>
      <c r="V598" s="462" t="str">
        <f t="shared" si="18"/>
        <v>0001</v>
      </c>
    </row>
    <row r="599" spans="21:22">
      <c r="U599" s="466" t="str">
        <f t="shared" si="19"/>
        <v>0001</v>
      </c>
      <c r="V599" s="462" t="str">
        <f t="shared" si="18"/>
        <v>0001</v>
      </c>
    </row>
    <row r="600" spans="21:22">
      <c r="U600" s="466" t="str">
        <f t="shared" si="19"/>
        <v>0001</v>
      </c>
      <c r="V600" s="462" t="str">
        <f t="shared" si="18"/>
        <v>0001</v>
      </c>
    </row>
    <row r="601" spans="21:22">
      <c r="U601" s="466" t="str">
        <f t="shared" si="19"/>
        <v>0001</v>
      </c>
      <c r="V601" s="462" t="str">
        <f t="shared" si="18"/>
        <v>0001</v>
      </c>
    </row>
    <row r="602" spans="21:22">
      <c r="U602" s="466" t="str">
        <f t="shared" si="19"/>
        <v>0001</v>
      </c>
      <c r="V602" s="462" t="str">
        <f t="shared" si="18"/>
        <v>0001</v>
      </c>
    </row>
    <row r="603" spans="21:22">
      <c r="U603" s="466" t="str">
        <f t="shared" si="19"/>
        <v>0001</v>
      </c>
      <c r="V603" s="462" t="str">
        <f t="shared" si="18"/>
        <v>0001</v>
      </c>
    </row>
    <row r="604" spans="21:22">
      <c r="U604" s="466" t="str">
        <f t="shared" si="19"/>
        <v>0001</v>
      </c>
      <c r="V604" s="462" t="str">
        <f t="shared" si="18"/>
        <v>0001</v>
      </c>
    </row>
    <row r="605" spans="21:22">
      <c r="U605" s="466" t="str">
        <f t="shared" si="19"/>
        <v>0001</v>
      </c>
      <c r="V605" s="462" t="str">
        <f t="shared" si="18"/>
        <v>0001</v>
      </c>
    </row>
    <row r="606" spans="21:22">
      <c r="U606" s="466" t="str">
        <f t="shared" si="19"/>
        <v>0001</v>
      </c>
      <c r="V606" s="462" t="str">
        <f t="shared" si="18"/>
        <v>0001</v>
      </c>
    </row>
    <row r="607" spans="21:22">
      <c r="U607" s="466" t="str">
        <f t="shared" si="19"/>
        <v>0001</v>
      </c>
      <c r="V607" s="462" t="str">
        <f t="shared" si="18"/>
        <v>0001</v>
      </c>
    </row>
    <row r="608" spans="21:22">
      <c r="U608" s="466" t="str">
        <f t="shared" si="19"/>
        <v>0001</v>
      </c>
      <c r="V608" s="462" t="str">
        <f t="shared" si="18"/>
        <v>0001</v>
      </c>
    </row>
    <row r="609" spans="21:22">
      <c r="U609" s="466" t="str">
        <f t="shared" si="19"/>
        <v>0001</v>
      </c>
      <c r="V609" s="462" t="str">
        <f t="shared" si="18"/>
        <v>0001</v>
      </c>
    </row>
    <row r="610" spans="21:22">
      <c r="U610" s="466" t="str">
        <f t="shared" si="19"/>
        <v>0001</v>
      </c>
      <c r="V610" s="462" t="str">
        <f t="shared" si="18"/>
        <v>0001</v>
      </c>
    </row>
    <row r="611" spans="21:22">
      <c r="U611" s="466" t="str">
        <f t="shared" si="19"/>
        <v>0001</v>
      </c>
      <c r="V611" s="462" t="str">
        <f t="shared" si="18"/>
        <v>0001</v>
      </c>
    </row>
    <row r="612" spans="21:22">
      <c r="U612" s="466" t="str">
        <f t="shared" si="19"/>
        <v>0001</v>
      </c>
      <c r="V612" s="462" t="str">
        <f t="shared" si="18"/>
        <v>0001</v>
      </c>
    </row>
    <row r="613" spans="21:22">
      <c r="U613" s="466" t="str">
        <f t="shared" si="19"/>
        <v>0001</v>
      </c>
      <c r="V613" s="462" t="str">
        <f t="shared" si="18"/>
        <v>0001</v>
      </c>
    </row>
    <row r="614" spans="21:22">
      <c r="U614" s="466" t="str">
        <f t="shared" si="19"/>
        <v>0001</v>
      </c>
      <c r="V614" s="462" t="str">
        <f t="shared" si="18"/>
        <v>0001</v>
      </c>
    </row>
    <row r="615" spans="21:22">
      <c r="U615" s="466" t="str">
        <f t="shared" si="19"/>
        <v>0001</v>
      </c>
      <c r="V615" s="462" t="str">
        <f t="shared" si="18"/>
        <v>0001</v>
      </c>
    </row>
    <row r="616" spans="21:22">
      <c r="U616" s="466" t="str">
        <f t="shared" si="19"/>
        <v>0001</v>
      </c>
      <c r="V616" s="462" t="str">
        <f t="shared" si="18"/>
        <v>0001</v>
      </c>
    </row>
    <row r="617" spans="21:22">
      <c r="U617" s="466" t="str">
        <f t="shared" si="19"/>
        <v>0001</v>
      </c>
      <c r="V617" s="462" t="str">
        <f t="shared" si="18"/>
        <v>0001</v>
      </c>
    </row>
    <row r="618" spans="21:22">
      <c r="U618" s="466" t="str">
        <f t="shared" si="19"/>
        <v>0001</v>
      </c>
      <c r="V618" s="462" t="str">
        <f t="shared" si="18"/>
        <v>0001</v>
      </c>
    </row>
    <row r="619" spans="21:22">
      <c r="U619" s="466" t="str">
        <f t="shared" si="19"/>
        <v>0001</v>
      </c>
      <c r="V619" s="462" t="str">
        <f t="shared" si="18"/>
        <v>0001</v>
      </c>
    </row>
    <row r="620" spans="21:22">
      <c r="U620" s="466" t="str">
        <f t="shared" si="19"/>
        <v>0001</v>
      </c>
      <c r="V620" s="462" t="str">
        <f t="shared" si="18"/>
        <v>0001</v>
      </c>
    </row>
    <row r="621" spans="21:22">
      <c r="U621" s="466" t="str">
        <f t="shared" si="19"/>
        <v>0001</v>
      </c>
      <c r="V621" s="462" t="str">
        <f t="shared" si="18"/>
        <v>0001</v>
      </c>
    </row>
    <row r="622" spans="21:22">
      <c r="U622" s="466" t="str">
        <f t="shared" si="19"/>
        <v>0001</v>
      </c>
      <c r="V622" s="462" t="str">
        <f t="shared" si="18"/>
        <v>0001</v>
      </c>
    </row>
    <row r="623" spans="21:22">
      <c r="U623" s="466" t="str">
        <f t="shared" si="19"/>
        <v>0001</v>
      </c>
      <c r="V623" s="462" t="str">
        <f t="shared" si="18"/>
        <v>0001</v>
      </c>
    </row>
    <row r="624" spans="21:22">
      <c r="U624" s="466" t="str">
        <f t="shared" si="19"/>
        <v>0001</v>
      </c>
      <c r="V624" s="462" t="str">
        <f t="shared" si="18"/>
        <v>0001</v>
      </c>
    </row>
    <row r="625" spans="21:22">
      <c r="U625" s="466" t="str">
        <f t="shared" si="19"/>
        <v>0001</v>
      </c>
      <c r="V625" s="462" t="str">
        <f t="shared" si="18"/>
        <v>0001</v>
      </c>
    </row>
    <row r="626" spans="21:22">
      <c r="U626" s="466" t="str">
        <f t="shared" si="19"/>
        <v>0001</v>
      </c>
      <c r="V626" s="462" t="str">
        <f t="shared" si="18"/>
        <v>0001</v>
      </c>
    </row>
    <row r="627" spans="21:22">
      <c r="U627" s="466" t="str">
        <f t="shared" si="19"/>
        <v>0001</v>
      </c>
      <c r="V627" s="462" t="str">
        <f t="shared" si="18"/>
        <v>0001</v>
      </c>
    </row>
    <row r="628" spans="21:22">
      <c r="U628" s="466" t="str">
        <f t="shared" si="19"/>
        <v>0001</v>
      </c>
      <c r="V628" s="462" t="str">
        <f t="shared" si="18"/>
        <v>0001</v>
      </c>
    </row>
    <row r="629" spans="21:22">
      <c r="U629" s="466" t="str">
        <f t="shared" si="19"/>
        <v>0001</v>
      </c>
      <c r="V629" s="462" t="str">
        <f t="shared" si="18"/>
        <v>0001</v>
      </c>
    </row>
    <row r="630" spans="21:22">
      <c r="U630" s="466" t="str">
        <f t="shared" si="19"/>
        <v>0001</v>
      </c>
      <c r="V630" s="462" t="str">
        <f t="shared" si="18"/>
        <v>0001</v>
      </c>
    </row>
    <row r="631" spans="21:22">
      <c r="U631" s="466" t="str">
        <f t="shared" si="19"/>
        <v>0001</v>
      </c>
      <c r="V631" s="462" t="str">
        <f t="shared" si="18"/>
        <v>0001</v>
      </c>
    </row>
    <row r="632" spans="21:22">
      <c r="U632" s="466" t="str">
        <f t="shared" si="19"/>
        <v>0001</v>
      </c>
      <c r="V632" s="462" t="str">
        <f t="shared" si="18"/>
        <v>0001</v>
      </c>
    </row>
    <row r="633" spans="21:22">
      <c r="U633" s="466" t="str">
        <f t="shared" si="19"/>
        <v>0001</v>
      </c>
      <c r="V633" s="462" t="str">
        <f t="shared" si="18"/>
        <v>0001</v>
      </c>
    </row>
    <row r="634" spans="21:22">
      <c r="U634" s="466" t="str">
        <f t="shared" si="19"/>
        <v>0001</v>
      </c>
      <c r="V634" s="462" t="str">
        <f t="shared" si="18"/>
        <v>0001</v>
      </c>
    </row>
    <row r="635" spans="21:22">
      <c r="U635" s="466" t="str">
        <f t="shared" si="19"/>
        <v>0001</v>
      </c>
      <c r="V635" s="462" t="str">
        <f t="shared" si="18"/>
        <v>0001</v>
      </c>
    </row>
    <row r="636" spans="21:22">
      <c r="U636" s="466" t="str">
        <f t="shared" si="19"/>
        <v>0001</v>
      </c>
      <c r="V636" s="462" t="str">
        <f t="shared" si="18"/>
        <v>0001</v>
      </c>
    </row>
    <row r="637" spans="21:22">
      <c r="U637" s="466" t="str">
        <f t="shared" si="19"/>
        <v>0001</v>
      </c>
      <c r="V637" s="462" t="str">
        <f t="shared" si="18"/>
        <v>0001</v>
      </c>
    </row>
    <row r="638" spans="21:22">
      <c r="U638" s="466" t="str">
        <f t="shared" si="19"/>
        <v>0001</v>
      </c>
      <c r="V638" s="462" t="str">
        <f t="shared" si="18"/>
        <v>0001</v>
      </c>
    </row>
    <row r="639" spans="21:22">
      <c r="U639" s="466" t="str">
        <f t="shared" si="19"/>
        <v>0001</v>
      </c>
      <c r="V639" s="462" t="str">
        <f t="shared" si="18"/>
        <v>0001</v>
      </c>
    </row>
    <row r="640" spans="21:22">
      <c r="U640" s="466" t="str">
        <f t="shared" si="19"/>
        <v>0001</v>
      </c>
      <c r="V640" s="462" t="str">
        <f t="shared" si="18"/>
        <v>0001</v>
      </c>
    </row>
    <row r="641" spans="21:22">
      <c r="U641" s="466" t="str">
        <f t="shared" si="19"/>
        <v>0001</v>
      </c>
      <c r="V641" s="462" t="str">
        <f t="shared" si="18"/>
        <v>0001</v>
      </c>
    </row>
    <row r="642" spans="21:22">
      <c r="U642" s="466" t="str">
        <f t="shared" si="19"/>
        <v>0001</v>
      </c>
      <c r="V642" s="462" t="str">
        <f t="shared" ref="V642:V705" si="20">TEXT(T642,"YYMM")</f>
        <v>0001</v>
      </c>
    </row>
    <row r="643" spans="21:22">
      <c r="U643" s="466" t="str">
        <f t="shared" ref="U643:U706" si="21">TEXT(Q643,"YYMM")</f>
        <v>0001</v>
      </c>
      <c r="V643" s="462" t="str">
        <f t="shared" si="20"/>
        <v>0001</v>
      </c>
    </row>
    <row r="644" spans="21:22">
      <c r="U644" s="466" t="str">
        <f t="shared" si="21"/>
        <v>0001</v>
      </c>
      <c r="V644" s="462" t="str">
        <f t="shared" si="20"/>
        <v>0001</v>
      </c>
    </row>
    <row r="645" spans="21:22">
      <c r="U645" s="466" t="str">
        <f t="shared" si="21"/>
        <v>0001</v>
      </c>
      <c r="V645" s="462" t="str">
        <f t="shared" si="20"/>
        <v>0001</v>
      </c>
    </row>
    <row r="646" spans="21:22">
      <c r="U646" s="466" t="str">
        <f t="shared" si="21"/>
        <v>0001</v>
      </c>
      <c r="V646" s="462" t="str">
        <f t="shared" si="20"/>
        <v>0001</v>
      </c>
    </row>
    <row r="647" spans="21:22">
      <c r="U647" s="466" t="str">
        <f t="shared" si="21"/>
        <v>0001</v>
      </c>
      <c r="V647" s="462" t="str">
        <f t="shared" si="20"/>
        <v>0001</v>
      </c>
    </row>
    <row r="648" spans="21:22">
      <c r="U648" s="466" t="str">
        <f t="shared" si="21"/>
        <v>0001</v>
      </c>
      <c r="V648" s="462" t="str">
        <f t="shared" si="20"/>
        <v>0001</v>
      </c>
    </row>
    <row r="649" spans="21:22">
      <c r="U649" s="466" t="str">
        <f t="shared" si="21"/>
        <v>0001</v>
      </c>
      <c r="V649" s="462" t="str">
        <f t="shared" si="20"/>
        <v>0001</v>
      </c>
    </row>
    <row r="650" spans="21:22">
      <c r="U650" s="466" t="str">
        <f t="shared" si="21"/>
        <v>0001</v>
      </c>
      <c r="V650" s="462" t="str">
        <f t="shared" si="20"/>
        <v>0001</v>
      </c>
    </row>
    <row r="651" spans="21:22">
      <c r="U651" s="466" t="str">
        <f t="shared" si="21"/>
        <v>0001</v>
      </c>
      <c r="V651" s="462" t="str">
        <f t="shared" si="20"/>
        <v>0001</v>
      </c>
    </row>
    <row r="652" spans="21:22">
      <c r="U652" s="466" t="str">
        <f t="shared" si="21"/>
        <v>0001</v>
      </c>
      <c r="V652" s="462" t="str">
        <f t="shared" si="20"/>
        <v>0001</v>
      </c>
    </row>
    <row r="653" spans="21:22">
      <c r="U653" s="466" t="str">
        <f t="shared" si="21"/>
        <v>0001</v>
      </c>
      <c r="V653" s="462" t="str">
        <f t="shared" si="20"/>
        <v>0001</v>
      </c>
    </row>
    <row r="654" spans="21:22">
      <c r="U654" s="466" t="str">
        <f t="shared" si="21"/>
        <v>0001</v>
      </c>
      <c r="V654" s="462" t="str">
        <f t="shared" si="20"/>
        <v>0001</v>
      </c>
    </row>
    <row r="655" spans="21:22">
      <c r="U655" s="466" t="str">
        <f t="shared" si="21"/>
        <v>0001</v>
      </c>
      <c r="V655" s="462" t="str">
        <f t="shared" si="20"/>
        <v>0001</v>
      </c>
    </row>
    <row r="656" spans="21:22">
      <c r="U656" s="466" t="str">
        <f t="shared" si="21"/>
        <v>0001</v>
      </c>
      <c r="V656" s="462" t="str">
        <f t="shared" si="20"/>
        <v>0001</v>
      </c>
    </row>
    <row r="657" spans="21:22">
      <c r="U657" s="466" t="str">
        <f t="shared" si="21"/>
        <v>0001</v>
      </c>
      <c r="V657" s="462" t="str">
        <f t="shared" si="20"/>
        <v>0001</v>
      </c>
    </row>
    <row r="658" spans="21:22">
      <c r="U658" s="466" t="str">
        <f t="shared" si="21"/>
        <v>0001</v>
      </c>
      <c r="V658" s="462" t="str">
        <f t="shared" si="20"/>
        <v>0001</v>
      </c>
    </row>
    <row r="659" spans="21:22">
      <c r="U659" s="466" t="str">
        <f t="shared" si="21"/>
        <v>0001</v>
      </c>
      <c r="V659" s="462" t="str">
        <f t="shared" si="20"/>
        <v>0001</v>
      </c>
    </row>
    <row r="660" spans="21:22">
      <c r="U660" s="466" t="str">
        <f t="shared" si="21"/>
        <v>0001</v>
      </c>
      <c r="V660" s="462" t="str">
        <f t="shared" si="20"/>
        <v>0001</v>
      </c>
    </row>
    <row r="661" spans="21:22">
      <c r="U661" s="466" t="str">
        <f t="shared" si="21"/>
        <v>0001</v>
      </c>
      <c r="V661" s="462" t="str">
        <f t="shared" si="20"/>
        <v>0001</v>
      </c>
    </row>
    <row r="662" spans="21:22">
      <c r="U662" s="466" t="str">
        <f t="shared" si="21"/>
        <v>0001</v>
      </c>
      <c r="V662" s="462" t="str">
        <f t="shared" si="20"/>
        <v>0001</v>
      </c>
    </row>
    <row r="663" spans="21:22">
      <c r="U663" s="466" t="str">
        <f t="shared" si="21"/>
        <v>0001</v>
      </c>
      <c r="V663" s="462" t="str">
        <f t="shared" si="20"/>
        <v>0001</v>
      </c>
    </row>
    <row r="664" spans="21:22">
      <c r="U664" s="466" t="str">
        <f t="shared" si="21"/>
        <v>0001</v>
      </c>
      <c r="V664" s="462" t="str">
        <f t="shared" si="20"/>
        <v>0001</v>
      </c>
    </row>
    <row r="665" spans="21:22">
      <c r="U665" s="466" t="str">
        <f t="shared" si="21"/>
        <v>0001</v>
      </c>
      <c r="V665" s="462" t="str">
        <f t="shared" si="20"/>
        <v>0001</v>
      </c>
    </row>
    <row r="666" spans="21:22">
      <c r="U666" s="466" t="str">
        <f t="shared" si="21"/>
        <v>0001</v>
      </c>
      <c r="V666" s="462" t="str">
        <f t="shared" si="20"/>
        <v>0001</v>
      </c>
    </row>
    <row r="667" spans="21:22">
      <c r="U667" s="466" t="str">
        <f t="shared" si="21"/>
        <v>0001</v>
      </c>
      <c r="V667" s="462" t="str">
        <f t="shared" si="20"/>
        <v>0001</v>
      </c>
    </row>
    <row r="668" spans="21:22">
      <c r="U668" s="466" t="str">
        <f t="shared" si="21"/>
        <v>0001</v>
      </c>
      <c r="V668" s="462" t="str">
        <f t="shared" si="20"/>
        <v>0001</v>
      </c>
    </row>
    <row r="669" spans="21:22">
      <c r="U669" s="466" t="str">
        <f t="shared" si="21"/>
        <v>0001</v>
      </c>
      <c r="V669" s="462" t="str">
        <f t="shared" si="20"/>
        <v>0001</v>
      </c>
    </row>
    <row r="670" spans="21:22">
      <c r="U670" s="466" t="str">
        <f t="shared" si="21"/>
        <v>0001</v>
      </c>
      <c r="V670" s="462" t="str">
        <f t="shared" si="20"/>
        <v>0001</v>
      </c>
    </row>
    <row r="671" spans="21:22">
      <c r="U671" s="466" t="str">
        <f t="shared" si="21"/>
        <v>0001</v>
      </c>
      <c r="V671" s="462" t="str">
        <f t="shared" si="20"/>
        <v>0001</v>
      </c>
    </row>
    <row r="672" spans="21:22">
      <c r="U672" s="466" t="str">
        <f t="shared" si="21"/>
        <v>0001</v>
      </c>
      <c r="V672" s="462" t="str">
        <f t="shared" si="20"/>
        <v>0001</v>
      </c>
    </row>
    <row r="673" spans="21:22">
      <c r="U673" s="466" t="str">
        <f t="shared" si="21"/>
        <v>0001</v>
      </c>
      <c r="V673" s="462" t="str">
        <f t="shared" si="20"/>
        <v>0001</v>
      </c>
    </row>
    <row r="674" spans="21:22">
      <c r="U674" s="466" t="str">
        <f t="shared" si="21"/>
        <v>0001</v>
      </c>
      <c r="V674" s="462" t="str">
        <f t="shared" si="20"/>
        <v>0001</v>
      </c>
    </row>
    <row r="675" spans="21:22">
      <c r="U675" s="466" t="str">
        <f t="shared" si="21"/>
        <v>0001</v>
      </c>
      <c r="V675" s="462" t="str">
        <f t="shared" si="20"/>
        <v>0001</v>
      </c>
    </row>
    <row r="676" spans="21:22">
      <c r="U676" s="466" t="str">
        <f t="shared" si="21"/>
        <v>0001</v>
      </c>
      <c r="V676" s="462" t="str">
        <f t="shared" si="20"/>
        <v>0001</v>
      </c>
    </row>
    <row r="677" spans="21:22">
      <c r="U677" s="466" t="str">
        <f t="shared" si="21"/>
        <v>0001</v>
      </c>
      <c r="V677" s="462" t="str">
        <f t="shared" si="20"/>
        <v>0001</v>
      </c>
    </row>
    <row r="678" spans="21:22">
      <c r="U678" s="466" t="str">
        <f t="shared" si="21"/>
        <v>0001</v>
      </c>
      <c r="V678" s="462" t="str">
        <f t="shared" si="20"/>
        <v>0001</v>
      </c>
    </row>
    <row r="679" spans="21:22">
      <c r="U679" s="466" t="str">
        <f t="shared" si="21"/>
        <v>0001</v>
      </c>
      <c r="V679" s="462" t="str">
        <f t="shared" si="20"/>
        <v>0001</v>
      </c>
    </row>
    <row r="680" spans="21:22">
      <c r="U680" s="466" t="str">
        <f t="shared" si="21"/>
        <v>0001</v>
      </c>
      <c r="V680" s="462" t="str">
        <f t="shared" si="20"/>
        <v>0001</v>
      </c>
    </row>
    <row r="681" spans="21:22">
      <c r="U681" s="466" t="str">
        <f t="shared" si="21"/>
        <v>0001</v>
      </c>
      <c r="V681" s="462" t="str">
        <f t="shared" si="20"/>
        <v>0001</v>
      </c>
    </row>
    <row r="682" spans="21:22">
      <c r="U682" s="466" t="str">
        <f t="shared" si="21"/>
        <v>0001</v>
      </c>
      <c r="V682" s="462" t="str">
        <f t="shared" si="20"/>
        <v>0001</v>
      </c>
    </row>
    <row r="683" spans="21:22">
      <c r="U683" s="466" t="str">
        <f t="shared" si="21"/>
        <v>0001</v>
      </c>
      <c r="V683" s="462" t="str">
        <f t="shared" si="20"/>
        <v>0001</v>
      </c>
    </row>
    <row r="684" spans="21:22">
      <c r="U684" s="466" t="str">
        <f t="shared" si="21"/>
        <v>0001</v>
      </c>
      <c r="V684" s="462" t="str">
        <f t="shared" si="20"/>
        <v>0001</v>
      </c>
    </row>
    <row r="685" spans="21:22">
      <c r="U685" s="466" t="str">
        <f t="shared" si="21"/>
        <v>0001</v>
      </c>
      <c r="V685" s="462" t="str">
        <f t="shared" si="20"/>
        <v>0001</v>
      </c>
    </row>
    <row r="686" spans="21:22">
      <c r="U686" s="466" t="str">
        <f t="shared" si="21"/>
        <v>0001</v>
      </c>
      <c r="V686" s="462" t="str">
        <f t="shared" si="20"/>
        <v>0001</v>
      </c>
    </row>
    <row r="687" spans="21:22">
      <c r="U687" s="466" t="str">
        <f t="shared" si="21"/>
        <v>0001</v>
      </c>
      <c r="V687" s="462" t="str">
        <f t="shared" si="20"/>
        <v>0001</v>
      </c>
    </row>
    <row r="688" spans="21:22">
      <c r="U688" s="466" t="str">
        <f t="shared" si="21"/>
        <v>0001</v>
      </c>
      <c r="V688" s="462" t="str">
        <f t="shared" si="20"/>
        <v>0001</v>
      </c>
    </row>
    <row r="689" spans="21:22">
      <c r="U689" s="466" t="str">
        <f t="shared" si="21"/>
        <v>0001</v>
      </c>
      <c r="V689" s="462" t="str">
        <f t="shared" si="20"/>
        <v>0001</v>
      </c>
    </row>
    <row r="690" spans="21:22">
      <c r="U690" s="466" t="str">
        <f t="shared" si="21"/>
        <v>0001</v>
      </c>
      <c r="V690" s="462" t="str">
        <f t="shared" si="20"/>
        <v>0001</v>
      </c>
    </row>
    <row r="691" spans="21:22">
      <c r="U691" s="466" t="str">
        <f t="shared" si="21"/>
        <v>0001</v>
      </c>
      <c r="V691" s="462" t="str">
        <f t="shared" si="20"/>
        <v>0001</v>
      </c>
    </row>
    <row r="692" spans="21:22">
      <c r="U692" s="466" t="str">
        <f t="shared" si="21"/>
        <v>0001</v>
      </c>
      <c r="V692" s="462" t="str">
        <f t="shared" si="20"/>
        <v>0001</v>
      </c>
    </row>
    <row r="693" spans="21:22">
      <c r="U693" s="466" t="str">
        <f t="shared" si="21"/>
        <v>0001</v>
      </c>
      <c r="V693" s="462" t="str">
        <f t="shared" si="20"/>
        <v>0001</v>
      </c>
    </row>
    <row r="694" spans="21:22">
      <c r="U694" s="466" t="str">
        <f t="shared" si="21"/>
        <v>0001</v>
      </c>
      <c r="V694" s="462" t="str">
        <f t="shared" si="20"/>
        <v>0001</v>
      </c>
    </row>
    <row r="695" spans="21:22">
      <c r="U695" s="466" t="str">
        <f t="shared" si="21"/>
        <v>0001</v>
      </c>
      <c r="V695" s="462" t="str">
        <f t="shared" si="20"/>
        <v>0001</v>
      </c>
    </row>
    <row r="696" spans="21:22">
      <c r="U696" s="466" t="str">
        <f t="shared" si="21"/>
        <v>0001</v>
      </c>
      <c r="V696" s="462" t="str">
        <f t="shared" si="20"/>
        <v>0001</v>
      </c>
    </row>
    <row r="697" spans="21:22">
      <c r="U697" s="466" t="str">
        <f t="shared" si="21"/>
        <v>0001</v>
      </c>
      <c r="V697" s="462" t="str">
        <f t="shared" si="20"/>
        <v>0001</v>
      </c>
    </row>
    <row r="698" spans="21:22">
      <c r="U698" s="466" t="str">
        <f t="shared" si="21"/>
        <v>0001</v>
      </c>
      <c r="V698" s="462" t="str">
        <f t="shared" si="20"/>
        <v>0001</v>
      </c>
    </row>
    <row r="699" spans="21:22">
      <c r="U699" s="466" t="str">
        <f t="shared" si="21"/>
        <v>0001</v>
      </c>
      <c r="V699" s="462" t="str">
        <f t="shared" si="20"/>
        <v>0001</v>
      </c>
    </row>
    <row r="700" spans="21:22">
      <c r="U700" s="466" t="str">
        <f t="shared" si="21"/>
        <v>0001</v>
      </c>
      <c r="V700" s="462" t="str">
        <f t="shared" si="20"/>
        <v>0001</v>
      </c>
    </row>
    <row r="701" spans="21:22">
      <c r="U701" s="466" t="str">
        <f t="shared" si="21"/>
        <v>0001</v>
      </c>
      <c r="V701" s="462" t="str">
        <f t="shared" si="20"/>
        <v>0001</v>
      </c>
    </row>
    <row r="702" spans="21:22">
      <c r="U702" s="466" t="str">
        <f t="shared" si="21"/>
        <v>0001</v>
      </c>
      <c r="V702" s="462" t="str">
        <f t="shared" si="20"/>
        <v>0001</v>
      </c>
    </row>
    <row r="703" spans="21:22">
      <c r="U703" s="466" t="str">
        <f t="shared" si="21"/>
        <v>0001</v>
      </c>
      <c r="V703" s="462" t="str">
        <f t="shared" si="20"/>
        <v>0001</v>
      </c>
    </row>
    <row r="704" spans="21:22">
      <c r="U704" s="466" t="str">
        <f t="shared" si="21"/>
        <v>0001</v>
      </c>
      <c r="V704" s="462" t="str">
        <f t="shared" si="20"/>
        <v>0001</v>
      </c>
    </row>
    <row r="705" spans="21:22">
      <c r="U705" s="466" t="str">
        <f t="shared" si="21"/>
        <v>0001</v>
      </c>
      <c r="V705" s="462" t="str">
        <f t="shared" si="20"/>
        <v>0001</v>
      </c>
    </row>
    <row r="706" spans="21:22">
      <c r="U706" s="466" t="str">
        <f t="shared" si="21"/>
        <v>0001</v>
      </c>
      <c r="V706" s="462" t="str">
        <f t="shared" ref="V706:V769" si="22">TEXT(T706,"YYMM")</f>
        <v>0001</v>
      </c>
    </row>
    <row r="707" spans="21:22">
      <c r="U707" s="466" t="str">
        <f t="shared" ref="U707:U770" si="23">TEXT(Q707,"YYMM")</f>
        <v>0001</v>
      </c>
      <c r="V707" s="462" t="str">
        <f t="shared" si="22"/>
        <v>0001</v>
      </c>
    </row>
    <row r="708" spans="21:22">
      <c r="U708" s="466" t="str">
        <f t="shared" si="23"/>
        <v>0001</v>
      </c>
      <c r="V708" s="462" t="str">
        <f t="shared" si="22"/>
        <v>0001</v>
      </c>
    </row>
    <row r="709" spans="21:22">
      <c r="U709" s="466" t="str">
        <f t="shared" si="23"/>
        <v>0001</v>
      </c>
      <c r="V709" s="462" t="str">
        <f t="shared" si="22"/>
        <v>0001</v>
      </c>
    </row>
    <row r="710" spans="21:22">
      <c r="U710" s="466" t="str">
        <f t="shared" si="23"/>
        <v>0001</v>
      </c>
      <c r="V710" s="462" t="str">
        <f t="shared" si="22"/>
        <v>0001</v>
      </c>
    </row>
    <row r="711" spans="21:22">
      <c r="U711" s="466" t="str">
        <f t="shared" si="23"/>
        <v>0001</v>
      </c>
      <c r="V711" s="462" t="str">
        <f t="shared" si="22"/>
        <v>0001</v>
      </c>
    </row>
    <row r="712" spans="21:22">
      <c r="U712" s="466" t="str">
        <f t="shared" si="23"/>
        <v>0001</v>
      </c>
      <c r="V712" s="462" t="str">
        <f t="shared" si="22"/>
        <v>0001</v>
      </c>
    </row>
    <row r="713" spans="21:22">
      <c r="U713" s="466" t="str">
        <f t="shared" si="23"/>
        <v>0001</v>
      </c>
      <c r="V713" s="462" t="str">
        <f t="shared" si="22"/>
        <v>0001</v>
      </c>
    </row>
    <row r="714" spans="21:22">
      <c r="U714" s="466" t="str">
        <f t="shared" si="23"/>
        <v>0001</v>
      </c>
      <c r="V714" s="462" t="str">
        <f t="shared" si="22"/>
        <v>0001</v>
      </c>
    </row>
    <row r="715" spans="21:22">
      <c r="U715" s="466" t="str">
        <f t="shared" si="23"/>
        <v>0001</v>
      </c>
      <c r="V715" s="462" t="str">
        <f t="shared" si="22"/>
        <v>0001</v>
      </c>
    </row>
    <row r="716" spans="21:22">
      <c r="U716" s="466" t="str">
        <f t="shared" si="23"/>
        <v>0001</v>
      </c>
      <c r="V716" s="462" t="str">
        <f t="shared" si="22"/>
        <v>0001</v>
      </c>
    </row>
    <row r="717" spans="21:22">
      <c r="U717" s="466" t="str">
        <f t="shared" si="23"/>
        <v>0001</v>
      </c>
      <c r="V717" s="462" t="str">
        <f t="shared" si="22"/>
        <v>0001</v>
      </c>
    </row>
    <row r="718" spans="21:22">
      <c r="U718" s="466" t="str">
        <f t="shared" si="23"/>
        <v>0001</v>
      </c>
      <c r="V718" s="462" t="str">
        <f t="shared" si="22"/>
        <v>0001</v>
      </c>
    </row>
    <row r="719" spans="21:22">
      <c r="U719" s="466" t="str">
        <f t="shared" si="23"/>
        <v>0001</v>
      </c>
      <c r="V719" s="462" t="str">
        <f t="shared" si="22"/>
        <v>0001</v>
      </c>
    </row>
    <row r="720" spans="21:22">
      <c r="U720" s="466" t="str">
        <f t="shared" si="23"/>
        <v>0001</v>
      </c>
      <c r="V720" s="462" t="str">
        <f t="shared" si="22"/>
        <v>0001</v>
      </c>
    </row>
    <row r="721" spans="21:22">
      <c r="U721" s="466" t="str">
        <f t="shared" si="23"/>
        <v>0001</v>
      </c>
      <c r="V721" s="462" t="str">
        <f t="shared" si="22"/>
        <v>0001</v>
      </c>
    </row>
    <row r="722" spans="21:22">
      <c r="U722" s="466" t="str">
        <f t="shared" si="23"/>
        <v>0001</v>
      </c>
      <c r="V722" s="462" t="str">
        <f t="shared" si="22"/>
        <v>0001</v>
      </c>
    </row>
    <row r="723" spans="21:22">
      <c r="U723" s="466" t="str">
        <f t="shared" si="23"/>
        <v>0001</v>
      </c>
      <c r="V723" s="462" t="str">
        <f t="shared" si="22"/>
        <v>0001</v>
      </c>
    </row>
    <row r="724" spans="21:22">
      <c r="U724" s="466" t="str">
        <f t="shared" si="23"/>
        <v>0001</v>
      </c>
      <c r="V724" s="462" t="str">
        <f t="shared" si="22"/>
        <v>0001</v>
      </c>
    </row>
    <row r="725" spans="21:22">
      <c r="U725" s="466" t="str">
        <f t="shared" si="23"/>
        <v>0001</v>
      </c>
      <c r="V725" s="462" t="str">
        <f t="shared" si="22"/>
        <v>0001</v>
      </c>
    </row>
    <row r="726" spans="21:22">
      <c r="U726" s="466" t="str">
        <f t="shared" si="23"/>
        <v>0001</v>
      </c>
      <c r="V726" s="462" t="str">
        <f t="shared" si="22"/>
        <v>0001</v>
      </c>
    </row>
    <row r="727" spans="21:22">
      <c r="U727" s="466" t="str">
        <f t="shared" si="23"/>
        <v>0001</v>
      </c>
      <c r="V727" s="462" t="str">
        <f t="shared" si="22"/>
        <v>0001</v>
      </c>
    </row>
    <row r="728" spans="21:22">
      <c r="U728" s="466" t="str">
        <f t="shared" si="23"/>
        <v>0001</v>
      </c>
      <c r="V728" s="462" t="str">
        <f t="shared" si="22"/>
        <v>0001</v>
      </c>
    </row>
    <row r="729" spans="21:22">
      <c r="U729" s="466" t="str">
        <f t="shared" si="23"/>
        <v>0001</v>
      </c>
      <c r="V729" s="462" t="str">
        <f t="shared" si="22"/>
        <v>0001</v>
      </c>
    </row>
    <row r="730" spans="21:22">
      <c r="U730" s="466" t="str">
        <f t="shared" si="23"/>
        <v>0001</v>
      </c>
      <c r="V730" s="462" t="str">
        <f t="shared" si="22"/>
        <v>0001</v>
      </c>
    </row>
    <row r="731" spans="21:22">
      <c r="U731" s="466" t="str">
        <f t="shared" si="23"/>
        <v>0001</v>
      </c>
      <c r="V731" s="462" t="str">
        <f t="shared" si="22"/>
        <v>0001</v>
      </c>
    </row>
    <row r="732" spans="21:22">
      <c r="U732" s="466" t="str">
        <f t="shared" si="23"/>
        <v>0001</v>
      </c>
      <c r="V732" s="462" t="str">
        <f t="shared" si="22"/>
        <v>0001</v>
      </c>
    </row>
    <row r="733" spans="21:22">
      <c r="U733" s="466" t="str">
        <f t="shared" si="23"/>
        <v>0001</v>
      </c>
      <c r="V733" s="462" t="str">
        <f t="shared" si="22"/>
        <v>0001</v>
      </c>
    </row>
    <row r="734" spans="21:22">
      <c r="U734" s="466" t="str">
        <f t="shared" si="23"/>
        <v>0001</v>
      </c>
      <c r="V734" s="462" t="str">
        <f t="shared" si="22"/>
        <v>0001</v>
      </c>
    </row>
    <row r="735" spans="21:22">
      <c r="U735" s="466" t="str">
        <f t="shared" si="23"/>
        <v>0001</v>
      </c>
      <c r="V735" s="462" t="str">
        <f t="shared" si="22"/>
        <v>0001</v>
      </c>
    </row>
    <row r="736" spans="21:22">
      <c r="U736" s="466" t="str">
        <f t="shared" si="23"/>
        <v>0001</v>
      </c>
      <c r="V736" s="462" t="str">
        <f t="shared" si="22"/>
        <v>0001</v>
      </c>
    </row>
    <row r="737" spans="21:22">
      <c r="U737" s="466" t="str">
        <f t="shared" si="23"/>
        <v>0001</v>
      </c>
      <c r="V737" s="462" t="str">
        <f t="shared" si="22"/>
        <v>0001</v>
      </c>
    </row>
    <row r="738" spans="21:22">
      <c r="U738" s="466" t="str">
        <f t="shared" si="23"/>
        <v>0001</v>
      </c>
      <c r="V738" s="462" t="str">
        <f t="shared" si="22"/>
        <v>0001</v>
      </c>
    </row>
    <row r="739" spans="21:22">
      <c r="U739" s="466" t="str">
        <f t="shared" si="23"/>
        <v>0001</v>
      </c>
      <c r="V739" s="462" t="str">
        <f t="shared" si="22"/>
        <v>0001</v>
      </c>
    </row>
    <row r="740" spans="21:22">
      <c r="U740" s="466" t="str">
        <f t="shared" si="23"/>
        <v>0001</v>
      </c>
      <c r="V740" s="462" t="str">
        <f t="shared" si="22"/>
        <v>0001</v>
      </c>
    </row>
    <row r="741" spans="21:22">
      <c r="U741" s="466" t="str">
        <f t="shared" si="23"/>
        <v>0001</v>
      </c>
      <c r="V741" s="462" t="str">
        <f t="shared" si="22"/>
        <v>0001</v>
      </c>
    </row>
    <row r="742" spans="21:22">
      <c r="U742" s="466" t="str">
        <f t="shared" si="23"/>
        <v>0001</v>
      </c>
      <c r="V742" s="462" t="str">
        <f t="shared" si="22"/>
        <v>0001</v>
      </c>
    </row>
    <row r="743" spans="21:22">
      <c r="U743" s="466" t="str">
        <f t="shared" si="23"/>
        <v>0001</v>
      </c>
      <c r="V743" s="462" t="str">
        <f t="shared" si="22"/>
        <v>0001</v>
      </c>
    </row>
    <row r="744" spans="21:22">
      <c r="U744" s="466" t="str">
        <f t="shared" si="23"/>
        <v>0001</v>
      </c>
      <c r="V744" s="462" t="str">
        <f t="shared" si="22"/>
        <v>0001</v>
      </c>
    </row>
    <row r="745" spans="21:22">
      <c r="U745" s="466" t="str">
        <f t="shared" si="23"/>
        <v>0001</v>
      </c>
      <c r="V745" s="462" t="str">
        <f t="shared" si="22"/>
        <v>0001</v>
      </c>
    </row>
    <row r="746" spans="21:22">
      <c r="U746" s="466" t="str">
        <f t="shared" si="23"/>
        <v>0001</v>
      </c>
      <c r="V746" s="462" t="str">
        <f t="shared" si="22"/>
        <v>0001</v>
      </c>
    </row>
    <row r="747" spans="21:22">
      <c r="U747" s="466" t="str">
        <f t="shared" si="23"/>
        <v>0001</v>
      </c>
      <c r="V747" s="462" t="str">
        <f t="shared" si="22"/>
        <v>0001</v>
      </c>
    </row>
    <row r="748" spans="21:22">
      <c r="U748" s="466" t="str">
        <f t="shared" si="23"/>
        <v>0001</v>
      </c>
      <c r="V748" s="462" t="str">
        <f t="shared" si="22"/>
        <v>0001</v>
      </c>
    </row>
    <row r="749" spans="21:22">
      <c r="U749" s="466" t="str">
        <f t="shared" si="23"/>
        <v>0001</v>
      </c>
      <c r="V749" s="462" t="str">
        <f t="shared" si="22"/>
        <v>0001</v>
      </c>
    </row>
    <row r="750" spans="21:22">
      <c r="U750" s="466" t="str">
        <f t="shared" si="23"/>
        <v>0001</v>
      </c>
      <c r="V750" s="462" t="str">
        <f t="shared" si="22"/>
        <v>0001</v>
      </c>
    </row>
    <row r="751" spans="21:22">
      <c r="U751" s="466" t="str">
        <f t="shared" si="23"/>
        <v>0001</v>
      </c>
      <c r="V751" s="462" t="str">
        <f t="shared" si="22"/>
        <v>0001</v>
      </c>
    </row>
    <row r="752" spans="21:22">
      <c r="U752" s="466" t="str">
        <f t="shared" si="23"/>
        <v>0001</v>
      </c>
      <c r="V752" s="462" t="str">
        <f t="shared" si="22"/>
        <v>0001</v>
      </c>
    </row>
    <row r="753" spans="21:22">
      <c r="U753" s="466" t="str">
        <f t="shared" si="23"/>
        <v>0001</v>
      </c>
      <c r="V753" s="462" t="str">
        <f t="shared" si="22"/>
        <v>0001</v>
      </c>
    </row>
    <row r="754" spans="21:22">
      <c r="U754" s="466" t="str">
        <f t="shared" si="23"/>
        <v>0001</v>
      </c>
      <c r="V754" s="462" t="str">
        <f t="shared" si="22"/>
        <v>0001</v>
      </c>
    </row>
    <row r="755" spans="21:22">
      <c r="U755" s="466" t="str">
        <f t="shared" si="23"/>
        <v>0001</v>
      </c>
      <c r="V755" s="462" t="str">
        <f t="shared" si="22"/>
        <v>0001</v>
      </c>
    </row>
    <row r="756" spans="21:22">
      <c r="U756" s="466" t="str">
        <f t="shared" si="23"/>
        <v>0001</v>
      </c>
      <c r="V756" s="462" t="str">
        <f t="shared" si="22"/>
        <v>0001</v>
      </c>
    </row>
    <row r="757" spans="21:22">
      <c r="U757" s="466" t="str">
        <f t="shared" si="23"/>
        <v>0001</v>
      </c>
      <c r="V757" s="462" t="str">
        <f t="shared" si="22"/>
        <v>0001</v>
      </c>
    </row>
    <row r="758" spans="21:22">
      <c r="U758" s="466" t="str">
        <f t="shared" si="23"/>
        <v>0001</v>
      </c>
      <c r="V758" s="462" t="str">
        <f t="shared" si="22"/>
        <v>0001</v>
      </c>
    </row>
    <row r="759" spans="21:22">
      <c r="U759" s="466" t="str">
        <f t="shared" si="23"/>
        <v>0001</v>
      </c>
      <c r="V759" s="462" t="str">
        <f t="shared" si="22"/>
        <v>0001</v>
      </c>
    </row>
    <row r="760" spans="21:22">
      <c r="U760" s="466" t="str">
        <f t="shared" si="23"/>
        <v>0001</v>
      </c>
      <c r="V760" s="462" t="str">
        <f t="shared" si="22"/>
        <v>0001</v>
      </c>
    </row>
    <row r="761" spans="21:22">
      <c r="U761" s="466" t="str">
        <f t="shared" si="23"/>
        <v>0001</v>
      </c>
      <c r="V761" s="462" t="str">
        <f t="shared" si="22"/>
        <v>0001</v>
      </c>
    </row>
    <row r="762" spans="21:22">
      <c r="U762" s="466" t="str">
        <f t="shared" si="23"/>
        <v>0001</v>
      </c>
      <c r="V762" s="462" t="str">
        <f t="shared" si="22"/>
        <v>0001</v>
      </c>
    </row>
    <row r="763" spans="21:22">
      <c r="U763" s="466" t="str">
        <f t="shared" si="23"/>
        <v>0001</v>
      </c>
      <c r="V763" s="462" t="str">
        <f t="shared" si="22"/>
        <v>0001</v>
      </c>
    </row>
    <row r="764" spans="21:22">
      <c r="U764" s="466" t="str">
        <f t="shared" si="23"/>
        <v>0001</v>
      </c>
      <c r="V764" s="462" t="str">
        <f t="shared" si="22"/>
        <v>0001</v>
      </c>
    </row>
    <row r="765" spans="21:22">
      <c r="U765" s="466" t="str">
        <f t="shared" si="23"/>
        <v>0001</v>
      </c>
      <c r="V765" s="462" t="str">
        <f t="shared" si="22"/>
        <v>0001</v>
      </c>
    </row>
    <row r="766" spans="21:22">
      <c r="U766" s="466" t="str">
        <f t="shared" si="23"/>
        <v>0001</v>
      </c>
      <c r="V766" s="462" t="str">
        <f t="shared" si="22"/>
        <v>0001</v>
      </c>
    </row>
    <row r="767" spans="21:22">
      <c r="U767" s="466" t="str">
        <f t="shared" si="23"/>
        <v>0001</v>
      </c>
      <c r="V767" s="462" t="str">
        <f t="shared" si="22"/>
        <v>0001</v>
      </c>
    </row>
    <row r="768" spans="21:22">
      <c r="U768" s="466" t="str">
        <f t="shared" si="23"/>
        <v>0001</v>
      </c>
      <c r="V768" s="462" t="str">
        <f t="shared" si="22"/>
        <v>0001</v>
      </c>
    </row>
    <row r="769" spans="21:22">
      <c r="U769" s="466" t="str">
        <f t="shared" si="23"/>
        <v>0001</v>
      </c>
      <c r="V769" s="462" t="str">
        <f t="shared" si="22"/>
        <v>0001</v>
      </c>
    </row>
    <row r="770" spans="21:22">
      <c r="U770" s="466" t="str">
        <f t="shared" si="23"/>
        <v>0001</v>
      </c>
      <c r="V770" s="462" t="str">
        <f t="shared" ref="V770:V833" si="24">TEXT(T770,"YYMM")</f>
        <v>0001</v>
      </c>
    </row>
    <row r="771" spans="21:22">
      <c r="U771" s="466" t="str">
        <f t="shared" ref="U771:U834" si="25">TEXT(Q771,"YYMM")</f>
        <v>0001</v>
      </c>
      <c r="V771" s="462" t="str">
        <f t="shared" si="24"/>
        <v>0001</v>
      </c>
    </row>
    <row r="772" spans="21:22">
      <c r="U772" s="466" t="str">
        <f t="shared" si="25"/>
        <v>0001</v>
      </c>
      <c r="V772" s="462" t="str">
        <f t="shared" si="24"/>
        <v>0001</v>
      </c>
    </row>
    <row r="773" spans="21:22">
      <c r="U773" s="466" t="str">
        <f t="shared" si="25"/>
        <v>0001</v>
      </c>
      <c r="V773" s="462" t="str">
        <f t="shared" si="24"/>
        <v>0001</v>
      </c>
    </row>
    <row r="774" spans="21:22">
      <c r="U774" s="466" t="str">
        <f t="shared" si="25"/>
        <v>0001</v>
      </c>
      <c r="V774" s="462" t="str">
        <f t="shared" si="24"/>
        <v>0001</v>
      </c>
    </row>
    <row r="775" spans="21:22">
      <c r="U775" s="466" t="str">
        <f t="shared" si="25"/>
        <v>0001</v>
      </c>
      <c r="V775" s="462" t="str">
        <f t="shared" si="24"/>
        <v>0001</v>
      </c>
    </row>
    <row r="776" spans="21:22">
      <c r="U776" s="466" t="str">
        <f t="shared" si="25"/>
        <v>0001</v>
      </c>
      <c r="V776" s="462" t="str">
        <f t="shared" si="24"/>
        <v>0001</v>
      </c>
    </row>
    <row r="777" spans="21:22">
      <c r="U777" s="466" t="str">
        <f t="shared" si="25"/>
        <v>0001</v>
      </c>
      <c r="V777" s="462" t="str">
        <f t="shared" si="24"/>
        <v>0001</v>
      </c>
    </row>
    <row r="778" spans="21:22">
      <c r="U778" s="466" t="str">
        <f t="shared" si="25"/>
        <v>0001</v>
      </c>
      <c r="V778" s="462" t="str">
        <f t="shared" si="24"/>
        <v>0001</v>
      </c>
    </row>
    <row r="779" spans="21:22">
      <c r="U779" s="466" t="str">
        <f t="shared" si="25"/>
        <v>0001</v>
      </c>
      <c r="V779" s="462" t="str">
        <f t="shared" si="24"/>
        <v>0001</v>
      </c>
    </row>
    <row r="780" spans="21:22">
      <c r="U780" s="466" t="str">
        <f t="shared" si="25"/>
        <v>0001</v>
      </c>
      <c r="V780" s="462" t="str">
        <f t="shared" si="24"/>
        <v>0001</v>
      </c>
    </row>
    <row r="781" spans="21:22">
      <c r="U781" s="466" t="str">
        <f t="shared" si="25"/>
        <v>0001</v>
      </c>
      <c r="V781" s="462" t="str">
        <f t="shared" si="24"/>
        <v>0001</v>
      </c>
    </row>
    <row r="782" spans="21:22">
      <c r="U782" s="466" t="str">
        <f t="shared" si="25"/>
        <v>0001</v>
      </c>
      <c r="V782" s="462" t="str">
        <f t="shared" si="24"/>
        <v>0001</v>
      </c>
    </row>
    <row r="783" spans="21:22">
      <c r="U783" s="466" t="str">
        <f t="shared" si="25"/>
        <v>0001</v>
      </c>
      <c r="V783" s="462" t="str">
        <f t="shared" si="24"/>
        <v>0001</v>
      </c>
    </row>
    <row r="784" spans="21:22">
      <c r="U784" s="466" t="str">
        <f t="shared" si="25"/>
        <v>0001</v>
      </c>
      <c r="V784" s="462" t="str">
        <f t="shared" si="24"/>
        <v>0001</v>
      </c>
    </row>
    <row r="785" spans="21:22">
      <c r="U785" s="466" t="str">
        <f t="shared" si="25"/>
        <v>0001</v>
      </c>
      <c r="V785" s="462" t="str">
        <f t="shared" si="24"/>
        <v>0001</v>
      </c>
    </row>
    <row r="786" spans="21:22">
      <c r="U786" s="466" t="str">
        <f t="shared" si="25"/>
        <v>0001</v>
      </c>
      <c r="V786" s="462" t="str">
        <f t="shared" si="24"/>
        <v>0001</v>
      </c>
    </row>
    <row r="787" spans="21:22">
      <c r="U787" s="466" t="str">
        <f t="shared" si="25"/>
        <v>0001</v>
      </c>
      <c r="V787" s="462" t="str">
        <f t="shared" si="24"/>
        <v>0001</v>
      </c>
    </row>
    <row r="788" spans="21:22">
      <c r="U788" s="466" t="str">
        <f t="shared" si="25"/>
        <v>0001</v>
      </c>
      <c r="V788" s="462" t="str">
        <f t="shared" si="24"/>
        <v>0001</v>
      </c>
    </row>
    <row r="789" spans="21:22">
      <c r="U789" s="466" t="str">
        <f t="shared" si="25"/>
        <v>0001</v>
      </c>
      <c r="V789" s="462" t="str">
        <f t="shared" si="24"/>
        <v>0001</v>
      </c>
    </row>
    <row r="790" spans="21:22">
      <c r="U790" s="466" t="str">
        <f t="shared" si="25"/>
        <v>0001</v>
      </c>
      <c r="V790" s="462" t="str">
        <f t="shared" si="24"/>
        <v>0001</v>
      </c>
    </row>
    <row r="791" spans="21:22">
      <c r="U791" s="466" t="str">
        <f t="shared" si="25"/>
        <v>0001</v>
      </c>
      <c r="V791" s="462" t="str">
        <f t="shared" si="24"/>
        <v>0001</v>
      </c>
    </row>
    <row r="792" spans="21:22">
      <c r="U792" s="466" t="str">
        <f t="shared" si="25"/>
        <v>0001</v>
      </c>
      <c r="V792" s="462" t="str">
        <f t="shared" si="24"/>
        <v>0001</v>
      </c>
    </row>
    <row r="793" spans="21:22">
      <c r="U793" s="466" t="str">
        <f t="shared" si="25"/>
        <v>0001</v>
      </c>
      <c r="V793" s="462" t="str">
        <f t="shared" si="24"/>
        <v>0001</v>
      </c>
    </row>
    <row r="794" spans="21:22">
      <c r="U794" s="466" t="str">
        <f t="shared" si="25"/>
        <v>0001</v>
      </c>
      <c r="V794" s="462" t="str">
        <f t="shared" si="24"/>
        <v>0001</v>
      </c>
    </row>
    <row r="795" spans="21:22">
      <c r="U795" s="466" t="str">
        <f t="shared" si="25"/>
        <v>0001</v>
      </c>
      <c r="V795" s="462" t="str">
        <f t="shared" si="24"/>
        <v>0001</v>
      </c>
    </row>
    <row r="796" spans="21:22">
      <c r="U796" s="466" t="str">
        <f t="shared" si="25"/>
        <v>0001</v>
      </c>
      <c r="V796" s="462" t="str">
        <f t="shared" si="24"/>
        <v>0001</v>
      </c>
    </row>
    <row r="797" spans="21:22">
      <c r="U797" s="466" t="str">
        <f t="shared" si="25"/>
        <v>0001</v>
      </c>
      <c r="V797" s="462" t="str">
        <f t="shared" si="24"/>
        <v>0001</v>
      </c>
    </row>
    <row r="798" spans="21:22">
      <c r="U798" s="466" t="str">
        <f t="shared" si="25"/>
        <v>0001</v>
      </c>
      <c r="V798" s="462" t="str">
        <f t="shared" si="24"/>
        <v>0001</v>
      </c>
    </row>
    <row r="799" spans="21:22">
      <c r="U799" s="466" t="str">
        <f t="shared" si="25"/>
        <v>0001</v>
      </c>
      <c r="V799" s="462" t="str">
        <f t="shared" si="24"/>
        <v>0001</v>
      </c>
    </row>
    <row r="800" spans="21:22">
      <c r="U800" s="466" t="str">
        <f t="shared" si="25"/>
        <v>0001</v>
      </c>
      <c r="V800" s="462" t="str">
        <f t="shared" si="24"/>
        <v>0001</v>
      </c>
    </row>
    <row r="801" spans="21:22">
      <c r="U801" s="466" t="str">
        <f t="shared" si="25"/>
        <v>0001</v>
      </c>
      <c r="V801" s="462" t="str">
        <f t="shared" si="24"/>
        <v>0001</v>
      </c>
    </row>
    <row r="802" spans="21:22">
      <c r="U802" s="466" t="str">
        <f t="shared" si="25"/>
        <v>0001</v>
      </c>
      <c r="V802" s="462" t="str">
        <f t="shared" si="24"/>
        <v>0001</v>
      </c>
    </row>
    <row r="803" spans="21:22">
      <c r="U803" s="466" t="str">
        <f t="shared" si="25"/>
        <v>0001</v>
      </c>
      <c r="V803" s="462" t="str">
        <f t="shared" si="24"/>
        <v>0001</v>
      </c>
    </row>
    <row r="804" spans="21:22">
      <c r="U804" s="466" t="str">
        <f t="shared" si="25"/>
        <v>0001</v>
      </c>
      <c r="V804" s="462" t="str">
        <f t="shared" si="24"/>
        <v>0001</v>
      </c>
    </row>
    <row r="805" spans="21:22">
      <c r="U805" s="466" t="str">
        <f t="shared" si="25"/>
        <v>0001</v>
      </c>
      <c r="V805" s="462" t="str">
        <f t="shared" si="24"/>
        <v>0001</v>
      </c>
    </row>
    <row r="806" spans="21:22">
      <c r="U806" s="466" t="str">
        <f t="shared" si="25"/>
        <v>0001</v>
      </c>
      <c r="V806" s="462" t="str">
        <f t="shared" si="24"/>
        <v>0001</v>
      </c>
    </row>
    <row r="807" spans="21:22">
      <c r="U807" s="466" t="str">
        <f t="shared" si="25"/>
        <v>0001</v>
      </c>
      <c r="V807" s="462" t="str">
        <f t="shared" si="24"/>
        <v>0001</v>
      </c>
    </row>
    <row r="808" spans="21:22">
      <c r="U808" s="466" t="str">
        <f t="shared" si="25"/>
        <v>0001</v>
      </c>
      <c r="V808" s="462" t="str">
        <f t="shared" si="24"/>
        <v>0001</v>
      </c>
    </row>
    <row r="809" spans="21:22">
      <c r="U809" s="466" t="str">
        <f t="shared" si="25"/>
        <v>0001</v>
      </c>
      <c r="V809" s="462" t="str">
        <f t="shared" si="24"/>
        <v>0001</v>
      </c>
    </row>
    <row r="810" spans="21:22">
      <c r="U810" s="466" t="str">
        <f t="shared" si="25"/>
        <v>0001</v>
      </c>
      <c r="V810" s="462" t="str">
        <f t="shared" si="24"/>
        <v>0001</v>
      </c>
    </row>
    <row r="811" spans="21:22">
      <c r="U811" s="466" t="str">
        <f t="shared" si="25"/>
        <v>0001</v>
      </c>
      <c r="V811" s="462" t="str">
        <f t="shared" si="24"/>
        <v>0001</v>
      </c>
    </row>
    <row r="812" spans="21:22">
      <c r="U812" s="466" t="str">
        <f t="shared" si="25"/>
        <v>0001</v>
      </c>
      <c r="V812" s="462" t="str">
        <f t="shared" si="24"/>
        <v>0001</v>
      </c>
    </row>
    <row r="813" spans="21:22">
      <c r="U813" s="466" t="str">
        <f t="shared" si="25"/>
        <v>0001</v>
      </c>
      <c r="V813" s="462" t="str">
        <f t="shared" si="24"/>
        <v>0001</v>
      </c>
    </row>
    <row r="814" spans="21:22">
      <c r="U814" s="466" t="str">
        <f t="shared" si="25"/>
        <v>0001</v>
      </c>
      <c r="V814" s="462" t="str">
        <f t="shared" si="24"/>
        <v>0001</v>
      </c>
    </row>
    <row r="815" spans="21:22">
      <c r="U815" s="466" t="str">
        <f t="shared" si="25"/>
        <v>0001</v>
      </c>
      <c r="V815" s="462" t="str">
        <f t="shared" si="24"/>
        <v>0001</v>
      </c>
    </row>
    <row r="816" spans="21:22">
      <c r="U816" s="466" t="str">
        <f t="shared" si="25"/>
        <v>0001</v>
      </c>
      <c r="V816" s="462" t="str">
        <f t="shared" si="24"/>
        <v>0001</v>
      </c>
    </row>
    <row r="817" spans="21:22">
      <c r="U817" s="466" t="str">
        <f t="shared" si="25"/>
        <v>0001</v>
      </c>
      <c r="V817" s="462" t="str">
        <f t="shared" si="24"/>
        <v>0001</v>
      </c>
    </row>
    <row r="818" spans="21:22">
      <c r="U818" s="466" t="str">
        <f t="shared" si="25"/>
        <v>0001</v>
      </c>
      <c r="V818" s="462" t="str">
        <f t="shared" si="24"/>
        <v>0001</v>
      </c>
    </row>
    <row r="819" spans="21:22">
      <c r="U819" s="466" t="str">
        <f t="shared" si="25"/>
        <v>0001</v>
      </c>
      <c r="V819" s="462" t="str">
        <f t="shared" si="24"/>
        <v>0001</v>
      </c>
    </row>
    <row r="820" spans="21:22">
      <c r="U820" s="466" t="str">
        <f t="shared" si="25"/>
        <v>0001</v>
      </c>
      <c r="V820" s="462" t="str">
        <f t="shared" si="24"/>
        <v>0001</v>
      </c>
    </row>
    <row r="821" spans="21:22">
      <c r="U821" s="466" t="str">
        <f t="shared" si="25"/>
        <v>0001</v>
      </c>
      <c r="V821" s="462" t="str">
        <f t="shared" si="24"/>
        <v>0001</v>
      </c>
    </row>
    <row r="822" spans="21:22">
      <c r="U822" s="466" t="str">
        <f t="shared" si="25"/>
        <v>0001</v>
      </c>
      <c r="V822" s="462" t="str">
        <f t="shared" si="24"/>
        <v>0001</v>
      </c>
    </row>
    <row r="823" spans="21:22">
      <c r="U823" s="466" t="str">
        <f t="shared" si="25"/>
        <v>0001</v>
      </c>
      <c r="V823" s="462" t="str">
        <f t="shared" si="24"/>
        <v>0001</v>
      </c>
    </row>
    <row r="824" spans="21:22">
      <c r="U824" s="466" t="str">
        <f t="shared" si="25"/>
        <v>0001</v>
      </c>
      <c r="V824" s="462" t="str">
        <f t="shared" si="24"/>
        <v>0001</v>
      </c>
    </row>
    <row r="825" spans="21:22">
      <c r="U825" s="466" t="str">
        <f t="shared" si="25"/>
        <v>0001</v>
      </c>
      <c r="V825" s="462" t="str">
        <f t="shared" si="24"/>
        <v>0001</v>
      </c>
    </row>
    <row r="826" spans="21:22">
      <c r="U826" s="466" t="str">
        <f t="shared" si="25"/>
        <v>0001</v>
      </c>
      <c r="V826" s="462" t="str">
        <f t="shared" si="24"/>
        <v>0001</v>
      </c>
    </row>
    <row r="827" spans="21:22">
      <c r="U827" s="466" t="str">
        <f t="shared" si="25"/>
        <v>0001</v>
      </c>
      <c r="V827" s="462" t="str">
        <f t="shared" si="24"/>
        <v>0001</v>
      </c>
    </row>
    <row r="828" spans="21:22">
      <c r="U828" s="466" t="str">
        <f t="shared" si="25"/>
        <v>0001</v>
      </c>
      <c r="V828" s="462" t="str">
        <f t="shared" si="24"/>
        <v>0001</v>
      </c>
    </row>
    <row r="829" spans="21:22">
      <c r="U829" s="466" t="str">
        <f t="shared" si="25"/>
        <v>0001</v>
      </c>
      <c r="V829" s="462" t="str">
        <f t="shared" si="24"/>
        <v>0001</v>
      </c>
    </row>
    <row r="830" spans="21:22">
      <c r="U830" s="466" t="str">
        <f t="shared" si="25"/>
        <v>0001</v>
      </c>
      <c r="V830" s="462" t="str">
        <f t="shared" si="24"/>
        <v>0001</v>
      </c>
    </row>
    <row r="831" spans="21:22">
      <c r="U831" s="466" t="str">
        <f t="shared" si="25"/>
        <v>0001</v>
      </c>
      <c r="V831" s="462" t="str">
        <f t="shared" si="24"/>
        <v>0001</v>
      </c>
    </row>
    <row r="832" spans="21:22">
      <c r="U832" s="466" t="str">
        <f t="shared" si="25"/>
        <v>0001</v>
      </c>
      <c r="V832" s="462" t="str">
        <f t="shared" si="24"/>
        <v>0001</v>
      </c>
    </row>
    <row r="833" spans="21:22">
      <c r="U833" s="466" t="str">
        <f t="shared" si="25"/>
        <v>0001</v>
      </c>
      <c r="V833" s="462" t="str">
        <f t="shared" si="24"/>
        <v>0001</v>
      </c>
    </row>
    <row r="834" spans="21:22">
      <c r="U834" s="466" t="str">
        <f t="shared" si="25"/>
        <v>0001</v>
      </c>
      <c r="V834" s="462" t="str">
        <f t="shared" ref="V834:V897" si="26">TEXT(T834,"YYMM")</f>
        <v>0001</v>
      </c>
    </row>
    <row r="835" spans="21:22">
      <c r="U835" s="466" t="str">
        <f t="shared" ref="U835:U898" si="27">TEXT(Q835,"YYMM")</f>
        <v>0001</v>
      </c>
      <c r="V835" s="462" t="str">
        <f t="shared" si="26"/>
        <v>0001</v>
      </c>
    </row>
    <row r="836" spans="21:22">
      <c r="U836" s="466" t="str">
        <f t="shared" si="27"/>
        <v>0001</v>
      </c>
      <c r="V836" s="462" t="str">
        <f t="shared" si="26"/>
        <v>0001</v>
      </c>
    </row>
    <row r="837" spans="21:22">
      <c r="U837" s="466" t="str">
        <f t="shared" si="27"/>
        <v>0001</v>
      </c>
      <c r="V837" s="462" t="str">
        <f t="shared" si="26"/>
        <v>0001</v>
      </c>
    </row>
    <row r="838" spans="21:22">
      <c r="U838" s="466" t="str">
        <f t="shared" si="27"/>
        <v>0001</v>
      </c>
      <c r="V838" s="462" t="str">
        <f t="shared" si="26"/>
        <v>0001</v>
      </c>
    </row>
    <row r="839" spans="21:22">
      <c r="U839" s="466" t="str">
        <f t="shared" si="27"/>
        <v>0001</v>
      </c>
      <c r="V839" s="462" t="str">
        <f t="shared" si="26"/>
        <v>0001</v>
      </c>
    </row>
    <row r="840" spans="21:22">
      <c r="U840" s="466" t="str">
        <f t="shared" si="27"/>
        <v>0001</v>
      </c>
      <c r="V840" s="462" t="str">
        <f t="shared" si="26"/>
        <v>0001</v>
      </c>
    </row>
    <row r="841" spans="21:22">
      <c r="U841" s="466" t="str">
        <f t="shared" si="27"/>
        <v>0001</v>
      </c>
      <c r="V841" s="462" t="str">
        <f t="shared" si="26"/>
        <v>0001</v>
      </c>
    </row>
    <row r="842" spans="21:22">
      <c r="U842" s="466" t="str">
        <f t="shared" si="27"/>
        <v>0001</v>
      </c>
      <c r="V842" s="462" t="str">
        <f t="shared" si="26"/>
        <v>0001</v>
      </c>
    </row>
    <row r="843" spans="21:22">
      <c r="U843" s="466" t="str">
        <f t="shared" si="27"/>
        <v>0001</v>
      </c>
      <c r="V843" s="462" t="str">
        <f t="shared" si="26"/>
        <v>0001</v>
      </c>
    </row>
    <row r="844" spans="21:22">
      <c r="U844" s="466" t="str">
        <f t="shared" si="27"/>
        <v>0001</v>
      </c>
      <c r="V844" s="462" t="str">
        <f t="shared" si="26"/>
        <v>0001</v>
      </c>
    </row>
    <row r="845" spans="21:22">
      <c r="U845" s="466" t="str">
        <f t="shared" si="27"/>
        <v>0001</v>
      </c>
      <c r="V845" s="462" t="str">
        <f t="shared" si="26"/>
        <v>0001</v>
      </c>
    </row>
    <row r="846" spans="21:22">
      <c r="U846" s="466" t="str">
        <f t="shared" si="27"/>
        <v>0001</v>
      </c>
      <c r="V846" s="462" t="str">
        <f t="shared" si="26"/>
        <v>0001</v>
      </c>
    </row>
    <row r="847" spans="21:22">
      <c r="U847" s="466" t="str">
        <f t="shared" si="27"/>
        <v>0001</v>
      </c>
      <c r="V847" s="462" t="str">
        <f t="shared" si="26"/>
        <v>0001</v>
      </c>
    </row>
    <row r="848" spans="21:22">
      <c r="U848" s="466" t="str">
        <f t="shared" si="27"/>
        <v>0001</v>
      </c>
      <c r="V848" s="462" t="str">
        <f t="shared" si="26"/>
        <v>0001</v>
      </c>
    </row>
    <row r="849" spans="21:22">
      <c r="U849" s="466" t="str">
        <f t="shared" si="27"/>
        <v>0001</v>
      </c>
      <c r="V849" s="462" t="str">
        <f t="shared" si="26"/>
        <v>0001</v>
      </c>
    </row>
    <row r="850" spans="21:22">
      <c r="U850" s="466" t="str">
        <f t="shared" si="27"/>
        <v>0001</v>
      </c>
      <c r="V850" s="462" t="str">
        <f t="shared" si="26"/>
        <v>0001</v>
      </c>
    </row>
    <row r="851" spans="21:22">
      <c r="U851" s="466" t="str">
        <f t="shared" si="27"/>
        <v>0001</v>
      </c>
      <c r="V851" s="462" t="str">
        <f t="shared" si="26"/>
        <v>0001</v>
      </c>
    </row>
    <row r="852" spans="21:22">
      <c r="U852" s="466" t="str">
        <f t="shared" si="27"/>
        <v>0001</v>
      </c>
      <c r="V852" s="462" t="str">
        <f t="shared" si="26"/>
        <v>0001</v>
      </c>
    </row>
    <row r="853" spans="21:22">
      <c r="U853" s="466" t="str">
        <f t="shared" si="27"/>
        <v>0001</v>
      </c>
      <c r="V853" s="462" t="str">
        <f t="shared" si="26"/>
        <v>0001</v>
      </c>
    </row>
    <row r="854" spans="21:22">
      <c r="U854" s="466" t="str">
        <f t="shared" si="27"/>
        <v>0001</v>
      </c>
      <c r="V854" s="462" t="str">
        <f t="shared" si="26"/>
        <v>0001</v>
      </c>
    </row>
    <row r="855" spans="21:22">
      <c r="U855" s="466" t="str">
        <f t="shared" si="27"/>
        <v>0001</v>
      </c>
      <c r="V855" s="462" t="str">
        <f t="shared" si="26"/>
        <v>0001</v>
      </c>
    </row>
    <row r="856" spans="21:22">
      <c r="U856" s="466" t="str">
        <f t="shared" si="27"/>
        <v>0001</v>
      </c>
      <c r="V856" s="462" t="str">
        <f t="shared" si="26"/>
        <v>0001</v>
      </c>
    </row>
    <row r="857" spans="21:22">
      <c r="U857" s="466" t="str">
        <f t="shared" si="27"/>
        <v>0001</v>
      </c>
      <c r="V857" s="462" t="str">
        <f t="shared" si="26"/>
        <v>0001</v>
      </c>
    </row>
    <row r="858" spans="21:22">
      <c r="U858" s="466" t="str">
        <f t="shared" si="27"/>
        <v>0001</v>
      </c>
      <c r="V858" s="462" t="str">
        <f t="shared" si="26"/>
        <v>0001</v>
      </c>
    </row>
    <row r="859" spans="21:22">
      <c r="U859" s="466" t="str">
        <f t="shared" si="27"/>
        <v>0001</v>
      </c>
      <c r="V859" s="462" t="str">
        <f t="shared" si="26"/>
        <v>0001</v>
      </c>
    </row>
    <row r="860" spans="21:22">
      <c r="U860" s="466" t="str">
        <f t="shared" si="27"/>
        <v>0001</v>
      </c>
      <c r="V860" s="462" t="str">
        <f t="shared" si="26"/>
        <v>0001</v>
      </c>
    </row>
    <row r="861" spans="21:22">
      <c r="U861" s="466" t="str">
        <f t="shared" si="27"/>
        <v>0001</v>
      </c>
      <c r="V861" s="462" t="str">
        <f t="shared" si="26"/>
        <v>0001</v>
      </c>
    </row>
    <row r="862" spans="21:22">
      <c r="U862" s="466" t="str">
        <f t="shared" si="27"/>
        <v>0001</v>
      </c>
      <c r="V862" s="462" t="str">
        <f t="shared" si="26"/>
        <v>0001</v>
      </c>
    </row>
    <row r="863" spans="21:22">
      <c r="U863" s="466" t="str">
        <f t="shared" si="27"/>
        <v>0001</v>
      </c>
      <c r="V863" s="462" t="str">
        <f t="shared" si="26"/>
        <v>0001</v>
      </c>
    </row>
    <row r="864" spans="21:22">
      <c r="U864" s="466" t="str">
        <f t="shared" si="27"/>
        <v>0001</v>
      </c>
      <c r="V864" s="462" t="str">
        <f t="shared" si="26"/>
        <v>0001</v>
      </c>
    </row>
    <row r="865" spans="21:22">
      <c r="U865" s="466" t="str">
        <f t="shared" si="27"/>
        <v>0001</v>
      </c>
      <c r="V865" s="462" t="str">
        <f t="shared" si="26"/>
        <v>0001</v>
      </c>
    </row>
    <row r="866" spans="21:22">
      <c r="U866" s="466" t="str">
        <f t="shared" si="27"/>
        <v>0001</v>
      </c>
      <c r="V866" s="462" t="str">
        <f t="shared" si="26"/>
        <v>0001</v>
      </c>
    </row>
    <row r="867" spans="21:22">
      <c r="U867" s="466" t="str">
        <f t="shared" si="27"/>
        <v>0001</v>
      </c>
      <c r="V867" s="462" t="str">
        <f t="shared" si="26"/>
        <v>0001</v>
      </c>
    </row>
    <row r="868" spans="21:22">
      <c r="U868" s="466" t="str">
        <f t="shared" si="27"/>
        <v>0001</v>
      </c>
      <c r="V868" s="462" t="str">
        <f t="shared" si="26"/>
        <v>0001</v>
      </c>
    </row>
    <row r="869" spans="21:22">
      <c r="U869" s="466" t="str">
        <f t="shared" si="27"/>
        <v>0001</v>
      </c>
      <c r="V869" s="462" t="str">
        <f t="shared" si="26"/>
        <v>0001</v>
      </c>
    </row>
    <row r="870" spans="21:22">
      <c r="U870" s="466" t="str">
        <f t="shared" si="27"/>
        <v>0001</v>
      </c>
      <c r="V870" s="462" t="str">
        <f t="shared" si="26"/>
        <v>0001</v>
      </c>
    </row>
    <row r="871" spans="21:22">
      <c r="U871" s="466" t="str">
        <f t="shared" si="27"/>
        <v>0001</v>
      </c>
      <c r="V871" s="462" t="str">
        <f t="shared" si="26"/>
        <v>0001</v>
      </c>
    </row>
    <row r="872" spans="21:22">
      <c r="U872" s="466" t="str">
        <f t="shared" si="27"/>
        <v>0001</v>
      </c>
      <c r="V872" s="462" t="str">
        <f t="shared" si="26"/>
        <v>0001</v>
      </c>
    </row>
    <row r="873" spans="21:22">
      <c r="U873" s="466" t="str">
        <f t="shared" si="27"/>
        <v>0001</v>
      </c>
      <c r="V873" s="462" t="str">
        <f t="shared" si="26"/>
        <v>0001</v>
      </c>
    </row>
    <row r="874" spans="21:22">
      <c r="U874" s="466" t="str">
        <f t="shared" si="27"/>
        <v>0001</v>
      </c>
      <c r="V874" s="462" t="str">
        <f t="shared" si="26"/>
        <v>0001</v>
      </c>
    </row>
    <row r="875" spans="21:22">
      <c r="U875" s="466" t="str">
        <f t="shared" si="27"/>
        <v>0001</v>
      </c>
      <c r="V875" s="462" t="str">
        <f t="shared" si="26"/>
        <v>0001</v>
      </c>
    </row>
    <row r="876" spans="21:22">
      <c r="U876" s="466" t="str">
        <f t="shared" si="27"/>
        <v>0001</v>
      </c>
      <c r="V876" s="462" t="str">
        <f t="shared" si="26"/>
        <v>0001</v>
      </c>
    </row>
    <row r="877" spans="21:22">
      <c r="U877" s="466" t="str">
        <f t="shared" si="27"/>
        <v>0001</v>
      </c>
      <c r="V877" s="462" t="str">
        <f t="shared" si="26"/>
        <v>0001</v>
      </c>
    </row>
    <row r="878" spans="21:22">
      <c r="U878" s="466" t="str">
        <f t="shared" si="27"/>
        <v>0001</v>
      </c>
      <c r="V878" s="462" t="str">
        <f t="shared" si="26"/>
        <v>0001</v>
      </c>
    </row>
    <row r="879" spans="21:22">
      <c r="U879" s="466" t="str">
        <f t="shared" si="27"/>
        <v>0001</v>
      </c>
      <c r="V879" s="462" t="str">
        <f t="shared" si="26"/>
        <v>0001</v>
      </c>
    </row>
    <row r="880" spans="21:22">
      <c r="U880" s="466" t="str">
        <f t="shared" si="27"/>
        <v>0001</v>
      </c>
      <c r="V880" s="462" t="str">
        <f t="shared" si="26"/>
        <v>0001</v>
      </c>
    </row>
    <row r="881" spans="21:22">
      <c r="U881" s="466" t="str">
        <f t="shared" si="27"/>
        <v>0001</v>
      </c>
      <c r="V881" s="462" t="str">
        <f t="shared" si="26"/>
        <v>0001</v>
      </c>
    </row>
    <row r="882" spans="21:22">
      <c r="U882" s="466" t="str">
        <f t="shared" si="27"/>
        <v>0001</v>
      </c>
      <c r="V882" s="462" t="str">
        <f t="shared" si="26"/>
        <v>0001</v>
      </c>
    </row>
    <row r="883" spans="21:22">
      <c r="U883" s="466" t="str">
        <f t="shared" si="27"/>
        <v>0001</v>
      </c>
      <c r="V883" s="462" t="str">
        <f t="shared" si="26"/>
        <v>0001</v>
      </c>
    </row>
    <row r="884" spans="21:22">
      <c r="U884" s="466" t="str">
        <f t="shared" si="27"/>
        <v>0001</v>
      </c>
      <c r="V884" s="462" t="str">
        <f t="shared" si="26"/>
        <v>0001</v>
      </c>
    </row>
    <row r="885" spans="21:22">
      <c r="U885" s="466" t="str">
        <f t="shared" si="27"/>
        <v>0001</v>
      </c>
      <c r="V885" s="462" t="str">
        <f t="shared" si="26"/>
        <v>0001</v>
      </c>
    </row>
    <row r="886" spans="21:22">
      <c r="U886" s="466" t="str">
        <f t="shared" si="27"/>
        <v>0001</v>
      </c>
      <c r="V886" s="462" t="str">
        <f t="shared" si="26"/>
        <v>0001</v>
      </c>
    </row>
    <row r="887" spans="21:22">
      <c r="U887" s="466" t="str">
        <f t="shared" si="27"/>
        <v>0001</v>
      </c>
      <c r="V887" s="462" t="str">
        <f t="shared" si="26"/>
        <v>0001</v>
      </c>
    </row>
    <row r="888" spans="21:22">
      <c r="U888" s="466" t="str">
        <f t="shared" si="27"/>
        <v>0001</v>
      </c>
      <c r="V888" s="462" t="str">
        <f t="shared" si="26"/>
        <v>0001</v>
      </c>
    </row>
    <row r="889" spans="21:22">
      <c r="U889" s="466" t="str">
        <f t="shared" si="27"/>
        <v>0001</v>
      </c>
      <c r="V889" s="462" t="str">
        <f t="shared" si="26"/>
        <v>0001</v>
      </c>
    </row>
    <row r="890" spans="21:22">
      <c r="U890" s="466" t="str">
        <f t="shared" si="27"/>
        <v>0001</v>
      </c>
      <c r="V890" s="462" t="str">
        <f t="shared" si="26"/>
        <v>0001</v>
      </c>
    </row>
    <row r="891" spans="21:22">
      <c r="U891" s="466" t="str">
        <f t="shared" si="27"/>
        <v>0001</v>
      </c>
      <c r="V891" s="462" t="str">
        <f t="shared" si="26"/>
        <v>0001</v>
      </c>
    </row>
    <row r="892" spans="21:22">
      <c r="U892" s="466" t="str">
        <f t="shared" si="27"/>
        <v>0001</v>
      </c>
      <c r="V892" s="462" t="str">
        <f t="shared" si="26"/>
        <v>0001</v>
      </c>
    </row>
    <row r="893" spans="21:22">
      <c r="U893" s="466" t="str">
        <f t="shared" si="27"/>
        <v>0001</v>
      </c>
      <c r="V893" s="462" t="str">
        <f t="shared" si="26"/>
        <v>0001</v>
      </c>
    </row>
    <row r="894" spans="21:22">
      <c r="U894" s="466" t="str">
        <f t="shared" si="27"/>
        <v>0001</v>
      </c>
      <c r="V894" s="462" t="str">
        <f t="shared" si="26"/>
        <v>0001</v>
      </c>
    </row>
    <row r="895" spans="21:22">
      <c r="U895" s="466" t="str">
        <f t="shared" si="27"/>
        <v>0001</v>
      </c>
      <c r="V895" s="462" t="str">
        <f t="shared" si="26"/>
        <v>0001</v>
      </c>
    </row>
    <row r="896" spans="21:22">
      <c r="U896" s="466" t="str">
        <f t="shared" si="27"/>
        <v>0001</v>
      </c>
      <c r="V896" s="462" t="str">
        <f t="shared" si="26"/>
        <v>0001</v>
      </c>
    </row>
    <row r="897" spans="21:22">
      <c r="U897" s="466" t="str">
        <f t="shared" si="27"/>
        <v>0001</v>
      </c>
      <c r="V897" s="462" t="str">
        <f t="shared" si="26"/>
        <v>0001</v>
      </c>
    </row>
    <row r="898" spans="21:22">
      <c r="U898" s="466" t="str">
        <f t="shared" si="27"/>
        <v>0001</v>
      </c>
      <c r="V898" s="462" t="str">
        <f t="shared" ref="V898:V961" si="28">TEXT(T898,"YYMM")</f>
        <v>0001</v>
      </c>
    </row>
    <row r="899" spans="21:22">
      <c r="U899" s="466" t="str">
        <f t="shared" ref="U899:U962" si="29">TEXT(Q899,"YYMM")</f>
        <v>0001</v>
      </c>
      <c r="V899" s="462" t="str">
        <f t="shared" si="28"/>
        <v>0001</v>
      </c>
    </row>
    <row r="900" spans="21:22">
      <c r="U900" s="466" t="str">
        <f t="shared" si="29"/>
        <v>0001</v>
      </c>
      <c r="V900" s="462" t="str">
        <f t="shared" si="28"/>
        <v>0001</v>
      </c>
    </row>
    <row r="901" spans="21:22">
      <c r="U901" s="466" t="str">
        <f t="shared" si="29"/>
        <v>0001</v>
      </c>
      <c r="V901" s="462" t="str">
        <f t="shared" si="28"/>
        <v>0001</v>
      </c>
    </row>
    <row r="902" spans="21:22">
      <c r="U902" s="466" t="str">
        <f t="shared" si="29"/>
        <v>0001</v>
      </c>
      <c r="V902" s="462" t="str">
        <f t="shared" si="28"/>
        <v>0001</v>
      </c>
    </row>
    <row r="903" spans="21:22">
      <c r="U903" s="466" t="str">
        <f t="shared" si="29"/>
        <v>0001</v>
      </c>
      <c r="V903" s="462" t="str">
        <f t="shared" si="28"/>
        <v>0001</v>
      </c>
    </row>
    <row r="904" spans="21:22">
      <c r="U904" s="466" t="str">
        <f t="shared" si="29"/>
        <v>0001</v>
      </c>
      <c r="V904" s="462" t="str">
        <f t="shared" si="28"/>
        <v>0001</v>
      </c>
    </row>
    <row r="905" spans="21:22">
      <c r="U905" s="466" t="str">
        <f t="shared" si="29"/>
        <v>0001</v>
      </c>
      <c r="V905" s="462" t="str">
        <f t="shared" si="28"/>
        <v>0001</v>
      </c>
    </row>
    <row r="906" spans="21:22">
      <c r="U906" s="466" t="str">
        <f t="shared" si="29"/>
        <v>0001</v>
      </c>
      <c r="V906" s="462" t="str">
        <f t="shared" si="28"/>
        <v>0001</v>
      </c>
    </row>
    <row r="907" spans="21:22">
      <c r="U907" s="466" t="str">
        <f t="shared" si="29"/>
        <v>0001</v>
      </c>
      <c r="V907" s="462" t="str">
        <f t="shared" si="28"/>
        <v>0001</v>
      </c>
    </row>
    <row r="908" spans="21:22">
      <c r="U908" s="466" t="str">
        <f t="shared" si="29"/>
        <v>0001</v>
      </c>
      <c r="V908" s="462" t="str">
        <f t="shared" si="28"/>
        <v>0001</v>
      </c>
    </row>
    <row r="909" spans="21:22">
      <c r="U909" s="466" t="str">
        <f t="shared" si="29"/>
        <v>0001</v>
      </c>
      <c r="V909" s="462" t="str">
        <f t="shared" si="28"/>
        <v>0001</v>
      </c>
    </row>
    <row r="910" spans="21:22">
      <c r="U910" s="466" t="str">
        <f t="shared" si="29"/>
        <v>0001</v>
      </c>
      <c r="V910" s="462" t="str">
        <f t="shared" si="28"/>
        <v>0001</v>
      </c>
    </row>
    <row r="911" spans="21:22">
      <c r="U911" s="466" t="str">
        <f t="shared" si="29"/>
        <v>0001</v>
      </c>
      <c r="V911" s="462" t="str">
        <f t="shared" si="28"/>
        <v>0001</v>
      </c>
    </row>
    <row r="912" spans="21:22">
      <c r="U912" s="466" t="str">
        <f t="shared" si="29"/>
        <v>0001</v>
      </c>
      <c r="V912" s="462" t="str">
        <f t="shared" si="28"/>
        <v>0001</v>
      </c>
    </row>
    <row r="913" spans="21:22">
      <c r="U913" s="466" t="str">
        <f t="shared" si="29"/>
        <v>0001</v>
      </c>
      <c r="V913" s="462" t="str">
        <f t="shared" si="28"/>
        <v>0001</v>
      </c>
    </row>
    <row r="914" spans="21:22">
      <c r="U914" s="466" t="str">
        <f t="shared" si="29"/>
        <v>0001</v>
      </c>
      <c r="V914" s="462" t="str">
        <f t="shared" si="28"/>
        <v>0001</v>
      </c>
    </row>
    <row r="915" spans="21:22">
      <c r="U915" s="466" t="str">
        <f t="shared" si="29"/>
        <v>0001</v>
      </c>
      <c r="V915" s="462" t="str">
        <f t="shared" si="28"/>
        <v>0001</v>
      </c>
    </row>
    <row r="916" spans="21:22">
      <c r="U916" s="466" t="str">
        <f t="shared" si="29"/>
        <v>0001</v>
      </c>
      <c r="V916" s="462" t="str">
        <f t="shared" si="28"/>
        <v>0001</v>
      </c>
    </row>
    <row r="917" spans="21:22">
      <c r="U917" s="466" t="str">
        <f t="shared" si="29"/>
        <v>0001</v>
      </c>
      <c r="V917" s="462" t="str">
        <f t="shared" si="28"/>
        <v>0001</v>
      </c>
    </row>
    <row r="918" spans="21:22">
      <c r="U918" s="466" t="str">
        <f t="shared" si="29"/>
        <v>0001</v>
      </c>
      <c r="V918" s="462" t="str">
        <f t="shared" si="28"/>
        <v>0001</v>
      </c>
    </row>
    <row r="919" spans="21:22">
      <c r="U919" s="466" t="str">
        <f t="shared" si="29"/>
        <v>0001</v>
      </c>
      <c r="V919" s="462" t="str">
        <f t="shared" si="28"/>
        <v>0001</v>
      </c>
    </row>
    <row r="920" spans="21:22">
      <c r="U920" s="466" t="str">
        <f t="shared" si="29"/>
        <v>0001</v>
      </c>
      <c r="V920" s="462" t="str">
        <f t="shared" si="28"/>
        <v>0001</v>
      </c>
    </row>
    <row r="921" spans="21:22">
      <c r="U921" s="466" t="str">
        <f t="shared" si="29"/>
        <v>0001</v>
      </c>
      <c r="V921" s="462" t="str">
        <f t="shared" si="28"/>
        <v>0001</v>
      </c>
    </row>
    <row r="922" spans="21:22">
      <c r="U922" s="466" t="str">
        <f t="shared" si="29"/>
        <v>0001</v>
      </c>
      <c r="V922" s="462" t="str">
        <f t="shared" si="28"/>
        <v>0001</v>
      </c>
    </row>
    <row r="923" spans="21:22">
      <c r="U923" s="466" t="str">
        <f t="shared" si="29"/>
        <v>0001</v>
      </c>
      <c r="V923" s="462" t="str">
        <f t="shared" si="28"/>
        <v>0001</v>
      </c>
    </row>
    <row r="924" spans="21:22">
      <c r="U924" s="466" t="str">
        <f t="shared" si="29"/>
        <v>0001</v>
      </c>
      <c r="V924" s="462" t="str">
        <f t="shared" si="28"/>
        <v>0001</v>
      </c>
    </row>
    <row r="925" spans="21:22">
      <c r="U925" s="466" t="str">
        <f t="shared" si="29"/>
        <v>0001</v>
      </c>
      <c r="V925" s="462" t="str">
        <f t="shared" si="28"/>
        <v>0001</v>
      </c>
    </row>
    <row r="926" spans="21:22">
      <c r="U926" s="466" t="str">
        <f t="shared" si="29"/>
        <v>0001</v>
      </c>
      <c r="V926" s="462" t="str">
        <f t="shared" si="28"/>
        <v>0001</v>
      </c>
    </row>
    <row r="927" spans="21:22">
      <c r="U927" s="466" t="str">
        <f t="shared" si="29"/>
        <v>0001</v>
      </c>
      <c r="V927" s="462" t="str">
        <f t="shared" si="28"/>
        <v>0001</v>
      </c>
    </row>
    <row r="928" spans="21:22">
      <c r="U928" s="466" t="str">
        <f t="shared" si="29"/>
        <v>0001</v>
      </c>
      <c r="V928" s="462" t="str">
        <f t="shared" si="28"/>
        <v>0001</v>
      </c>
    </row>
    <row r="929" spans="21:22">
      <c r="U929" s="466" t="str">
        <f t="shared" si="29"/>
        <v>0001</v>
      </c>
      <c r="V929" s="462" t="str">
        <f t="shared" si="28"/>
        <v>0001</v>
      </c>
    </row>
    <row r="930" spans="21:22">
      <c r="U930" s="466" t="str">
        <f t="shared" si="29"/>
        <v>0001</v>
      </c>
      <c r="V930" s="462" t="str">
        <f t="shared" si="28"/>
        <v>0001</v>
      </c>
    </row>
    <row r="931" spans="21:22">
      <c r="U931" s="466" t="str">
        <f t="shared" si="29"/>
        <v>0001</v>
      </c>
      <c r="V931" s="462" t="str">
        <f t="shared" si="28"/>
        <v>0001</v>
      </c>
    </row>
    <row r="932" spans="21:22">
      <c r="U932" s="466" t="str">
        <f t="shared" si="29"/>
        <v>0001</v>
      </c>
      <c r="V932" s="462" t="str">
        <f t="shared" si="28"/>
        <v>0001</v>
      </c>
    </row>
    <row r="933" spans="21:22">
      <c r="U933" s="466" t="str">
        <f t="shared" si="29"/>
        <v>0001</v>
      </c>
      <c r="V933" s="462" t="str">
        <f t="shared" si="28"/>
        <v>0001</v>
      </c>
    </row>
    <row r="934" spans="21:22">
      <c r="U934" s="466" t="str">
        <f t="shared" si="29"/>
        <v>0001</v>
      </c>
      <c r="V934" s="462" t="str">
        <f t="shared" si="28"/>
        <v>0001</v>
      </c>
    </row>
    <row r="935" spans="21:22">
      <c r="U935" s="466" t="str">
        <f t="shared" si="29"/>
        <v>0001</v>
      </c>
      <c r="V935" s="462" t="str">
        <f t="shared" si="28"/>
        <v>0001</v>
      </c>
    </row>
    <row r="936" spans="21:22">
      <c r="U936" s="466" t="str">
        <f t="shared" si="29"/>
        <v>0001</v>
      </c>
      <c r="V936" s="462" t="str">
        <f t="shared" si="28"/>
        <v>0001</v>
      </c>
    </row>
    <row r="937" spans="21:22">
      <c r="U937" s="466" t="str">
        <f t="shared" si="29"/>
        <v>0001</v>
      </c>
      <c r="V937" s="462" t="str">
        <f t="shared" si="28"/>
        <v>0001</v>
      </c>
    </row>
    <row r="938" spans="21:22">
      <c r="U938" s="466" t="str">
        <f t="shared" si="29"/>
        <v>0001</v>
      </c>
      <c r="V938" s="462" t="str">
        <f t="shared" si="28"/>
        <v>0001</v>
      </c>
    </row>
    <row r="939" spans="21:22">
      <c r="U939" s="466" t="str">
        <f t="shared" si="29"/>
        <v>0001</v>
      </c>
      <c r="V939" s="462" t="str">
        <f t="shared" si="28"/>
        <v>0001</v>
      </c>
    </row>
    <row r="940" spans="21:22">
      <c r="U940" s="466" t="str">
        <f t="shared" si="29"/>
        <v>0001</v>
      </c>
      <c r="V940" s="462" t="str">
        <f t="shared" si="28"/>
        <v>0001</v>
      </c>
    </row>
    <row r="941" spans="21:22">
      <c r="U941" s="466" t="str">
        <f t="shared" si="29"/>
        <v>0001</v>
      </c>
      <c r="V941" s="462" t="str">
        <f t="shared" si="28"/>
        <v>0001</v>
      </c>
    </row>
    <row r="942" spans="21:22">
      <c r="U942" s="466" t="str">
        <f t="shared" si="29"/>
        <v>0001</v>
      </c>
      <c r="V942" s="462" t="str">
        <f t="shared" si="28"/>
        <v>0001</v>
      </c>
    </row>
    <row r="943" spans="21:22">
      <c r="U943" s="466" t="str">
        <f t="shared" si="29"/>
        <v>0001</v>
      </c>
      <c r="V943" s="462" t="str">
        <f t="shared" si="28"/>
        <v>0001</v>
      </c>
    </row>
    <row r="944" spans="21:22">
      <c r="U944" s="466" t="str">
        <f t="shared" si="29"/>
        <v>0001</v>
      </c>
      <c r="V944" s="462" t="str">
        <f t="shared" si="28"/>
        <v>0001</v>
      </c>
    </row>
    <row r="945" spans="21:22">
      <c r="U945" s="466" t="str">
        <f t="shared" si="29"/>
        <v>0001</v>
      </c>
      <c r="V945" s="462" t="str">
        <f t="shared" si="28"/>
        <v>0001</v>
      </c>
    </row>
    <row r="946" spans="21:22">
      <c r="U946" s="466" t="str">
        <f t="shared" si="29"/>
        <v>0001</v>
      </c>
      <c r="V946" s="462" t="str">
        <f t="shared" si="28"/>
        <v>0001</v>
      </c>
    </row>
    <row r="947" spans="21:22">
      <c r="U947" s="466" t="str">
        <f t="shared" si="29"/>
        <v>0001</v>
      </c>
      <c r="V947" s="462" t="str">
        <f t="shared" si="28"/>
        <v>0001</v>
      </c>
    </row>
    <row r="948" spans="21:22">
      <c r="U948" s="466" t="str">
        <f t="shared" si="29"/>
        <v>0001</v>
      </c>
      <c r="V948" s="462" t="str">
        <f t="shared" si="28"/>
        <v>0001</v>
      </c>
    </row>
    <row r="949" spans="21:22">
      <c r="U949" s="466" t="str">
        <f t="shared" si="29"/>
        <v>0001</v>
      </c>
      <c r="V949" s="462" t="str">
        <f t="shared" si="28"/>
        <v>0001</v>
      </c>
    </row>
    <row r="950" spans="21:22">
      <c r="U950" s="466" t="str">
        <f t="shared" si="29"/>
        <v>0001</v>
      </c>
      <c r="V950" s="462" t="str">
        <f t="shared" si="28"/>
        <v>0001</v>
      </c>
    </row>
    <row r="951" spans="21:22">
      <c r="U951" s="466" t="str">
        <f t="shared" si="29"/>
        <v>0001</v>
      </c>
      <c r="V951" s="462" t="str">
        <f t="shared" si="28"/>
        <v>0001</v>
      </c>
    </row>
    <row r="952" spans="21:22">
      <c r="U952" s="466" t="str">
        <f t="shared" si="29"/>
        <v>0001</v>
      </c>
      <c r="V952" s="462" t="str">
        <f t="shared" si="28"/>
        <v>0001</v>
      </c>
    </row>
    <row r="953" spans="21:22">
      <c r="U953" s="466" t="str">
        <f t="shared" si="29"/>
        <v>0001</v>
      </c>
      <c r="V953" s="462" t="str">
        <f t="shared" si="28"/>
        <v>0001</v>
      </c>
    </row>
    <row r="954" spans="21:22">
      <c r="U954" s="466" t="str">
        <f t="shared" si="29"/>
        <v>0001</v>
      </c>
      <c r="V954" s="462" t="str">
        <f t="shared" si="28"/>
        <v>0001</v>
      </c>
    </row>
    <row r="955" spans="21:22">
      <c r="U955" s="466" t="str">
        <f t="shared" si="29"/>
        <v>0001</v>
      </c>
      <c r="V955" s="462" t="str">
        <f t="shared" si="28"/>
        <v>0001</v>
      </c>
    </row>
    <row r="956" spans="21:22">
      <c r="U956" s="466" t="str">
        <f t="shared" si="29"/>
        <v>0001</v>
      </c>
      <c r="V956" s="462" t="str">
        <f t="shared" si="28"/>
        <v>0001</v>
      </c>
    </row>
    <row r="957" spans="21:22">
      <c r="U957" s="466" t="str">
        <f t="shared" si="29"/>
        <v>0001</v>
      </c>
      <c r="V957" s="462" t="str">
        <f t="shared" si="28"/>
        <v>0001</v>
      </c>
    </row>
    <row r="958" spans="21:22">
      <c r="U958" s="466" t="str">
        <f t="shared" si="29"/>
        <v>0001</v>
      </c>
      <c r="V958" s="462" t="str">
        <f t="shared" si="28"/>
        <v>0001</v>
      </c>
    </row>
    <row r="959" spans="21:22">
      <c r="U959" s="466" t="str">
        <f t="shared" si="29"/>
        <v>0001</v>
      </c>
      <c r="V959" s="462" t="str">
        <f t="shared" si="28"/>
        <v>0001</v>
      </c>
    </row>
    <row r="960" spans="21:22">
      <c r="U960" s="466" t="str">
        <f t="shared" si="29"/>
        <v>0001</v>
      </c>
      <c r="V960" s="462" t="str">
        <f t="shared" si="28"/>
        <v>0001</v>
      </c>
    </row>
    <row r="961" spans="21:22">
      <c r="U961" s="466" t="str">
        <f t="shared" si="29"/>
        <v>0001</v>
      </c>
      <c r="V961" s="462" t="str">
        <f t="shared" si="28"/>
        <v>0001</v>
      </c>
    </row>
    <row r="962" spans="21:22">
      <c r="U962" s="466" t="str">
        <f t="shared" si="29"/>
        <v>0001</v>
      </c>
      <c r="V962" s="462" t="str">
        <f t="shared" ref="V962:V1000" si="30">TEXT(T962,"YYMM")</f>
        <v>0001</v>
      </c>
    </row>
    <row r="963" spans="21:22">
      <c r="U963" s="466" t="str">
        <f t="shared" ref="U963:U1000" si="31">TEXT(Q963,"YYMM")</f>
        <v>0001</v>
      </c>
      <c r="V963" s="462" t="str">
        <f t="shared" si="30"/>
        <v>0001</v>
      </c>
    </row>
    <row r="964" spans="21:22">
      <c r="U964" s="466" t="str">
        <f t="shared" si="31"/>
        <v>0001</v>
      </c>
      <c r="V964" s="462" t="str">
        <f t="shared" si="30"/>
        <v>0001</v>
      </c>
    </row>
    <row r="965" spans="21:22">
      <c r="U965" s="466" t="str">
        <f t="shared" si="31"/>
        <v>0001</v>
      </c>
      <c r="V965" s="462" t="str">
        <f t="shared" si="30"/>
        <v>0001</v>
      </c>
    </row>
    <row r="966" spans="21:22">
      <c r="U966" s="466" t="str">
        <f t="shared" si="31"/>
        <v>0001</v>
      </c>
      <c r="V966" s="462" t="str">
        <f t="shared" si="30"/>
        <v>0001</v>
      </c>
    </row>
    <row r="967" spans="21:22">
      <c r="U967" s="466" t="str">
        <f t="shared" si="31"/>
        <v>0001</v>
      </c>
      <c r="V967" s="462" t="str">
        <f t="shared" si="30"/>
        <v>0001</v>
      </c>
    </row>
    <row r="968" spans="21:22">
      <c r="U968" s="466" t="str">
        <f t="shared" si="31"/>
        <v>0001</v>
      </c>
      <c r="V968" s="462" t="str">
        <f t="shared" si="30"/>
        <v>0001</v>
      </c>
    </row>
    <row r="969" spans="21:22">
      <c r="U969" s="466" t="str">
        <f t="shared" si="31"/>
        <v>0001</v>
      </c>
      <c r="V969" s="462" t="str">
        <f t="shared" si="30"/>
        <v>0001</v>
      </c>
    </row>
    <row r="970" spans="21:22">
      <c r="U970" s="466" t="str">
        <f t="shared" si="31"/>
        <v>0001</v>
      </c>
      <c r="V970" s="462" t="str">
        <f t="shared" si="30"/>
        <v>0001</v>
      </c>
    </row>
    <row r="971" spans="21:22">
      <c r="U971" s="466" t="str">
        <f t="shared" si="31"/>
        <v>0001</v>
      </c>
      <c r="V971" s="462" t="str">
        <f t="shared" si="30"/>
        <v>0001</v>
      </c>
    </row>
    <row r="972" spans="21:22">
      <c r="U972" s="466" t="str">
        <f t="shared" si="31"/>
        <v>0001</v>
      </c>
      <c r="V972" s="462" t="str">
        <f t="shared" si="30"/>
        <v>0001</v>
      </c>
    </row>
    <row r="973" spans="21:22">
      <c r="U973" s="466" t="str">
        <f t="shared" si="31"/>
        <v>0001</v>
      </c>
      <c r="V973" s="462" t="str">
        <f t="shared" si="30"/>
        <v>0001</v>
      </c>
    </row>
    <row r="974" spans="21:22">
      <c r="U974" s="466" t="str">
        <f t="shared" si="31"/>
        <v>0001</v>
      </c>
      <c r="V974" s="462" t="str">
        <f t="shared" si="30"/>
        <v>0001</v>
      </c>
    </row>
    <row r="975" spans="21:22">
      <c r="U975" s="466" t="str">
        <f t="shared" si="31"/>
        <v>0001</v>
      </c>
      <c r="V975" s="462" t="str">
        <f t="shared" si="30"/>
        <v>0001</v>
      </c>
    </row>
    <row r="976" spans="21:22">
      <c r="U976" s="466" t="str">
        <f t="shared" si="31"/>
        <v>0001</v>
      </c>
      <c r="V976" s="462" t="str">
        <f t="shared" si="30"/>
        <v>0001</v>
      </c>
    </row>
    <row r="977" spans="21:22">
      <c r="U977" s="466" t="str">
        <f t="shared" si="31"/>
        <v>0001</v>
      </c>
      <c r="V977" s="462" t="str">
        <f t="shared" si="30"/>
        <v>0001</v>
      </c>
    </row>
    <row r="978" spans="21:22">
      <c r="U978" s="466" t="str">
        <f t="shared" si="31"/>
        <v>0001</v>
      </c>
      <c r="V978" s="462" t="str">
        <f t="shared" si="30"/>
        <v>0001</v>
      </c>
    </row>
    <row r="979" spans="21:22">
      <c r="U979" s="466" t="str">
        <f t="shared" si="31"/>
        <v>0001</v>
      </c>
      <c r="V979" s="462" t="str">
        <f t="shared" si="30"/>
        <v>0001</v>
      </c>
    </row>
    <row r="980" spans="21:22">
      <c r="U980" s="466" t="str">
        <f t="shared" si="31"/>
        <v>0001</v>
      </c>
      <c r="V980" s="462" t="str">
        <f t="shared" si="30"/>
        <v>0001</v>
      </c>
    </row>
    <row r="981" spans="21:22">
      <c r="U981" s="466" t="str">
        <f t="shared" si="31"/>
        <v>0001</v>
      </c>
      <c r="V981" s="462" t="str">
        <f t="shared" si="30"/>
        <v>0001</v>
      </c>
    </row>
    <row r="982" spans="21:22">
      <c r="U982" s="466" t="str">
        <f t="shared" si="31"/>
        <v>0001</v>
      </c>
      <c r="V982" s="462" t="str">
        <f t="shared" si="30"/>
        <v>0001</v>
      </c>
    </row>
    <row r="983" spans="21:22">
      <c r="U983" s="466" t="str">
        <f t="shared" si="31"/>
        <v>0001</v>
      </c>
      <c r="V983" s="462" t="str">
        <f t="shared" si="30"/>
        <v>0001</v>
      </c>
    </row>
    <row r="984" spans="21:22">
      <c r="U984" s="466" t="str">
        <f t="shared" si="31"/>
        <v>0001</v>
      </c>
      <c r="V984" s="462" t="str">
        <f t="shared" si="30"/>
        <v>0001</v>
      </c>
    </row>
    <row r="985" spans="21:22">
      <c r="U985" s="466" t="str">
        <f t="shared" si="31"/>
        <v>0001</v>
      </c>
      <c r="V985" s="462" t="str">
        <f t="shared" si="30"/>
        <v>0001</v>
      </c>
    </row>
    <row r="986" spans="21:22">
      <c r="U986" s="466" t="str">
        <f t="shared" si="31"/>
        <v>0001</v>
      </c>
      <c r="V986" s="462" t="str">
        <f t="shared" si="30"/>
        <v>0001</v>
      </c>
    </row>
    <row r="987" spans="21:22">
      <c r="U987" s="466" t="str">
        <f t="shared" si="31"/>
        <v>0001</v>
      </c>
      <c r="V987" s="462" t="str">
        <f t="shared" si="30"/>
        <v>0001</v>
      </c>
    </row>
    <row r="988" spans="21:22">
      <c r="U988" s="466" t="str">
        <f t="shared" si="31"/>
        <v>0001</v>
      </c>
      <c r="V988" s="462" t="str">
        <f t="shared" si="30"/>
        <v>0001</v>
      </c>
    </row>
    <row r="989" spans="21:22">
      <c r="U989" s="466" t="str">
        <f t="shared" si="31"/>
        <v>0001</v>
      </c>
      <c r="V989" s="462" t="str">
        <f t="shared" si="30"/>
        <v>0001</v>
      </c>
    </row>
    <row r="990" spans="21:22">
      <c r="U990" s="466" t="str">
        <f t="shared" si="31"/>
        <v>0001</v>
      </c>
      <c r="V990" s="462" t="str">
        <f t="shared" si="30"/>
        <v>0001</v>
      </c>
    </row>
    <row r="991" spans="21:22">
      <c r="U991" s="466" t="str">
        <f t="shared" si="31"/>
        <v>0001</v>
      </c>
      <c r="V991" s="462" t="str">
        <f t="shared" si="30"/>
        <v>0001</v>
      </c>
    </row>
    <row r="992" spans="21:22">
      <c r="U992" s="466" t="str">
        <f t="shared" si="31"/>
        <v>0001</v>
      </c>
      <c r="V992" s="462" t="str">
        <f t="shared" si="30"/>
        <v>0001</v>
      </c>
    </row>
    <row r="993" spans="21:22">
      <c r="U993" s="466" t="str">
        <f t="shared" si="31"/>
        <v>0001</v>
      </c>
      <c r="V993" s="462" t="str">
        <f t="shared" si="30"/>
        <v>0001</v>
      </c>
    </row>
    <row r="994" spans="21:22">
      <c r="U994" s="466" t="str">
        <f t="shared" si="31"/>
        <v>0001</v>
      </c>
      <c r="V994" s="462" t="str">
        <f t="shared" si="30"/>
        <v>0001</v>
      </c>
    </row>
    <row r="995" spans="21:22">
      <c r="U995" s="466" t="str">
        <f t="shared" si="31"/>
        <v>0001</v>
      </c>
      <c r="V995" s="462" t="str">
        <f t="shared" si="30"/>
        <v>0001</v>
      </c>
    </row>
    <row r="996" spans="21:22">
      <c r="U996" s="466" t="str">
        <f t="shared" si="31"/>
        <v>0001</v>
      </c>
      <c r="V996" s="462" t="str">
        <f t="shared" si="30"/>
        <v>0001</v>
      </c>
    </row>
    <row r="997" spans="21:22">
      <c r="U997" s="466" t="str">
        <f t="shared" si="31"/>
        <v>0001</v>
      </c>
      <c r="V997" s="462" t="str">
        <f t="shared" si="30"/>
        <v>0001</v>
      </c>
    </row>
    <row r="998" spans="21:22">
      <c r="U998" s="466" t="str">
        <f t="shared" si="31"/>
        <v>0001</v>
      </c>
      <c r="V998" s="462" t="str">
        <f t="shared" si="30"/>
        <v>0001</v>
      </c>
    </row>
    <row r="999" spans="21:22">
      <c r="U999" s="466" t="str">
        <f t="shared" si="31"/>
        <v>0001</v>
      </c>
      <c r="V999" s="462" t="str">
        <f t="shared" si="30"/>
        <v>0001</v>
      </c>
    </row>
    <row r="1000" spans="21:22">
      <c r="U1000" s="466" t="str">
        <f t="shared" si="31"/>
        <v>0001</v>
      </c>
      <c r="V1000" s="462" t="str">
        <f t="shared" si="30"/>
        <v>0001</v>
      </c>
    </row>
  </sheetData>
  <phoneticPr fontId="15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D4A72-F742-4E1E-85A8-C3C16EA576AA}">
  <sheetPr>
    <tabColor rgb="FFFFC000"/>
  </sheetPr>
  <dimension ref="B1:U7"/>
  <sheetViews>
    <sheetView showGridLines="0" zoomScale="115" zoomScaleNormal="11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L28" sqref="L28"/>
    </sheetView>
  </sheetViews>
  <sheetFormatPr defaultRowHeight="16.5"/>
  <cols>
    <col min="1" max="1" width="1.125" customWidth="1"/>
    <col min="20" max="20" width="11.125" bestFit="1" customWidth="1"/>
  </cols>
  <sheetData>
    <row r="1" spans="2:21">
      <c r="B1" s="223" t="s">
        <v>463</v>
      </c>
      <c r="E1" s="244" t="s">
        <v>349</v>
      </c>
      <c r="T1" s="245" t="s">
        <v>349</v>
      </c>
    </row>
    <row r="2" spans="2:21">
      <c r="B2" s="219"/>
      <c r="C2" s="219" t="s">
        <v>346</v>
      </c>
      <c r="D2" s="219" t="s">
        <v>464</v>
      </c>
      <c r="E2" s="219" t="s">
        <v>461</v>
      </c>
      <c r="F2" s="219" t="s">
        <v>448</v>
      </c>
      <c r="T2" s="220" t="s">
        <v>291</v>
      </c>
      <c r="U2" s="220" t="s">
        <v>309</v>
      </c>
    </row>
    <row r="3" spans="2:21">
      <c r="B3" s="219" t="s">
        <v>324</v>
      </c>
      <c r="C3" s="262">
        <f>실출고율!C14</f>
        <v>0.75</v>
      </c>
      <c r="D3" s="264">
        <f>결품관리!H2</f>
        <v>0.33</v>
      </c>
      <c r="E3" s="262">
        <f>납기준수관리!O3</f>
        <v>0.58064516129032262</v>
      </c>
      <c r="F3" s="249">
        <f>회전율관리!C6</f>
        <v>0.17775412609355087</v>
      </c>
      <c r="T3" t="s">
        <v>448</v>
      </c>
      <c r="U3" t="s">
        <v>466</v>
      </c>
    </row>
    <row r="4" spans="2:21">
      <c r="B4" s="219" t="s">
        <v>325</v>
      </c>
      <c r="C4" s="262">
        <f>실출고율!D14</f>
        <v>0.38461538461538464</v>
      </c>
      <c r="D4" s="264">
        <f>결품관리!I2</f>
        <v>0.17</v>
      </c>
      <c r="E4" s="262">
        <f>납기준수관리!O4</f>
        <v>0.87804878048780488</v>
      </c>
      <c r="F4" s="249">
        <f>회전율관리!E6</f>
        <v>0.36501736111111116</v>
      </c>
      <c r="T4" t="s">
        <v>346</v>
      </c>
      <c r="U4" t="s">
        <v>467</v>
      </c>
    </row>
    <row r="5" spans="2:21">
      <c r="B5" s="219" t="s">
        <v>326</v>
      </c>
      <c r="C5" s="262">
        <f>실출고율!E14</f>
        <v>1.3111111111111111</v>
      </c>
      <c r="D5" s="264">
        <f>결품관리!J2</f>
        <v>0.33</v>
      </c>
      <c r="E5" s="262">
        <f>납기준수관리!O5</f>
        <v>0.6875</v>
      </c>
      <c r="F5" s="249">
        <f>회전율관리!G6</f>
        <v>0.52333333333333332</v>
      </c>
      <c r="T5" t="s">
        <v>464</v>
      </c>
      <c r="U5" t="s">
        <v>468</v>
      </c>
    </row>
    <row r="6" spans="2:21">
      <c r="T6" t="s">
        <v>336</v>
      </c>
      <c r="U6" t="s">
        <v>469</v>
      </c>
    </row>
    <row r="7" spans="2:21">
      <c r="T7" t="s">
        <v>465</v>
      </c>
      <c r="U7" t="s">
        <v>470</v>
      </c>
    </row>
  </sheetData>
  <phoneticPr fontId="1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52954-FA6E-42A6-A78B-A37DBA6532CF}">
  <sheetPr>
    <tabColor rgb="FFFFC000"/>
  </sheetPr>
  <dimension ref="B1:K32"/>
  <sheetViews>
    <sheetView showGridLines="0"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:B7"/>
    </sheetView>
  </sheetViews>
  <sheetFormatPr defaultRowHeight="16.5"/>
  <cols>
    <col min="1" max="1" width="0.75" customWidth="1"/>
    <col min="2" max="2" width="17.5" bestFit="1" customWidth="1"/>
    <col min="3" max="4" width="8.5" bestFit="1" customWidth="1"/>
    <col min="5" max="5" width="15.75" bestFit="1" customWidth="1"/>
    <col min="6" max="7" width="8.5" bestFit="1" customWidth="1"/>
    <col min="8" max="8" width="15.75" bestFit="1" customWidth="1"/>
    <col min="9" max="10" width="8.5" bestFit="1" customWidth="1"/>
    <col min="11" max="11" width="15.75" bestFit="1" customWidth="1"/>
  </cols>
  <sheetData>
    <row r="1" spans="2:11">
      <c r="B1" s="245" t="s">
        <v>349</v>
      </c>
    </row>
    <row r="2" spans="2:11" s="158" customFormat="1">
      <c r="B2" s="224" t="s">
        <v>291</v>
      </c>
      <c r="C2" s="224" t="s">
        <v>324</v>
      </c>
      <c r="D2" s="224" t="s">
        <v>324</v>
      </c>
      <c r="E2" s="224" t="s">
        <v>324</v>
      </c>
      <c r="F2" s="224" t="s">
        <v>325</v>
      </c>
      <c r="G2" s="224" t="s">
        <v>325</v>
      </c>
      <c r="H2" s="224" t="s">
        <v>325</v>
      </c>
      <c r="I2" s="224" t="s">
        <v>326</v>
      </c>
      <c r="J2" s="224" t="s">
        <v>326</v>
      </c>
      <c r="K2" s="224" t="s">
        <v>326</v>
      </c>
    </row>
    <row r="3" spans="2:11">
      <c r="B3" s="224" t="s">
        <v>323</v>
      </c>
      <c r="C3" s="224" t="s">
        <v>347</v>
      </c>
      <c r="D3" s="224" t="s">
        <v>327</v>
      </c>
      <c r="E3" s="224" t="s">
        <v>345</v>
      </c>
      <c r="F3" s="224" t="s">
        <v>347</v>
      </c>
      <c r="G3" s="224" t="s">
        <v>327</v>
      </c>
      <c r="H3" s="224" t="s">
        <v>345</v>
      </c>
      <c r="I3" s="224" t="s">
        <v>347</v>
      </c>
      <c r="J3" s="224" t="s">
        <v>327</v>
      </c>
      <c r="K3" s="224" t="s">
        <v>345</v>
      </c>
    </row>
    <row r="4" spans="2:11">
      <c r="B4" s="225" t="s">
        <v>581</v>
      </c>
      <c r="C4" s="224">
        <v>100</v>
      </c>
      <c r="D4" s="224">
        <v>80</v>
      </c>
      <c r="E4" s="226">
        <f>D4/C4</f>
        <v>0.8</v>
      </c>
      <c r="F4" s="224">
        <v>200</v>
      </c>
      <c r="G4" s="224">
        <v>50</v>
      </c>
      <c r="H4" s="226">
        <f>G4/F4</f>
        <v>0.25</v>
      </c>
      <c r="I4" s="224">
        <v>150</v>
      </c>
      <c r="J4" s="224">
        <v>180</v>
      </c>
      <c r="K4" s="226">
        <f>J4/I4</f>
        <v>1.2</v>
      </c>
    </row>
    <row r="5" spans="2:11">
      <c r="B5" s="225" t="s">
        <v>582</v>
      </c>
      <c r="C5" s="224">
        <v>200</v>
      </c>
      <c r="D5" s="224">
        <v>70</v>
      </c>
      <c r="E5" s="226">
        <f>D5/C5</f>
        <v>0.35</v>
      </c>
      <c r="F5" s="224">
        <v>200</v>
      </c>
      <c r="G5" s="224">
        <v>50</v>
      </c>
      <c r="H5" s="226">
        <f>G5/F5</f>
        <v>0.25</v>
      </c>
      <c r="I5" s="224">
        <v>150</v>
      </c>
      <c r="J5" s="224">
        <v>180</v>
      </c>
      <c r="K5" s="226">
        <f>J5/I5</f>
        <v>1.2</v>
      </c>
    </row>
    <row r="6" spans="2:11">
      <c r="B6" s="225" t="s">
        <v>583</v>
      </c>
      <c r="C6" s="224">
        <v>50</v>
      </c>
      <c r="D6" s="224">
        <v>40</v>
      </c>
      <c r="E6" s="226">
        <f>D6/C6</f>
        <v>0.8</v>
      </c>
      <c r="F6" s="224">
        <v>100</v>
      </c>
      <c r="G6" s="224">
        <v>30</v>
      </c>
      <c r="H6" s="226">
        <f>G6/F6</f>
        <v>0.3</v>
      </c>
      <c r="I6" s="224">
        <v>100</v>
      </c>
      <c r="J6" s="224">
        <v>150</v>
      </c>
      <c r="K6" s="226">
        <f>J6/I6</f>
        <v>1.5</v>
      </c>
    </row>
    <row r="7" spans="2:11">
      <c r="B7" s="225" t="s">
        <v>584</v>
      </c>
      <c r="C7" s="224">
        <v>10</v>
      </c>
      <c r="D7" s="224">
        <v>80</v>
      </c>
      <c r="E7" s="226">
        <f>D7/C7</f>
        <v>8</v>
      </c>
      <c r="F7" s="224">
        <v>20</v>
      </c>
      <c r="G7" s="224">
        <v>70</v>
      </c>
      <c r="H7" s="226">
        <f>G7/F7</f>
        <v>3.5</v>
      </c>
      <c r="I7" s="224">
        <v>50</v>
      </c>
      <c r="J7" s="224">
        <v>80</v>
      </c>
      <c r="K7" s="226">
        <f>J7/I7</f>
        <v>1.6</v>
      </c>
    </row>
    <row r="8" spans="2:11">
      <c r="B8" s="225" t="s">
        <v>348</v>
      </c>
      <c r="C8" s="224">
        <f>SUM(C4:C7)</f>
        <v>360</v>
      </c>
      <c r="D8" s="224">
        <f t="shared" ref="D8:J8" si="0">SUM(D4:D7)</f>
        <v>270</v>
      </c>
      <c r="E8" s="226">
        <f>D8/C8</f>
        <v>0.75</v>
      </c>
      <c r="F8" s="224">
        <f t="shared" si="0"/>
        <v>520</v>
      </c>
      <c r="G8" s="224">
        <f t="shared" si="0"/>
        <v>200</v>
      </c>
      <c r="H8" s="226">
        <f>G8/F8</f>
        <v>0.38461538461538464</v>
      </c>
      <c r="I8" s="224">
        <f t="shared" si="0"/>
        <v>450</v>
      </c>
      <c r="J8" s="224">
        <f t="shared" si="0"/>
        <v>590</v>
      </c>
      <c r="K8" s="226">
        <f>J8/I8</f>
        <v>1.3111111111111111</v>
      </c>
    </row>
    <row r="9" spans="2:11">
      <c r="B9" s="26"/>
      <c r="C9" s="158"/>
      <c r="D9" s="158"/>
      <c r="E9" s="242"/>
      <c r="F9" s="158"/>
      <c r="G9" s="158"/>
      <c r="H9" s="242"/>
      <c r="I9" s="158"/>
      <c r="J9" s="158"/>
      <c r="K9" s="242"/>
    </row>
    <row r="10" spans="2:11">
      <c r="B10" s="26"/>
      <c r="C10" s="158"/>
      <c r="D10" s="158"/>
      <c r="E10" s="242"/>
      <c r="F10" s="158"/>
      <c r="G10" s="158"/>
      <c r="H10" s="242"/>
      <c r="I10" s="158"/>
      <c r="J10" s="158"/>
      <c r="K10" s="242"/>
    </row>
    <row r="11" spans="2:11">
      <c r="B11" s="224"/>
      <c r="C11" s="224" t="s">
        <v>324</v>
      </c>
      <c r="D11" s="224" t="s">
        <v>325</v>
      </c>
      <c r="E11" s="224" t="s">
        <v>326</v>
      </c>
    </row>
    <row r="12" spans="2:11">
      <c r="B12" s="224" t="s">
        <v>347</v>
      </c>
      <c r="C12" s="224">
        <f>C8</f>
        <v>360</v>
      </c>
      <c r="D12" s="224">
        <f>F8</f>
        <v>520</v>
      </c>
      <c r="E12" s="224">
        <f>I8</f>
        <v>450</v>
      </c>
    </row>
    <row r="13" spans="2:11">
      <c r="B13" s="224" t="s">
        <v>306</v>
      </c>
      <c r="C13" s="224">
        <f>D8</f>
        <v>270</v>
      </c>
      <c r="D13" s="224">
        <f>G8</f>
        <v>200</v>
      </c>
      <c r="E13" s="224">
        <f>J8</f>
        <v>590</v>
      </c>
    </row>
    <row r="14" spans="2:11">
      <c r="B14" s="224" t="s">
        <v>346</v>
      </c>
      <c r="C14" s="243">
        <f>E8</f>
        <v>0.75</v>
      </c>
      <c r="D14" s="243">
        <f>H8</f>
        <v>0.38461538461538464</v>
      </c>
      <c r="E14" s="243">
        <f>K8</f>
        <v>1.3111111111111111</v>
      </c>
    </row>
    <row r="32" spans="2:2">
      <c r="B32" s="241" t="s">
        <v>352</v>
      </c>
    </row>
  </sheetData>
  <phoneticPr fontId="15" type="noConversion"/>
  <conditionalFormatting sqref="B4:B7">
    <cfRule type="duplicateValues" dxfId="10" priority="45"/>
  </conditionalFormatting>
  <conditionalFormatting sqref="B8:B10">
    <cfRule type="duplicateValues" dxfId="9" priority="1"/>
    <cfRule type="duplicateValues" dxfId="8" priority="2"/>
  </conditionalFormatting>
  <hyperlinks>
    <hyperlink ref="B32" location="Index!A1" display="back" xr:uid="{BEE82546-E8AE-4AA3-9849-3066824EB843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9242-27B6-4749-B5C0-53FEBA1921EA}">
  <sheetPr>
    <tabColor rgb="FFFFC000"/>
  </sheetPr>
  <dimension ref="B1:M27"/>
  <sheetViews>
    <sheetView showGridLines="0" zoomScale="130" zoomScaleNormal="130" workbookViewId="0">
      <pane xSplit="2" ySplit="8" topLeftCell="C9" activePane="bottomRight" state="frozen"/>
      <selection activeCell="D34" sqref="D34"/>
      <selection pane="topRight" activeCell="D34" sqref="D34"/>
      <selection pane="bottomLeft" activeCell="D34" sqref="D34"/>
      <selection pane="bottomRight" activeCell="E23" sqref="E23"/>
    </sheetView>
  </sheetViews>
  <sheetFormatPr defaultRowHeight="16.5"/>
  <cols>
    <col min="1" max="1" width="0.5" customWidth="1"/>
    <col min="2" max="2" width="16" customWidth="1"/>
    <col min="3" max="3" width="10.875" bestFit="1" customWidth="1"/>
    <col min="4" max="4" width="10.75" style="256" bestFit="1" customWidth="1"/>
    <col min="5" max="5" width="8.5" bestFit="1" customWidth="1"/>
    <col min="6" max="6" width="6.625" bestFit="1" customWidth="1"/>
    <col min="7" max="7" width="10.125" customWidth="1"/>
    <col min="8" max="8" width="8.5" style="158" bestFit="1" customWidth="1"/>
    <col min="9" max="10" width="10.75" style="256" bestFit="1" customWidth="1"/>
    <col min="11" max="11" width="12.375" bestFit="1" customWidth="1"/>
    <col min="12" max="12" width="8.5" bestFit="1" customWidth="1"/>
  </cols>
  <sheetData>
    <row r="1" spans="2:13">
      <c r="B1" s="210" t="s">
        <v>421</v>
      </c>
      <c r="D1" s="258" t="s">
        <v>349</v>
      </c>
      <c r="G1" s="224"/>
      <c r="H1" s="224" t="s">
        <v>324</v>
      </c>
      <c r="I1" s="263" t="s">
        <v>325</v>
      </c>
      <c r="J1" s="263" t="s">
        <v>326</v>
      </c>
    </row>
    <row r="2" spans="2:13">
      <c r="B2" s="210"/>
      <c r="G2" s="219" t="s">
        <v>423</v>
      </c>
      <c r="H2" s="243">
        <v>0.33</v>
      </c>
      <c r="I2" s="226">
        <v>0.17</v>
      </c>
      <c r="J2" s="226">
        <v>0.33</v>
      </c>
    </row>
    <row r="3" spans="2:13">
      <c r="B3" s="210" t="s">
        <v>432</v>
      </c>
      <c r="C3" s="256">
        <v>46082</v>
      </c>
      <c r="D3" s="259" t="s">
        <v>433</v>
      </c>
      <c r="G3" s="219" t="s">
        <v>422</v>
      </c>
      <c r="H3" s="226">
        <v>0</v>
      </c>
      <c r="I3" s="226">
        <v>0.33</v>
      </c>
      <c r="J3" s="226">
        <v>0.5</v>
      </c>
    </row>
    <row r="4" spans="2:13">
      <c r="B4" s="210" t="s">
        <v>423</v>
      </c>
      <c r="C4" s="255">
        <f>COUNTIFS(
 H9:H996,"Y",
 D9:D996,"&gt;="&amp;EOMONTH(C3,-1)+1,
 D9:D996,"&lt;="&amp;EOMONTH(C3,0)
)
/
COUNTIFS(
 D9:D996,"&gt;="&amp;EOMONTH(C3,-1)+1,
 D9:D996,"&lt;="&amp;EOMONTH(C3,0)
)</f>
        <v>0.33333333333333331</v>
      </c>
    </row>
    <row r="5" spans="2:13">
      <c r="B5" s="210" t="s">
        <v>422</v>
      </c>
      <c r="C5" s="255">
        <f>COUNTIFS(
 C9:C996,"AX",
 H9:H996,"Y",
 D9:D996,"&gt;="&amp;EOMONTH(C3,-1)+1,
 D9:D996,"&lt;="&amp;EOMONTH(C3,0)
)
/
COUNTIFS(
 C9:C996,"AX",
 D9:D996,"&gt;="&amp;EOMONTH(C3,-1)+1,
 D9:D996,"&lt;="&amp;EOMONTH(C3,0)
)</f>
        <v>0.5</v>
      </c>
    </row>
    <row r="6" spans="2:13">
      <c r="B6" s="210"/>
    </row>
    <row r="7" spans="2:13">
      <c r="B7" s="210"/>
    </row>
    <row r="8" spans="2:13" s="158" customFormat="1">
      <c r="B8" s="254" t="s">
        <v>323</v>
      </c>
      <c r="C8" s="254" t="s">
        <v>411</v>
      </c>
      <c r="D8" s="257" t="s">
        <v>412</v>
      </c>
      <c r="E8" s="254" t="s">
        <v>413</v>
      </c>
      <c r="F8" s="254" t="s">
        <v>414</v>
      </c>
      <c r="G8" s="254" t="s">
        <v>415</v>
      </c>
      <c r="H8" s="254" t="s">
        <v>416</v>
      </c>
      <c r="I8" s="257" t="s">
        <v>417</v>
      </c>
      <c r="J8" s="257" t="s">
        <v>418</v>
      </c>
      <c r="K8" s="254" t="s">
        <v>419</v>
      </c>
      <c r="L8" s="254" t="s">
        <v>420</v>
      </c>
      <c r="M8" s="220" t="s">
        <v>427</v>
      </c>
    </row>
    <row r="9" spans="2:13">
      <c r="B9" s="214" t="s">
        <v>581</v>
      </c>
      <c r="C9" s="158" t="s">
        <v>403</v>
      </c>
      <c r="D9" s="256">
        <v>46054</v>
      </c>
      <c r="E9">
        <v>200</v>
      </c>
      <c r="F9">
        <v>50</v>
      </c>
      <c r="G9">
        <f>E9-F9</f>
        <v>150</v>
      </c>
      <c r="H9" s="158" t="s">
        <v>425</v>
      </c>
      <c r="I9" s="256">
        <v>46068</v>
      </c>
      <c r="J9" s="256">
        <v>46080</v>
      </c>
      <c r="K9">
        <f>J9-I9</f>
        <v>12</v>
      </c>
      <c r="L9" t="s">
        <v>426</v>
      </c>
      <c r="M9" t="s">
        <v>428</v>
      </c>
    </row>
    <row r="10" spans="2:13">
      <c r="B10" s="214" t="s">
        <v>582</v>
      </c>
      <c r="C10" s="158" t="s">
        <v>403</v>
      </c>
      <c r="D10" s="256">
        <v>46054</v>
      </c>
      <c r="E10">
        <v>100</v>
      </c>
      <c r="F10">
        <v>50</v>
      </c>
      <c r="G10">
        <f>E10-F10</f>
        <v>50</v>
      </c>
      <c r="H10" s="158" t="s">
        <v>425</v>
      </c>
      <c r="I10" s="256">
        <v>46054</v>
      </c>
      <c r="J10" s="256">
        <v>46068</v>
      </c>
      <c r="K10">
        <f>J10-I10</f>
        <v>14</v>
      </c>
      <c r="L10" t="s">
        <v>426</v>
      </c>
      <c r="M10" t="s">
        <v>429</v>
      </c>
    </row>
    <row r="11" spans="2:13">
      <c r="B11" s="214" t="s">
        <v>583</v>
      </c>
      <c r="C11" s="158" t="s">
        <v>403</v>
      </c>
      <c r="D11" s="256">
        <v>46054</v>
      </c>
      <c r="E11">
        <v>50</v>
      </c>
      <c r="F11">
        <v>40</v>
      </c>
      <c r="G11">
        <f t="shared" ref="G11:G26" si="0">E11-F11</f>
        <v>10</v>
      </c>
      <c r="H11" s="158" t="s">
        <v>405</v>
      </c>
      <c r="M11" t="s">
        <v>430</v>
      </c>
    </row>
    <row r="12" spans="2:13">
      <c r="B12" s="214" t="s">
        <v>584</v>
      </c>
      <c r="C12" s="158" t="s">
        <v>424</v>
      </c>
      <c r="D12" s="256">
        <v>46054</v>
      </c>
      <c r="E12">
        <v>50</v>
      </c>
      <c r="F12">
        <v>10</v>
      </c>
      <c r="G12">
        <f t="shared" si="0"/>
        <v>40</v>
      </c>
      <c r="H12" s="158" t="s">
        <v>425</v>
      </c>
      <c r="M12" t="s">
        <v>431</v>
      </c>
    </row>
    <row r="13" spans="2:13">
      <c r="B13" s="214" t="s">
        <v>585</v>
      </c>
      <c r="C13" s="158" t="s">
        <v>424</v>
      </c>
      <c r="D13" s="256">
        <v>46054</v>
      </c>
      <c r="E13">
        <v>40</v>
      </c>
      <c r="F13">
        <v>30</v>
      </c>
      <c r="G13">
        <f t="shared" si="0"/>
        <v>10</v>
      </c>
      <c r="H13" s="158" t="s">
        <v>425</v>
      </c>
    </row>
    <row r="14" spans="2:13">
      <c r="B14" s="214" t="s">
        <v>586</v>
      </c>
      <c r="C14" s="158" t="s">
        <v>424</v>
      </c>
      <c r="D14" s="256">
        <v>46054</v>
      </c>
      <c r="E14">
        <v>100</v>
      </c>
      <c r="F14">
        <v>50</v>
      </c>
      <c r="G14">
        <f t="shared" si="0"/>
        <v>50</v>
      </c>
      <c r="H14" s="158" t="s">
        <v>425</v>
      </c>
    </row>
    <row r="15" spans="2:13">
      <c r="B15" s="214" t="s">
        <v>587</v>
      </c>
      <c r="C15" s="158" t="s">
        <v>403</v>
      </c>
      <c r="D15" s="256">
        <v>46082</v>
      </c>
      <c r="E15">
        <v>150</v>
      </c>
      <c r="F15">
        <v>100</v>
      </c>
      <c r="G15">
        <f t="shared" si="0"/>
        <v>50</v>
      </c>
      <c r="H15" s="158" t="s">
        <v>425</v>
      </c>
    </row>
    <row r="16" spans="2:13">
      <c r="B16" s="214" t="s">
        <v>588</v>
      </c>
      <c r="C16" s="158" t="s">
        <v>424</v>
      </c>
      <c r="D16" s="256">
        <v>46082</v>
      </c>
      <c r="E16">
        <v>50</v>
      </c>
      <c r="F16">
        <v>10</v>
      </c>
      <c r="G16">
        <f t="shared" si="0"/>
        <v>40</v>
      </c>
      <c r="H16" s="158" t="s">
        <v>405</v>
      </c>
    </row>
    <row r="17" spans="2:8">
      <c r="B17" s="214" t="s">
        <v>589</v>
      </c>
      <c r="C17" s="158" t="s">
        <v>424</v>
      </c>
      <c r="D17" s="256">
        <v>46082</v>
      </c>
      <c r="E17">
        <v>80</v>
      </c>
      <c r="F17">
        <v>30</v>
      </c>
      <c r="G17">
        <f t="shared" si="0"/>
        <v>50</v>
      </c>
      <c r="H17" s="158" t="s">
        <v>425</v>
      </c>
    </row>
    <row r="18" spans="2:8">
      <c r="B18" s="214" t="s">
        <v>590</v>
      </c>
      <c r="C18" s="158" t="s">
        <v>424</v>
      </c>
      <c r="D18" s="256">
        <v>46082</v>
      </c>
      <c r="E18">
        <v>50</v>
      </c>
      <c r="F18">
        <v>50</v>
      </c>
      <c r="G18">
        <f t="shared" si="0"/>
        <v>0</v>
      </c>
      <c r="H18" s="158" t="s">
        <v>425</v>
      </c>
    </row>
    <row r="19" spans="2:8">
      <c r="B19" s="214" t="s">
        <v>591</v>
      </c>
      <c r="C19" s="158" t="s">
        <v>403</v>
      </c>
      <c r="D19" s="256">
        <v>46082</v>
      </c>
      <c r="E19">
        <v>80</v>
      </c>
      <c r="F19">
        <v>10</v>
      </c>
      <c r="G19">
        <f t="shared" si="0"/>
        <v>70</v>
      </c>
      <c r="H19" s="158" t="s">
        <v>405</v>
      </c>
    </row>
    <row r="20" spans="2:8">
      <c r="B20" s="214" t="s">
        <v>592</v>
      </c>
      <c r="C20" s="158" t="s">
        <v>424</v>
      </c>
      <c r="D20" s="256">
        <v>46082</v>
      </c>
      <c r="E20">
        <v>150</v>
      </c>
      <c r="F20">
        <v>30</v>
      </c>
      <c r="G20">
        <f t="shared" si="0"/>
        <v>120</v>
      </c>
      <c r="H20" s="158" t="s">
        <v>425</v>
      </c>
    </row>
    <row r="21" spans="2:8">
      <c r="B21" s="214" t="s">
        <v>593</v>
      </c>
      <c r="C21" s="158" t="s">
        <v>424</v>
      </c>
      <c r="D21" s="256">
        <v>46023</v>
      </c>
      <c r="E21">
        <v>50</v>
      </c>
      <c r="F21">
        <v>50</v>
      </c>
      <c r="G21">
        <f t="shared" si="0"/>
        <v>0</v>
      </c>
      <c r="H21" s="158" t="s">
        <v>405</v>
      </c>
    </row>
    <row r="22" spans="2:8">
      <c r="B22" s="214" t="s">
        <v>594</v>
      </c>
      <c r="C22" s="158" t="s">
        <v>424</v>
      </c>
      <c r="D22" s="256">
        <v>46023</v>
      </c>
      <c r="E22">
        <v>80</v>
      </c>
      <c r="F22">
        <v>10</v>
      </c>
      <c r="G22">
        <f t="shared" si="0"/>
        <v>70</v>
      </c>
      <c r="H22" s="158" t="s">
        <v>425</v>
      </c>
    </row>
    <row r="23" spans="2:8">
      <c r="B23" s="214" t="s">
        <v>595</v>
      </c>
      <c r="C23" s="158" t="s">
        <v>424</v>
      </c>
      <c r="D23" s="256">
        <v>46023</v>
      </c>
      <c r="E23">
        <v>150</v>
      </c>
      <c r="F23">
        <v>30</v>
      </c>
      <c r="G23">
        <f t="shared" si="0"/>
        <v>120</v>
      </c>
      <c r="H23" s="158" t="s">
        <v>405</v>
      </c>
    </row>
    <row r="24" spans="2:8">
      <c r="B24" s="214" t="s">
        <v>596</v>
      </c>
      <c r="C24" s="158" t="s">
        <v>403</v>
      </c>
      <c r="D24" s="256">
        <v>46023</v>
      </c>
      <c r="E24">
        <v>50</v>
      </c>
      <c r="F24">
        <v>50</v>
      </c>
      <c r="G24">
        <f t="shared" si="0"/>
        <v>0</v>
      </c>
      <c r="H24" s="158" t="s">
        <v>425</v>
      </c>
    </row>
    <row r="25" spans="2:8">
      <c r="B25" s="214" t="s">
        <v>597</v>
      </c>
      <c r="C25" s="158" t="s">
        <v>424</v>
      </c>
      <c r="D25" s="256">
        <v>46023</v>
      </c>
      <c r="E25">
        <v>80</v>
      </c>
      <c r="F25">
        <v>10</v>
      </c>
      <c r="G25">
        <f t="shared" si="0"/>
        <v>70</v>
      </c>
      <c r="H25" s="158" t="s">
        <v>425</v>
      </c>
    </row>
    <row r="26" spans="2:8">
      <c r="B26" s="214" t="s">
        <v>598</v>
      </c>
      <c r="C26" s="158" t="s">
        <v>424</v>
      </c>
      <c r="D26" s="256">
        <v>46023</v>
      </c>
      <c r="E26">
        <v>50</v>
      </c>
      <c r="F26">
        <v>30</v>
      </c>
      <c r="G26">
        <f t="shared" si="0"/>
        <v>20</v>
      </c>
      <c r="H26" s="158" t="s">
        <v>425</v>
      </c>
    </row>
    <row r="27" spans="2:8">
      <c r="C27" s="158"/>
    </row>
  </sheetData>
  <phoneticPr fontId="15" type="noConversion"/>
  <conditionalFormatting sqref="B9:B26">
    <cfRule type="duplicateValues" dxfId="7" priority="5"/>
    <cfRule type="duplicateValues" dxfId="6" priority="6"/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5F56-D780-40F2-9471-32D31E621D56}">
  <sheetPr>
    <tabColor rgb="FFFFC000"/>
  </sheetPr>
  <dimension ref="B1:M1048576"/>
  <sheetViews>
    <sheetView showGridLines="0" zoomScale="175" zoomScaleNormal="175" workbookViewId="0">
      <pane xSplit="2" ySplit="2" topLeftCell="C3" activePane="bottomRight" state="frozen"/>
      <selection activeCell="D34" sqref="D34"/>
      <selection pane="topRight" activeCell="D34" sqref="D34"/>
      <selection pane="bottomLeft" activeCell="D34" sqref="D34"/>
      <selection pane="bottomRight" activeCell="B3" sqref="B3:B5"/>
    </sheetView>
  </sheetViews>
  <sheetFormatPr defaultRowHeight="16.5"/>
  <cols>
    <col min="1" max="1" width="0.5" customWidth="1"/>
    <col min="2" max="2" width="17.875" bestFit="1" customWidth="1"/>
    <col min="3" max="3" width="9.625" bestFit="1" customWidth="1"/>
    <col min="4" max="4" width="9.625" customWidth="1"/>
    <col min="5" max="5" width="9.625" bestFit="1" customWidth="1"/>
    <col min="6" max="6" width="9.625" customWidth="1"/>
    <col min="7" max="7" width="9.625" bestFit="1" customWidth="1"/>
    <col min="8" max="8" width="10.25" bestFit="1" customWidth="1"/>
  </cols>
  <sheetData>
    <row r="1" spans="2:13">
      <c r="B1" s="245" t="s">
        <v>350</v>
      </c>
    </row>
    <row r="2" spans="2:13">
      <c r="B2" s="224" t="s">
        <v>323</v>
      </c>
      <c r="C2" s="224" t="s">
        <v>442</v>
      </c>
      <c r="D2" s="224" t="s">
        <v>443</v>
      </c>
      <c r="E2" s="224" t="s">
        <v>444</v>
      </c>
      <c r="F2" s="224" t="s">
        <v>445</v>
      </c>
      <c r="G2" s="224" t="s">
        <v>446</v>
      </c>
      <c r="H2" s="224" t="s">
        <v>447</v>
      </c>
    </row>
    <row r="3" spans="2:13">
      <c r="B3" s="225" t="s">
        <v>581</v>
      </c>
      <c r="C3" s="248">
        <v>2.15148835838491E-2</v>
      </c>
      <c r="D3" s="131">
        <f>30/C3</f>
        <v>1394.3835616438357</v>
      </c>
      <c r="E3" s="248">
        <v>0.1</v>
      </c>
      <c r="F3" s="131">
        <f>365/E3</f>
        <v>3650</v>
      </c>
      <c r="G3" s="248">
        <v>7.0000000000000007E-2</v>
      </c>
      <c r="H3" s="131">
        <f>30/G3</f>
        <v>428.57142857142856</v>
      </c>
    </row>
    <row r="4" spans="2:13">
      <c r="B4" s="225" t="s">
        <v>582</v>
      </c>
      <c r="C4" s="248">
        <v>1.1747494696803452E-2</v>
      </c>
      <c r="D4" s="131">
        <f>30/C4</f>
        <v>2553.7359900373599</v>
      </c>
      <c r="E4" s="248">
        <v>9.5052083333333329E-2</v>
      </c>
      <c r="F4" s="131">
        <f>365/E4</f>
        <v>3840</v>
      </c>
      <c r="G4" s="248">
        <v>0.7</v>
      </c>
      <c r="H4" s="131">
        <f>30/G4</f>
        <v>42.857142857142861</v>
      </c>
    </row>
    <row r="5" spans="2:13">
      <c r="B5" s="225" t="s">
        <v>583</v>
      </c>
      <c r="C5" s="248">
        <v>0.5</v>
      </c>
      <c r="D5" s="131">
        <f>30/C5</f>
        <v>60</v>
      </c>
      <c r="E5" s="248">
        <v>0.9</v>
      </c>
      <c r="F5" s="131">
        <f>365/E5</f>
        <v>405.55555555555554</v>
      </c>
      <c r="G5" s="248">
        <v>0.8</v>
      </c>
      <c r="H5" s="131">
        <f>30/G5</f>
        <v>37.5</v>
      </c>
    </row>
    <row r="6" spans="2:13" s="220" customFormat="1">
      <c r="B6" s="219" t="s">
        <v>351</v>
      </c>
      <c r="C6" s="249">
        <f>AVERAGE(C3:C5)</f>
        <v>0.17775412609355087</v>
      </c>
      <c r="D6" s="131">
        <f>30/C6</f>
        <v>168.7724536093817</v>
      </c>
      <c r="E6" s="249">
        <f>AVERAGE(E3:E5)</f>
        <v>0.36501736111111116</v>
      </c>
      <c r="F6" s="131">
        <f>30/E6</f>
        <v>82.187871581450636</v>
      </c>
      <c r="G6" s="249">
        <f>AVERAGE(G3:G5)</f>
        <v>0.52333333333333332</v>
      </c>
      <c r="H6" s="131">
        <f>30/G6</f>
        <v>57.324840764331213</v>
      </c>
    </row>
    <row r="7" spans="2:13">
      <c r="C7" s="130">
        <f>C6*12</f>
        <v>2.1330495131226104</v>
      </c>
      <c r="D7" s="130"/>
      <c r="E7" s="130">
        <f>E6*12</f>
        <v>4.3802083333333339</v>
      </c>
      <c r="F7" s="130"/>
      <c r="G7" s="130">
        <f>G6*12</f>
        <v>6.2799999999999994</v>
      </c>
      <c r="H7" s="261">
        <f>30/G7</f>
        <v>4.7770700636942678</v>
      </c>
      <c r="K7" s="213"/>
      <c r="L7" s="213" t="s">
        <v>448</v>
      </c>
      <c r="M7" s="213" t="s">
        <v>449</v>
      </c>
    </row>
    <row r="8" spans="2:13">
      <c r="K8" s="213" t="s">
        <v>324</v>
      </c>
      <c r="L8" s="246">
        <f>C6</f>
        <v>0.17775412609355087</v>
      </c>
      <c r="M8" s="260">
        <f>D6</f>
        <v>168.7724536093817</v>
      </c>
    </row>
    <row r="9" spans="2:13">
      <c r="D9" s="144"/>
      <c r="K9" s="213" t="s">
        <v>325</v>
      </c>
      <c r="L9" s="246">
        <f>E6</f>
        <v>0.36501736111111116</v>
      </c>
      <c r="M9" s="260">
        <f>F6</f>
        <v>82.187871581450636</v>
      </c>
    </row>
    <row r="10" spans="2:13">
      <c r="K10" s="213" t="s">
        <v>326</v>
      </c>
      <c r="L10" s="246">
        <f>G6</f>
        <v>0.52333333333333332</v>
      </c>
      <c r="M10" s="260">
        <f>H6</f>
        <v>57.324840764331213</v>
      </c>
    </row>
    <row r="23" spans="2:2">
      <c r="B23" t="s">
        <v>451</v>
      </c>
    </row>
    <row r="24" spans="2:2">
      <c r="B24" t="s">
        <v>450</v>
      </c>
    </row>
    <row r="27" spans="2:2">
      <c r="B27" s="241" t="s">
        <v>352</v>
      </c>
    </row>
    <row r="1048576" spans="4:4">
      <c r="D1048576" s="130" t="e">
        <f>365/C1048576</f>
        <v>#DIV/0!</v>
      </c>
    </row>
  </sheetData>
  <phoneticPr fontId="15" type="noConversion"/>
  <conditionalFormatting sqref="B3:B5">
    <cfRule type="duplicateValues" dxfId="5" priority="3"/>
  </conditionalFormatting>
  <hyperlinks>
    <hyperlink ref="B27" location="Index!A1" display="back" xr:uid="{9422A677-73F6-479D-ADDA-2A9B00B4F152}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1992-BFC4-4950-A506-B04703375189}">
  <sheetPr>
    <tabColor rgb="FFFFC000"/>
  </sheetPr>
  <dimension ref="B1:P24"/>
  <sheetViews>
    <sheetView showGridLines="0" zoomScale="130" zoomScaleNormal="130" workbookViewId="0">
      <selection activeCell="D3" sqref="D3:D5"/>
    </sheetView>
  </sheetViews>
  <sheetFormatPr defaultRowHeight="16.5"/>
  <cols>
    <col min="1" max="1" width="0.625" customWidth="1"/>
    <col min="2" max="2" width="8.875" bestFit="1" customWidth="1"/>
    <col min="3" max="4" width="8.625" customWidth="1"/>
    <col min="5" max="5" width="10.875" customWidth="1"/>
    <col min="6" max="6" width="10.625" customWidth="1"/>
    <col min="7" max="7" width="6.625" customWidth="1"/>
    <col min="8" max="9" width="10.625" customWidth="1"/>
    <col min="10" max="12" width="8.875" customWidth="1"/>
    <col min="13" max="13" width="10.5" customWidth="1"/>
    <col min="14" max="14" width="11.625" customWidth="1"/>
    <col min="15" max="15" width="10.375" customWidth="1"/>
    <col min="16" max="16" width="5.75" bestFit="1" customWidth="1"/>
  </cols>
  <sheetData>
    <row r="1" spans="2:16" ht="16.5" customHeight="1">
      <c r="B1" s="245" t="s">
        <v>474</v>
      </c>
    </row>
    <row r="2" spans="2:16" s="227" customFormat="1" ht="33">
      <c r="B2" s="236" t="s">
        <v>337</v>
      </c>
      <c r="C2" s="234" t="s">
        <v>328</v>
      </c>
      <c r="D2" s="234" t="s">
        <v>329</v>
      </c>
      <c r="E2" s="235" t="s">
        <v>330</v>
      </c>
      <c r="F2" s="235" t="s">
        <v>331</v>
      </c>
      <c r="G2" s="236" t="s">
        <v>332</v>
      </c>
      <c r="H2" s="235" t="s">
        <v>333</v>
      </c>
      <c r="I2" s="235" t="s">
        <v>334</v>
      </c>
      <c r="J2" s="236" t="s">
        <v>339</v>
      </c>
      <c r="K2" s="236" t="s">
        <v>335</v>
      </c>
      <c r="L2" s="236" t="s">
        <v>342</v>
      </c>
      <c r="M2" s="236" t="s">
        <v>341</v>
      </c>
      <c r="N2" s="236" t="s">
        <v>340</v>
      </c>
      <c r="O2" s="236" t="s">
        <v>336</v>
      </c>
      <c r="P2" s="236" t="s">
        <v>338</v>
      </c>
    </row>
    <row r="3" spans="2:16" s="228" customFormat="1">
      <c r="B3" s="231" t="s">
        <v>324</v>
      </c>
      <c r="C3" s="233" t="s">
        <v>581</v>
      </c>
      <c r="D3" s="237"/>
      <c r="E3" s="229">
        <v>46001</v>
      </c>
      <c r="F3" s="238">
        <v>46037</v>
      </c>
      <c r="G3" s="239">
        <v>500</v>
      </c>
      <c r="H3" s="238">
        <v>46054</v>
      </c>
      <c r="I3" s="238">
        <v>46063</v>
      </c>
      <c r="J3" s="240">
        <f>IFERROR(DATEDIF($E$3,H3,"D"),"")</f>
        <v>53</v>
      </c>
      <c r="K3" s="240">
        <f>IFERROR(DATEDIF(F3,H3,"D"),"0")</f>
        <v>17</v>
      </c>
      <c r="L3" s="240">
        <f>IFERROR(DATEDIF(E3,F3,"D"),"")</f>
        <v>36</v>
      </c>
      <c r="M3" s="240">
        <f>IFERROR(DATEDIF(E3,I3,"D"),"")</f>
        <v>62</v>
      </c>
      <c r="N3" s="240">
        <f t="shared" ref="N3:N5" si="0">M3-L3</f>
        <v>26</v>
      </c>
      <c r="O3" s="230">
        <f t="shared" ref="O3:O5" si="1">IF(L3&lt;M3,L3/M3,"100%")</f>
        <v>0.58064516129032262</v>
      </c>
      <c r="P3" s="232">
        <f>IF(O3&gt;100%,G3,G3*O3)</f>
        <v>290.32258064516134</v>
      </c>
    </row>
    <row r="4" spans="2:16" s="228" customFormat="1">
      <c r="B4" s="231" t="s">
        <v>325</v>
      </c>
      <c r="C4" s="233" t="s">
        <v>582</v>
      </c>
      <c r="D4" s="237"/>
      <c r="E4" s="229">
        <v>46032</v>
      </c>
      <c r="F4" s="238">
        <v>46068</v>
      </c>
      <c r="G4" s="239">
        <v>300</v>
      </c>
      <c r="H4" s="238">
        <v>46073</v>
      </c>
      <c r="I4" s="238" t="s">
        <v>319</v>
      </c>
      <c r="J4" s="240">
        <f>IFERROR(DATEDIF($E$4,H4,"D"),"")</f>
        <v>41</v>
      </c>
      <c r="K4" s="240">
        <f>IFERROR(DATEDIF(F4,H4,"D"),"0")</f>
        <v>5</v>
      </c>
      <c r="L4" s="240">
        <f>IFERROR(DATEDIF(E4,F4,"D"),"")</f>
        <v>36</v>
      </c>
      <c r="M4" s="240">
        <f>IFERROR(DATEDIF(E4,H4,"D"),"")</f>
        <v>41</v>
      </c>
      <c r="N4" s="240">
        <f t="shared" si="0"/>
        <v>5</v>
      </c>
      <c r="O4" s="230">
        <f t="shared" si="1"/>
        <v>0.87804878048780488</v>
      </c>
      <c r="P4" s="232">
        <f>IF(O4&gt;100%,G4,G4*O4)</f>
        <v>263.41463414634148</v>
      </c>
    </row>
    <row r="5" spans="2:16" s="228" customFormat="1">
      <c r="B5" s="231" t="s">
        <v>326</v>
      </c>
      <c r="C5" s="233" t="s">
        <v>583</v>
      </c>
      <c r="D5" s="237"/>
      <c r="E5" s="229">
        <v>46063</v>
      </c>
      <c r="F5" s="238">
        <v>46096</v>
      </c>
      <c r="G5" s="239">
        <v>200</v>
      </c>
      <c r="H5" s="238">
        <v>46099</v>
      </c>
      <c r="I5" s="238">
        <v>46111</v>
      </c>
      <c r="J5" s="240">
        <f>IFERROR(DATEDIF(E5,H5,"D"),"")</f>
        <v>36</v>
      </c>
      <c r="K5" s="240">
        <f>IFERROR(DATEDIF(F5,H5,"D"),"0")</f>
        <v>3</v>
      </c>
      <c r="L5" s="240">
        <f>IFERROR(DATEDIF(E5,F5,"D"),"")</f>
        <v>33</v>
      </c>
      <c r="M5" s="240">
        <f>IFERROR(DATEDIF(E5,I5,"D"),"")</f>
        <v>48</v>
      </c>
      <c r="N5" s="240">
        <f t="shared" si="0"/>
        <v>15</v>
      </c>
      <c r="O5" s="230">
        <f t="shared" si="1"/>
        <v>0.6875</v>
      </c>
      <c r="P5" s="232">
        <f>IF(O5&gt;100%,G5,G5*O5)</f>
        <v>137.5</v>
      </c>
    </row>
    <row r="24" spans="2:2">
      <c r="B24" s="241" t="s">
        <v>352</v>
      </c>
    </row>
  </sheetData>
  <phoneticPr fontId="15" type="noConversion"/>
  <conditionalFormatting sqref="C3:C5">
    <cfRule type="duplicateValues" dxfId="4" priority="5"/>
    <cfRule type="duplicateValues" dxfId="3" priority="6"/>
  </conditionalFormatting>
  <hyperlinks>
    <hyperlink ref="B24" location="Index!A1" display="back" xr:uid="{7409EA27-1739-4C61-9094-1F7E1046A901}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6B67-0F35-4AF3-8F77-3C74A3A00A21}">
  <sheetPr>
    <tabColor rgb="FFFFC000"/>
  </sheetPr>
  <dimension ref="B1:N27"/>
  <sheetViews>
    <sheetView showGridLines="0" zoomScale="130" zoomScaleNormal="130" workbookViewId="0">
      <pane xSplit="2" ySplit="1" topLeftCell="C2" activePane="bottomRight" state="frozen"/>
      <selection activeCell="D34" sqref="D34"/>
      <selection pane="topRight" activeCell="D34" sqref="D34"/>
      <selection pane="bottomLeft" activeCell="D34" sqref="D34"/>
      <selection pane="bottomRight" activeCell="K31" sqref="K31"/>
    </sheetView>
  </sheetViews>
  <sheetFormatPr defaultColWidth="35.875" defaultRowHeight="16.5"/>
  <cols>
    <col min="1" max="1" width="0.625" customWidth="1"/>
    <col min="2" max="2" width="5.125" customWidth="1"/>
    <col min="3" max="3" width="7.125" customWidth="1"/>
    <col min="4" max="4" width="7" customWidth="1"/>
    <col min="5" max="5" width="8.25" customWidth="1"/>
    <col min="6" max="6" width="7.375" customWidth="1"/>
    <col min="7" max="7" width="9.125" bestFit="1" customWidth="1"/>
    <col min="8" max="8" width="9.125" customWidth="1"/>
    <col min="9" max="9" width="2.875" customWidth="1"/>
    <col min="10" max="10" width="13.625" customWidth="1"/>
    <col min="11" max="11" width="24.625" bestFit="1" customWidth="1"/>
    <col min="12" max="12" width="9.125" bestFit="1" customWidth="1"/>
    <col min="13" max="13" width="13.75" bestFit="1" customWidth="1"/>
    <col min="14" max="14" width="29.375" bestFit="1" customWidth="1"/>
  </cols>
  <sheetData>
    <row r="1" spans="2:14">
      <c r="B1" s="223" t="s">
        <v>475</v>
      </c>
      <c r="C1" s="135"/>
      <c r="D1" s="244"/>
      <c r="E1" s="158"/>
      <c r="F1" s="158"/>
    </row>
    <row r="2" spans="2:14">
      <c r="B2" s="224" t="s">
        <v>45</v>
      </c>
      <c r="C2" s="224" t="s">
        <v>397</v>
      </c>
      <c r="D2" s="224" t="s">
        <v>398</v>
      </c>
      <c r="E2" s="224" t="s">
        <v>399</v>
      </c>
      <c r="F2" s="224" t="s">
        <v>400</v>
      </c>
      <c r="G2" s="253" t="s">
        <v>401</v>
      </c>
      <c r="J2" s="250" t="s">
        <v>357</v>
      </c>
      <c r="K2" s="250" t="s">
        <v>353</v>
      </c>
      <c r="L2" s="250" t="s">
        <v>358</v>
      </c>
      <c r="M2" s="250" t="s">
        <v>359</v>
      </c>
      <c r="N2" s="250" t="s">
        <v>360</v>
      </c>
    </row>
    <row r="3" spans="2:14">
      <c r="B3" s="247" t="s">
        <v>581</v>
      </c>
      <c r="C3" s="224" t="s">
        <v>109</v>
      </c>
      <c r="D3" s="224" t="s">
        <v>114</v>
      </c>
      <c r="E3" s="224">
        <f>IF(LEFT(D3,1)="A",3,IF(LEFT(D3,1)="B",2,1))
 - IF(LEFT(C3,1)="A",3,IF(LEFT(C3,1)="B",2,1))</f>
        <v>0</v>
      </c>
      <c r="F3" s="224">
        <f>IF(RIGHT(D3,1)="X",3,IF(RIGHT(D3,1)="Y",2,1))
 - IF(RIGHT(C3,1)="X",3,IF(RIGHT(C3,1)="Y",2,1))</f>
        <v>-1</v>
      </c>
      <c r="G3" s="224" t="str">
        <f>IF(
   AND(LEFT(D3,1)="A", F3&lt;0),
   "위험",
   IF(
      F3&lt;0,
      "관찰",
      IF(
         F3&gt;0,
         "개선",
         "유지"
      )
   )
)</f>
        <v>위험</v>
      </c>
      <c r="J3" s="251" t="s">
        <v>361</v>
      </c>
      <c r="K3" s="252" t="s">
        <v>362</v>
      </c>
      <c r="L3" s="252" t="s">
        <v>354</v>
      </c>
      <c r="M3" s="252" t="s">
        <v>363</v>
      </c>
      <c r="N3" s="252" t="s">
        <v>355</v>
      </c>
    </row>
    <row r="4" spans="2:14">
      <c r="B4" s="247" t="s">
        <v>582</v>
      </c>
      <c r="C4" s="224" t="s">
        <v>124</v>
      </c>
      <c r="D4" s="224" t="s">
        <v>127</v>
      </c>
      <c r="E4" s="224">
        <f>IF(LEFT(D4,1)="A",3,IF(LEFT(D4,1)="B",2,1))
 - IF(LEFT(C4,1)="A",3,IF(LEFT(C4,1)="B",2,1))</f>
        <v>0</v>
      </c>
      <c r="F4" s="224">
        <f t="shared" ref="F4:F5" si="0">IF(RIGHT(D4,1)="X",3,IF(RIGHT(D4,1)="Y",2,1))
 - IF(RIGHT(C4,1)="X",3,IF(RIGHT(C4,1)="Y",2,1))</f>
        <v>-1</v>
      </c>
      <c r="G4" s="224" t="str">
        <f t="shared" ref="G4:G5" si="1">IF(
   AND(LEFT(D4,1)="A", F4&lt;0),
   "위험",
   IF(
      F4&lt;0,
      "관찰",
      IF(
         F4&gt;0,
         "개선",
         "유지"
      )
   )
)</f>
        <v>관찰</v>
      </c>
      <c r="J4" s="251" t="s">
        <v>364</v>
      </c>
      <c r="K4" s="252" t="s">
        <v>365</v>
      </c>
      <c r="L4" s="252" t="s">
        <v>188</v>
      </c>
      <c r="M4" s="252" t="s">
        <v>366</v>
      </c>
      <c r="N4" s="252" t="s">
        <v>367</v>
      </c>
    </row>
    <row r="5" spans="2:14">
      <c r="B5" s="247" t="s">
        <v>583</v>
      </c>
      <c r="C5" s="224" t="s">
        <v>402</v>
      </c>
      <c r="D5" s="224" t="s">
        <v>403</v>
      </c>
      <c r="E5" s="224">
        <f>IF(LEFT(D5,1)="A",3,IF(LEFT(D5,1)="B",2,1))
 - IF(LEFT(C5,1)="A",3,IF(LEFT(C5,1)="B",2,1))</f>
        <v>1</v>
      </c>
      <c r="F5" s="224">
        <f t="shared" si="0"/>
        <v>0</v>
      </c>
      <c r="G5" s="224" t="str">
        <f t="shared" si="1"/>
        <v>유지</v>
      </c>
      <c r="J5" s="251" t="s">
        <v>368</v>
      </c>
      <c r="K5" s="252" t="s">
        <v>369</v>
      </c>
      <c r="L5" s="252" t="s">
        <v>356</v>
      </c>
      <c r="M5" s="252" t="s">
        <v>370</v>
      </c>
      <c r="N5" s="252" t="s">
        <v>371</v>
      </c>
    </row>
    <row r="6" spans="2:14">
      <c r="B6" s="245" t="s">
        <v>349</v>
      </c>
      <c r="C6" s="158"/>
      <c r="D6" s="158"/>
      <c r="E6" s="158"/>
      <c r="F6" s="158"/>
      <c r="G6" s="158"/>
      <c r="J6" s="251" t="s">
        <v>372</v>
      </c>
      <c r="K6" s="252" t="s">
        <v>373</v>
      </c>
      <c r="L6" s="252" t="s">
        <v>211</v>
      </c>
      <c r="M6" s="252" t="s">
        <v>374</v>
      </c>
      <c r="N6" s="252" t="s">
        <v>375</v>
      </c>
    </row>
    <row r="7" spans="2:14">
      <c r="C7" s="158"/>
      <c r="D7" s="158"/>
      <c r="E7" s="158"/>
      <c r="F7" s="158"/>
      <c r="G7" s="158"/>
      <c r="J7" s="251" t="s">
        <v>376</v>
      </c>
      <c r="K7" s="252" t="s">
        <v>377</v>
      </c>
      <c r="L7" s="252" t="s">
        <v>211</v>
      </c>
      <c r="M7" s="252" t="s">
        <v>378</v>
      </c>
      <c r="N7" s="252" t="s">
        <v>379</v>
      </c>
    </row>
    <row r="8" spans="2:14">
      <c r="C8" s="158"/>
      <c r="D8" s="158"/>
      <c r="E8" s="158"/>
      <c r="F8" s="158"/>
      <c r="G8" s="158"/>
      <c r="J8" s="251" t="s">
        <v>380</v>
      </c>
      <c r="K8" s="252" t="s">
        <v>381</v>
      </c>
      <c r="L8" s="252" t="s">
        <v>234</v>
      </c>
      <c r="M8" s="252" t="s">
        <v>382</v>
      </c>
      <c r="N8" s="252" t="s">
        <v>383</v>
      </c>
    </row>
    <row r="9" spans="2:14">
      <c r="C9" s="158"/>
      <c r="D9" s="158"/>
      <c r="E9" s="158"/>
      <c r="F9" s="158"/>
      <c r="G9" s="158"/>
      <c r="J9" s="251" t="s">
        <v>384</v>
      </c>
      <c r="K9" s="252" t="s">
        <v>385</v>
      </c>
      <c r="L9" s="252" t="s">
        <v>234</v>
      </c>
      <c r="M9" s="252" t="s">
        <v>386</v>
      </c>
      <c r="N9" s="252" t="s">
        <v>387</v>
      </c>
    </row>
    <row r="10" spans="2:14">
      <c r="C10" s="158"/>
      <c r="D10" s="158"/>
      <c r="E10" s="158"/>
      <c r="F10" s="158"/>
      <c r="G10" s="158"/>
      <c r="J10" s="251" t="s">
        <v>388</v>
      </c>
      <c r="K10" s="252" t="s">
        <v>389</v>
      </c>
      <c r="L10" s="252" t="s">
        <v>354</v>
      </c>
      <c r="M10" s="252" t="s">
        <v>390</v>
      </c>
      <c r="N10" s="252" t="s">
        <v>391</v>
      </c>
    </row>
    <row r="11" spans="2:14" ht="33">
      <c r="C11" s="158"/>
      <c r="D11" s="158"/>
      <c r="E11" s="158"/>
      <c r="F11" s="158"/>
      <c r="G11" s="158"/>
      <c r="J11" s="251" t="s">
        <v>392</v>
      </c>
      <c r="K11" s="252" t="s">
        <v>393</v>
      </c>
      <c r="L11" s="252" t="s">
        <v>394</v>
      </c>
      <c r="M11" s="252" t="s">
        <v>395</v>
      </c>
      <c r="N11" s="252" t="s">
        <v>396</v>
      </c>
    </row>
    <row r="12" spans="2:14">
      <c r="C12" s="158"/>
      <c r="D12" s="158"/>
      <c r="E12" s="158"/>
      <c r="F12" s="158"/>
      <c r="G12" s="158"/>
    </row>
    <row r="13" spans="2:14" s="158" customFormat="1">
      <c r="B13" s="224"/>
      <c r="C13" s="224" t="s">
        <v>324</v>
      </c>
      <c r="D13" s="224" t="s">
        <v>325</v>
      </c>
      <c r="E13" s="224" t="s">
        <v>326</v>
      </c>
      <c r="F13" s="224" t="s">
        <v>324</v>
      </c>
      <c r="G13" s="224" t="s">
        <v>325</v>
      </c>
      <c r="H13" s="224" t="s">
        <v>326</v>
      </c>
      <c r="J13" s="210" t="s">
        <v>477</v>
      </c>
    </row>
    <row r="14" spans="2:14">
      <c r="B14" s="213" t="s">
        <v>404</v>
      </c>
      <c r="C14" s="224">
        <v>43</v>
      </c>
      <c r="D14" s="224">
        <v>40</v>
      </c>
      <c r="E14" s="224">
        <v>30</v>
      </c>
      <c r="F14" s="213" t="str">
        <f>C14&amp;"("&amp;ROUND(C14/$C$17*100,0)&amp;"%)"</f>
        <v>43(11%)</v>
      </c>
      <c r="G14" s="213" t="str">
        <f>D14&amp;"("&amp;ROUND(D14/$D$17*100,0)&amp;"%)"</f>
        <v>40(10%)</v>
      </c>
      <c r="H14" s="213" t="str">
        <f>E14&amp;"("&amp;ROUND(E14/$E$17*100,0)&amp;"%)"</f>
        <v>30(7%)</v>
      </c>
      <c r="J14" s="215" t="s">
        <v>478</v>
      </c>
    </row>
    <row r="15" spans="2:14">
      <c r="B15" s="213" t="s">
        <v>405</v>
      </c>
      <c r="C15" s="224">
        <v>74</v>
      </c>
      <c r="D15" s="224">
        <v>55</v>
      </c>
      <c r="E15" s="224">
        <v>58</v>
      </c>
      <c r="F15" s="213" t="str">
        <f t="shared" ref="F15:F17" si="2">C15&amp;"("&amp;ROUND(C15/$C$17*100,0)&amp;"%)"</f>
        <v>74(18%)</v>
      </c>
      <c r="G15" s="213" t="str">
        <f t="shared" ref="G15:G17" si="3">D15&amp;"("&amp;ROUND(D15/$D$17*100,0)&amp;"%)"</f>
        <v>55(13%)</v>
      </c>
      <c r="H15" s="213" t="str">
        <f t="shared" ref="H15:H17" si="4">E15&amp;"("&amp;ROUND(E15/$E$17*100,0)&amp;"%)"</f>
        <v>58(14%)</v>
      </c>
      <c r="J15" s="215" t="s">
        <v>479</v>
      </c>
      <c r="K15" s="268"/>
      <c r="L15" s="268"/>
      <c r="M15" s="268"/>
    </row>
    <row r="16" spans="2:14">
      <c r="B16" s="213" t="s">
        <v>406</v>
      </c>
      <c r="C16" s="224">
        <v>291</v>
      </c>
      <c r="D16" s="224">
        <v>313</v>
      </c>
      <c r="E16" s="224">
        <v>320</v>
      </c>
      <c r="F16" s="213" t="str">
        <f t="shared" si="2"/>
        <v>291(71%)</v>
      </c>
      <c r="G16" s="213" t="str">
        <f t="shared" si="3"/>
        <v>313(77%)</v>
      </c>
      <c r="H16" s="213" t="str">
        <f t="shared" si="4"/>
        <v>320(78%)</v>
      </c>
      <c r="J16" s="215" t="s">
        <v>480</v>
      </c>
      <c r="K16" s="269"/>
      <c r="L16" s="269"/>
      <c r="M16" s="269"/>
    </row>
    <row r="17" spans="2:13">
      <c r="B17" s="213" t="s">
        <v>348</v>
      </c>
      <c r="C17" s="224">
        <f>SUM(C14:C16)</f>
        <v>408</v>
      </c>
      <c r="D17" s="224">
        <f>SUM(D14:D16)</f>
        <v>408</v>
      </c>
      <c r="E17" s="224">
        <f>SUM(E14:E16)</f>
        <v>408</v>
      </c>
      <c r="F17" s="213" t="str">
        <f t="shared" si="2"/>
        <v>408(100%)</v>
      </c>
      <c r="G17" s="213" t="str">
        <f t="shared" si="3"/>
        <v>408(100%)</v>
      </c>
      <c r="H17" s="213" t="str">
        <f t="shared" si="4"/>
        <v>408(100%)</v>
      </c>
      <c r="J17" s="269"/>
      <c r="K17" s="269"/>
      <c r="L17" s="269"/>
      <c r="M17" s="269"/>
    </row>
    <row r="18" spans="2:13">
      <c r="C18" s="158"/>
      <c r="D18" s="158"/>
      <c r="E18" s="158"/>
      <c r="F18" s="158"/>
      <c r="G18" s="158"/>
      <c r="J18" s="269"/>
      <c r="K18" s="269"/>
      <c r="L18" s="269"/>
      <c r="M18" s="269"/>
    </row>
    <row r="19" spans="2:13">
      <c r="C19" s="158"/>
      <c r="D19" s="158"/>
      <c r="E19" s="158"/>
      <c r="F19" s="158"/>
      <c r="G19" s="158"/>
    </row>
    <row r="27" spans="2:13">
      <c r="B27" s="241" t="s">
        <v>352</v>
      </c>
    </row>
  </sheetData>
  <phoneticPr fontId="15" type="noConversion"/>
  <conditionalFormatting sqref="B3:B5">
    <cfRule type="duplicateValues" dxfId="2" priority="12"/>
    <cfRule type="duplicateValues" dxfId="1" priority="13"/>
  </conditionalFormatting>
  <conditionalFormatting sqref="G3:G12 G18:G19">
    <cfRule type="expression" dxfId="0" priority="1">
      <formula>$G3="위험"</formula>
    </cfRule>
  </conditionalFormatting>
  <hyperlinks>
    <hyperlink ref="B27" location="Index!A1" display="back" xr:uid="{187867C0-0E47-480C-A926-279433F60FC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Index</vt:lpstr>
      <vt:lpstr>대시보드</vt:lpstr>
      <vt:lpstr>PSI_메인</vt:lpstr>
      <vt:lpstr>안전재고</vt:lpstr>
      <vt:lpstr>ABC-XYZ분석 (2)</vt:lpstr>
      <vt:lpstr>재고분석</vt:lpstr>
      <vt:lpstr>공급물량</vt:lpstr>
      <vt:lpstr>발주리스트</vt:lpstr>
      <vt:lpstr>재고</vt:lpstr>
      <vt:lpstr>입항스케줄</vt:lpstr>
      <vt:lpstr>통합지표</vt:lpstr>
      <vt:lpstr>실출고율</vt:lpstr>
      <vt:lpstr>결품관리</vt:lpstr>
      <vt:lpstr>회전율관리</vt:lpstr>
      <vt:lpstr>납기준수관리</vt:lpstr>
      <vt:lpstr>수요변동성관리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나</cp:lastModifiedBy>
  <cp:lastPrinted>2026-01-25T13:06:06Z</cp:lastPrinted>
  <dcterms:created xsi:type="dcterms:W3CDTF">2026-01-21T14:23:30Z</dcterms:created>
  <dcterms:modified xsi:type="dcterms:W3CDTF">2026-02-05T02:29:56Z</dcterms:modified>
</cp:coreProperties>
</file>